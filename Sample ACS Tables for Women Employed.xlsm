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20" yWindow="120" windowWidth="15270" windowHeight="7275" tabRatio="821" firstSheet="1" activeTab="2"/>
  </bookViews>
  <sheets>
    <sheet name="Lookup Functions Tutorial" sheetId="16" r:id="rId1"/>
    <sheet name="Control Room" sheetId="15" r:id="rId2"/>
    <sheet name="Framework from WE" sheetId="26" r:id="rId3"/>
    <sheet name="Sample Tables - Across Counties" sheetId="19" r:id="rId4"/>
    <sheet name="Sample Tables - Across Years" sheetId="20" r:id="rId5"/>
    <sheet name="Graph Data Sheet" sheetId="21" state="hidden" r:id="rId6"/>
    <sheet name="Poverty by Ed" sheetId="22" r:id="rId7"/>
    <sheet name="Poverty by County" sheetId="23" r:id="rId8"/>
    <sheet name="Female Head by County" sheetId="25" r:id="rId9"/>
    <sheet name="ACS_1YR_MasterData" sheetId="24" r:id="rId10"/>
    <sheet name="ACS_1YR_Part1_PovertyData" sheetId="17" state="hidden" r:id="rId11"/>
  </sheets>
  <functionGroups builtInGroupCount="17"/>
  <definedNames>
    <definedName name="_xlnm._FilterDatabase" localSheetId="3" hidden="1">'Sample Tables - Across Counties'!$B$8:$J$388</definedName>
    <definedName name="_xlnm._FilterDatabase" localSheetId="4" hidden="1">'Sample Tables - Across Years'!$B$8:$I$388</definedName>
    <definedName name="ACS_1YR_MasterData">ACS_1YR_MasterData!$A$1:$BGT$31</definedName>
    <definedName name="ACS_1YR_MasterData_County_Year">ACS_1YR_MasterData!$D$1:$D$31</definedName>
    <definedName name="ACS_1YR_MasterData_H">ACS_1YR_MasterData!$A$1:$BGT$1</definedName>
    <definedName name="ACS_1YR_Part1_PovertyData">ACS_1YR_Part1_PovertyData!$A$1:$NX$31</definedName>
    <definedName name="ACS_1YR_Part1_PovertyData_County">ACS_1YR_Part1_PovertyData!$A$1:$A$31</definedName>
    <definedName name="ACS_1YR_Part1_PovertyData_County_Year">ACS_1YR_Part1_PovertyData!$D$1:$D$31</definedName>
    <definedName name="ACS_1YR_Part1_PovertyData_H">ACS_1YR_Part1_PovertyData!$A$1:$NX$1</definedName>
    <definedName name="data">'Lookup Functions Tutorial'!$A$3:$C$12</definedName>
    <definedName name="data_header">'Lookup Functions Tutorial'!$A$3:$C$3</definedName>
    <definedName name="ExtList">'Control Room'!$F$2:$F$39</definedName>
    <definedName name="FileList">'Control Room'!$B$2:$B$39</definedName>
    <definedName name="FtoC_conv">'Lookup Functions Tutorial'!$E$27</definedName>
    <definedName name="HideList">'Control Room'!$J$2:$J$39</definedName>
    <definedName name="ImportList">'Control Room'!$G$2:$G$39</definedName>
    <definedName name="myCounty">'Sample Tables - Across Years'!$L$1</definedName>
    <definedName name="MyData">'Sample Tables - Across Counties'!$O$14:$R$17</definedName>
    <definedName name="myYear">'Sample Tables - Across Counties'!$M$2</definedName>
    <definedName name="PathList">'Control Room'!$A$2:$A$39</definedName>
    <definedName name="RangeNameList">'Control Room'!$I$2:$I$39</definedName>
    <definedName name="RenameList">'Control Room'!$D$2:$D$39</definedName>
    <definedName name="ReplaceList">'Control Room'!$H$2:$H$39</definedName>
    <definedName name="SecCode1">'Lookup Functions Tutorial'!$H$93:$K$100</definedName>
    <definedName name="SecCode1_Color">'Lookup Functions Tutorial'!$H$93:$H$100</definedName>
    <definedName name="SecCode1_h">'Lookup Functions Tutorial'!$H$93:$K$93</definedName>
    <definedName name="SecCode2">'Lookup Functions Tutorial'!$M$93:$P$100</definedName>
    <definedName name="SecCode2_Color">'Lookup Functions Tutorial'!$M$93:$M$100</definedName>
    <definedName name="SecCode2_h">'Lookup Functions Tutorial'!$M$93:$P$93</definedName>
    <definedName name="SheetList">'Control Room'!$C$2:$C$39</definedName>
    <definedName name="Technical_To_Do">'Control Room'!$B$42</definedName>
    <definedName name="TestData">'Lookup Functions Tutorial'!$A$3:$C$12</definedName>
    <definedName name="TestData_header">'Lookup Functions Tutorial'!$A$3:$C$3</definedName>
    <definedName name="TestData_ID">'Lookup Functions Tutorial'!$D$3:$D$12</definedName>
  </definedNames>
  <calcPr calcId="145621"/>
</workbook>
</file>

<file path=xl/calcChain.xml><?xml version="1.0" encoding="utf-8"?>
<calcChain xmlns="http://schemas.openxmlformats.org/spreadsheetml/2006/main">
  <c r="P12" i="19" l="1"/>
  <c r="Q12" i="19"/>
  <c r="H27" i="21"/>
  <c r="G27" i="21"/>
  <c r="F27" i="21"/>
  <c r="E27" i="21"/>
  <c r="D27" i="21"/>
  <c r="H26" i="21"/>
  <c r="G26" i="21"/>
  <c r="F26" i="21"/>
  <c r="E26" i="21"/>
  <c r="D26" i="21"/>
  <c r="H25" i="21"/>
  <c r="G25" i="21"/>
  <c r="F25" i="21"/>
  <c r="E25" i="21"/>
  <c r="D25" i="21"/>
  <c r="H24" i="21"/>
  <c r="G24" i="21"/>
  <c r="F24" i="21"/>
  <c r="E24" i="21"/>
  <c r="D24" i="21"/>
  <c r="H23" i="21"/>
  <c r="G23" i="21"/>
  <c r="F23" i="21"/>
  <c r="E23" i="21"/>
  <c r="D23" i="21"/>
  <c r="H22" i="21"/>
  <c r="G22" i="21"/>
  <c r="F22" i="21"/>
  <c r="E22" i="21"/>
  <c r="D22" i="21"/>
  <c r="L1" i="20"/>
  <c r="I18" i="20"/>
  <c r="H18" i="20"/>
  <c r="G18" i="20"/>
  <c r="F18" i="20"/>
  <c r="E18" i="20"/>
  <c r="M2" i="19"/>
  <c r="J18" i="19"/>
  <c r="I18" i="19"/>
  <c r="H18" i="19"/>
  <c r="G18" i="19"/>
  <c r="F18" i="19"/>
  <c r="E18" i="19"/>
  <c r="H19" i="21"/>
  <c r="G19" i="21"/>
  <c r="F19" i="21"/>
  <c r="E19" i="21"/>
  <c r="D19" i="21"/>
  <c r="H18" i="21"/>
  <c r="G18" i="21"/>
  <c r="F18" i="21"/>
  <c r="E18" i="21"/>
  <c r="D18" i="21"/>
  <c r="H17" i="21"/>
  <c r="G17" i="21"/>
  <c r="F17" i="21"/>
  <c r="E17" i="21"/>
  <c r="D17" i="21"/>
  <c r="H16" i="21"/>
  <c r="G16" i="21"/>
  <c r="F16" i="21"/>
  <c r="E16" i="21"/>
  <c r="D16" i="21"/>
  <c r="H15" i="21"/>
  <c r="G15" i="21"/>
  <c r="F15" i="21"/>
  <c r="E15" i="21"/>
  <c r="D15" i="21"/>
  <c r="H14" i="21"/>
  <c r="G14" i="21"/>
  <c r="F14" i="21"/>
  <c r="E14" i="21"/>
  <c r="D14" i="21"/>
  <c r="I17" i="20"/>
  <c r="H17" i="20"/>
  <c r="G17" i="20"/>
  <c r="F17" i="20"/>
  <c r="E17" i="20"/>
  <c r="I16" i="20"/>
  <c r="H16" i="20"/>
  <c r="G16" i="20"/>
  <c r="F16" i="20"/>
  <c r="E16" i="20"/>
  <c r="I15" i="20"/>
  <c r="H15" i="20"/>
  <c r="G15" i="20"/>
  <c r="F15" i="20"/>
  <c r="E15" i="20"/>
  <c r="I14" i="20"/>
  <c r="H14" i="20"/>
  <c r="G14" i="20"/>
  <c r="F14" i="20"/>
  <c r="E14" i="20"/>
  <c r="I13" i="20"/>
  <c r="H13" i="20"/>
  <c r="G13" i="20"/>
  <c r="F13" i="20"/>
  <c r="E13" i="20"/>
  <c r="I12" i="20"/>
  <c r="H12" i="20"/>
  <c r="G12" i="20"/>
  <c r="F12" i="20"/>
  <c r="E12" i="20"/>
  <c r="I11" i="20"/>
  <c r="H11" i="20"/>
  <c r="G11" i="20"/>
  <c r="F11" i="20"/>
  <c r="E11" i="20"/>
  <c r="J17" i="19"/>
  <c r="I17" i="19"/>
  <c r="H17" i="19"/>
  <c r="G17" i="19"/>
  <c r="F17" i="19"/>
  <c r="E17" i="19"/>
  <c r="J16" i="19"/>
  <c r="I16" i="19"/>
  <c r="H16" i="19"/>
  <c r="G16" i="19"/>
  <c r="F16" i="19"/>
  <c r="E16" i="19"/>
  <c r="J15" i="19"/>
  <c r="I15" i="19"/>
  <c r="H15" i="19"/>
  <c r="G15" i="19"/>
  <c r="F15" i="19"/>
  <c r="E15" i="19"/>
  <c r="J14" i="19"/>
  <c r="I14" i="19"/>
  <c r="H14" i="19"/>
  <c r="G14" i="19"/>
  <c r="F14" i="19"/>
  <c r="E14" i="19"/>
  <c r="J13" i="19"/>
  <c r="I13" i="19"/>
  <c r="H13" i="19"/>
  <c r="G13" i="19"/>
  <c r="F13" i="19"/>
  <c r="E13" i="19"/>
  <c r="J12" i="19"/>
  <c r="I12" i="19"/>
  <c r="H12" i="19"/>
  <c r="G12" i="19"/>
  <c r="F12" i="19"/>
  <c r="E12" i="19"/>
  <c r="J11" i="19"/>
  <c r="I11" i="19"/>
  <c r="H11" i="19"/>
  <c r="G11" i="19"/>
  <c r="F11" i="19"/>
  <c r="E11" i="19"/>
  <c r="I10" i="20"/>
  <c r="H10" i="20"/>
  <c r="G10" i="20"/>
  <c r="F10" i="20"/>
  <c r="E10" i="20"/>
  <c r="I9" i="20"/>
  <c r="H9" i="20"/>
  <c r="G9" i="20"/>
  <c r="F9" i="20"/>
  <c r="E9" i="20"/>
  <c r="I8" i="20"/>
  <c r="H8" i="20"/>
  <c r="G8" i="20"/>
  <c r="F8" i="20"/>
  <c r="E8" i="20"/>
  <c r="I7" i="20"/>
  <c r="H7" i="20"/>
  <c r="G7" i="20"/>
  <c r="F7" i="20"/>
  <c r="E7" i="20"/>
  <c r="I6" i="20"/>
  <c r="H6" i="20"/>
  <c r="G6" i="20"/>
  <c r="F6" i="20"/>
  <c r="E6" i="20"/>
  <c r="J10" i="19"/>
  <c r="I10" i="19"/>
  <c r="H10" i="19"/>
  <c r="G10" i="19"/>
  <c r="F10" i="19"/>
  <c r="E10" i="19"/>
  <c r="J9" i="19"/>
  <c r="I9" i="19"/>
  <c r="H9" i="19"/>
  <c r="G9" i="19"/>
  <c r="F9" i="19"/>
  <c r="E9" i="19"/>
  <c r="J8" i="19"/>
  <c r="I8" i="19"/>
  <c r="H8" i="19"/>
  <c r="G8" i="19"/>
  <c r="F8" i="19"/>
  <c r="E8" i="19"/>
  <c r="J7" i="19"/>
  <c r="I7" i="19"/>
  <c r="H7" i="19"/>
  <c r="G7" i="19"/>
  <c r="F7" i="19"/>
  <c r="E7" i="19"/>
  <c r="J6" i="19"/>
  <c r="I6" i="19"/>
  <c r="H6" i="19"/>
  <c r="G6" i="19"/>
  <c r="F6" i="19"/>
  <c r="E6" i="19"/>
  <c r="H10" i="21"/>
  <c r="G10" i="21"/>
  <c r="F10" i="21"/>
  <c r="E10" i="21"/>
  <c r="D10" i="21"/>
  <c r="H9" i="21"/>
  <c r="G9" i="21"/>
  <c r="F9" i="21"/>
  <c r="E9" i="21"/>
  <c r="D9" i="21"/>
  <c r="H8" i="21"/>
  <c r="G8" i="21"/>
  <c r="F8" i="21"/>
  <c r="E8" i="21"/>
  <c r="D8" i="21"/>
  <c r="H7" i="21"/>
  <c r="G7" i="21"/>
  <c r="F7" i="21"/>
  <c r="E7" i="21"/>
  <c r="D7" i="21"/>
  <c r="H6" i="21"/>
  <c r="G6" i="21"/>
  <c r="F6" i="21"/>
  <c r="E6" i="21"/>
  <c r="D6" i="21"/>
  <c r="B3" i="21"/>
  <c r="B3" i="20"/>
  <c r="B3" i="19"/>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E2" i="15"/>
  <c r="A83" i="16"/>
  <c r="A78" i="16"/>
  <c r="A59" i="16"/>
  <c r="D50" i="16"/>
  <c r="C50" i="16"/>
  <c r="B50" i="16"/>
  <c r="D49" i="16"/>
  <c r="C49" i="16"/>
  <c r="B49" i="16"/>
  <c r="A47" i="16"/>
  <c r="A46" i="16"/>
  <c r="A45" i="16"/>
  <c r="A42" i="16"/>
  <c r="A40" i="16"/>
  <c r="E27" i="16"/>
  <c r="C28" i="16"/>
  <c r="A24" i="16"/>
  <c r="A22" i="16"/>
  <c r="A19" i="16"/>
  <c r="A16" i="16"/>
  <c r="B11" i="16"/>
  <c r="D11" i="16"/>
  <c r="B9" i="16"/>
  <c r="D9" i="16"/>
  <c r="B8" i="16"/>
  <c r="D8" i="16"/>
  <c r="B7" i="16"/>
  <c r="D7" i="16"/>
  <c r="D6" i="16"/>
  <c r="D5" i="16"/>
  <c r="D75" i="16"/>
  <c r="D4" i="16"/>
  <c r="E75" i="16"/>
  <c r="B10" i="16"/>
  <c r="D10" i="16"/>
  <c r="B12" i="16"/>
  <c r="D12" i="16"/>
  <c r="C29" i="16"/>
  <c r="B55" i="16"/>
  <c r="C56" i="16"/>
  <c r="D73" i="16"/>
  <c r="E74" i="16"/>
  <c r="A34" i="16"/>
  <c r="B54" i="16"/>
  <c r="C55" i="16"/>
  <c r="D56" i="16"/>
  <c r="E73" i="16"/>
  <c r="C75" i="16"/>
  <c r="C54" i="16"/>
  <c r="D55" i="16"/>
  <c r="C74" i="16"/>
  <c r="D54" i="16"/>
  <c r="B56" i="16"/>
  <c r="C73" i="16"/>
  <c r="D74" i="16"/>
  <c r="B96" i="16"/>
  <c r="C96" i="16"/>
</calcChain>
</file>

<file path=xl/comments1.xml><?xml version="1.0" encoding="utf-8"?>
<comments xmlns="http://schemas.openxmlformats.org/spreadsheetml/2006/main">
  <authors>
    <author>Nick</author>
  </authors>
  <commentList>
    <comment ref="A1" authorId="0">
      <text>
        <r>
          <rPr>
            <b/>
            <sz val="9"/>
            <color indexed="81"/>
            <rFont val="Tahoma"/>
            <family val="2"/>
          </rPr>
          <t>NSM:</t>
        </r>
        <r>
          <rPr>
            <sz val="9"/>
            <color indexed="81"/>
            <rFont val="Tahoma"/>
            <family val="2"/>
          </rPr>
          <t xml:space="preserve">
If no path is reported, the import function defaults to the most recently reported location from rows above.</t>
        </r>
      </text>
    </comment>
    <comment ref="C1" authorId="0">
      <text>
        <r>
          <rPr>
            <b/>
            <sz val="9"/>
            <color indexed="81"/>
            <rFont val="Tahoma"/>
            <family val="2"/>
          </rPr>
          <t xml:space="preserve">NSM:
</t>
        </r>
        <r>
          <rPr>
            <sz val="9"/>
            <color indexed="81"/>
            <rFont val="Tahoma"/>
            <family val="2"/>
          </rPr>
          <t>This field indicates which sheet should be imported from an Excel document. This field can be left blank for csv and txt files, as those only have one sheet when read in.</t>
        </r>
      </text>
    </comment>
    <comment ref="D1" authorId="0">
      <text>
        <r>
          <rPr>
            <b/>
            <sz val="9"/>
            <color indexed="81"/>
            <rFont val="Tahoma"/>
            <family val="2"/>
          </rPr>
          <t xml:space="preserve">NSM:
</t>
        </r>
        <r>
          <rPr>
            <sz val="9"/>
            <color indexed="81"/>
            <rFont val="Tahoma"/>
            <family val="2"/>
          </rPr>
          <t xml:space="preserve">The import function will rename an incoming sheet to this value. The default is no renaming.
</t>
        </r>
      </text>
    </comment>
    <comment ref="E1" authorId="0">
      <text>
        <r>
          <rPr>
            <b/>
            <sz val="9"/>
            <color indexed="81"/>
            <rFont val="Tahoma"/>
            <family val="2"/>
          </rPr>
          <t>Nick:</t>
        </r>
        <r>
          <rPr>
            <sz val="9"/>
            <color indexed="81"/>
            <rFont val="Tahoma"/>
            <family val="2"/>
          </rPr>
          <t xml:space="preserve">
Valid sheet names are below 31 characters.</t>
        </r>
      </text>
    </comment>
    <comment ref="F1" authorId="0">
      <text>
        <r>
          <rPr>
            <b/>
            <sz val="9"/>
            <color indexed="81"/>
            <rFont val="Tahoma"/>
            <family val="2"/>
          </rPr>
          <t>NSM:</t>
        </r>
        <r>
          <rPr>
            <sz val="9"/>
            <color indexed="81"/>
            <rFont val="Tahoma"/>
            <family val="2"/>
          </rPr>
          <t xml:space="preserve">
If no extension is reported, the import function defaults to the most recently reported location from rows above.</t>
        </r>
      </text>
    </comment>
    <comment ref="G1" authorId="0">
      <text>
        <r>
          <rPr>
            <b/>
            <sz val="9"/>
            <color indexed="81"/>
            <rFont val="Tahoma"/>
            <family val="2"/>
          </rPr>
          <t>Nick:</t>
        </r>
        <r>
          <rPr>
            <sz val="9"/>
            <color indexed="81"/>
            <rFont val="Tahoma"/>
            <family val="2"/>
          </rPr>
          <t xml:space="preserve">
The import function regards any non-blank character as a "yes".</t>
        </r>
      </text>
    </comment>
    <comment ref="H1" authorId="0">
      <text>
        <r>
          <rPr>
            <b/>
            <sz val="9"/>
            <color indexed="81"/>
            <rFont val="Tahoma"/>
            <family val="2"/>
          </rPr>
          <t>Nick:</t>
        </r>
        <r>
          <rPr>
            <sz val="9"/>
            <color indexed="81"/>
            <rFont val="Tahoma"/>
            <family val="2"/>
          </rPr>
          <t xml:space="preserve">
The import function regards any non-blank character as a "yes".</t>
        </r>
      </text>
    </comment>
    <comment ref="J1" authorId="0">
      <text>
        <r>
          <rPr>
            <b/>
            <sz val="9"/>
            <color indexed="81"/>
            <rFont val="Tahoma"/>
            <family val="2"/>
          </rPr>
          <t>Nick:</t>
        </r>
        <r>
          <rPr>
            <sz val="9"/>
            <color indexed="81"/>
            <rFont val="Tahoma"/>
            <family val="2"/>
          </rPr>
          <t xml:space="preserve">
The import function regards any non-blank character as a "yes".</t>
        </r>
      </text>
    </comment>
  </commentList>
</comments>
</file>

<file path=xl/sharedStrings.xml><?xml version="1.0" encoding="utf-8"?>
<sst xmlns="http://schemas.openxmlformats.org/spreadsheetml/2006/main" count="2362" uniqueCount="1762">
  <si>
    <t>Path</t>
  </si>
  <si>
    <t>Filename</t>
  </si>
  <si>
    <t>Sheet Name</t>
  </si>
  <si>
    <t>x</t>
  </si>
  <si>
    <t>New Name</t>
  </si>
  <si>
    <t>Hide?</t>
  </si>
  <si>
    <t>Import?</t>
  </si>
  <si>
    <t>.csv</t>
  </si>
  <si>
    <t>Ext</t>
  </si>
  <si>
    <t>Replace?</t>
  </si>
  <si>
    <t>Col to Range Name</t>
  </si>
  <si>
    <t>Length</t>
  </si>
  <si>
    <t>Raw Data Table (with added ID column; see below)</t>
  </si>
  <si>
    <t>Name</t>
  </si>
  <si>
    <t>Test</t>
  </si>
  <si>
    <t>Score</t>
  </si>
  <si>
    <t>Test_ID</t>
  </si>
  <si>
    <t>Nick</t>
  </si>
  <si>
    <t>Test1</t>
  </si>
  <si>
    <t>Goal</t>
  </si>
  <si>
    <t>Test2</t>
  </si>
  <si>
    <t>Test3</t>
  </si>
  <si>
    <t>Bob</t>
  </si>
  <si>
    <t>Wladimir</t>
  </si>
  <si>
    <r>
      <t xml:space="preserve">Using INDEX (syntax: </t>
    </r>
    <r>
      <rPr>
        <sz val="11"/>
        <rFont val="Arial"/>
        <family val="2"/>
      </rPr>
      <t>index(&lt; 1: table with interesting values&gt;,&lt; 2: which row you're interested in&gt;, &lt; 3: which column you're interested in&gt;)</t>
    </r>
    <r>
      <rPr>
        <b/>
        <sz val="11"/>
        <rFont val="Arial"/>
        <family val="2"/>
      </rPr>
      <t xml:space="preserve"> )</t>
    </r>
  </si>
  <si>
    <t>This formula will take the 4th row and 3rd column of the table above:</t>
  </si>
  <si>
    <t>Example using INDEX, but with a "range name"</t>
  </si>
  <si>
    <t>in its coordinates, potentially several times if you continue to use the information there several times. Second, from looking at the formula, it's impossible to know what the contents of the table are.</t>
  </si>
  <si>
    <t>Giving a group of cells a "range name" makes referring to tables easier, and makes formulas more transparent and readable.</t>
  </si>
  <si>
    <t>If you highlight a cell (or a range of cells), click in there and type in another word, then you've just created that alias. As another quick example, I've done this with cell C25, and used it in C27 and C28:</t>
  </si>
  <si>
    <t>Temp F</t>
  </si>
  <si>
    <t>Temp C</t>
  </si>
  <si>
    <t>Farenheit to Celsius Conversion</t>
  </si>
  <si>
    <t>You can manage (i.e. create, delete, exand, re-size/re-locate) these range names by going to Formulas&gt;&gt;Name Manager.</t>
  </si>
  <si>
    <r>
      <t xml:space="preserve">Using the MATCH function
(syntax: </t>
    </r>
    <r>
      <rPr>
        <sz val="11"/>
        <rFont val="Arial"/>
        <family val="2"/>
      </rPr>
      <t>match(&lt; 1: value that you're looking for&gt;, 
&lt; 2: the row or column vector where you're looking&gt;, 
&lt; 3: "0" means return exact match; "1" means smallest value above my search value; "-1" means largest value below my search value) )</t>
    </r>
  </si>
  <si>
    <t>You can use this function to find where a particular value falls in a list. Here, the function finds that the value "Bob_Test3" is the fourth row down in the data table above.</t>
  </si>
  <si>
    <t>This will be helpful in automatically feeding data into the INDEX function by finding out how many rows to go down, and columns to go across.</t>
  </si>
  <si>
    <t>Concatenating Text</t>
  </si>
  <si>
    <t>You concatenate text using the "&amp;" operator. Take a look at the example below:</t>
  </si>
  <si>
    <t>Note that text has to be surrounded by double-quotes. Otherwise Excel will try to look for a range name of that name or for a key word, or will just plain get confused. Contrast the above formula with this one:</t>
  </si>
  <si>
    <t>Using Dollar Signs to Make Cell References Smarter</t>
  </si>
  <si>
    <t>Highly Efficient Index() Functions - Using it all together</t>
  </si>
  <si>
    <t>Using range names, you can just reference the data tables and lists that you want very clearly and simply.</t>
  </si>
  <si>
    <t>in the table above.</t>
  </si>
  <si>
    <t>Inside the first MATCH function, I use concatenation to build a unique row idea to look up in the above table.</t>
  </si>
  <si>
    <t>By using dollar signs, I just wrote one formula that know how to learn from its context and display the right value, and copied that one formula throughout the table.</t>
  </si>
  <si>
    <t>Big secret: Excel is so great! … Well, not that much of a secret. Especially if you've gotten this far.</t>
  </si>
  <si>
    <t>Storing and hiding stuff under the hood - Group and Ungroup vs. Hide and Unhide</t>
  </si>
  <si>
    <t>In the table above, the names on the left and test names on the top are both the names of the variables in the data (at the very top) and labels that we're happy to apply. In general, the labels you want will</t>
  </si>
  <si>
    <t>Ay! You found me!!</t>
  </si>
  <si>
    <t>differ from your variable names and column titles. The solution is to store your variables names in one column (for reference) and label names in another column (for display). You can obtain this solution</t>
  </si>
  <si>
    <r>
      <t xml:space="preserve">several ways. </t>
    </r>
    <r>
      <rPr>
        <b/>
        <sz val="10"/>
        <rFont val="Arial"/>
        <family val="2"/>
      </rPr>
      <t/>
    </r>
  </si>
  <si>
    <r>
      <rPr>
        <b/>
        <sz val="10"/>
        <rFont val="Arial"/>
        <family val="2"/>
      </rPr>
      <t>Second</t>
    </r>
    <r>
      <rPr>
        <sz val="10"/>
        <rFont val="Arial"/>
        <family val="2"/>
      </rPr>
      <t xml:space="preserve">, if you find all of this stuff a distraction, you can "hide" those cells. It removes them from view, but is a bit annoying. You have to go all the way through a bunch of menus to unhide stuff, PLUS you can easily </t>
    </r>
  </si>
  <si>
    <t>you are a boring person. Hiding cells is for very secret things.</t>
  </si>
  <si>
    <r>
      <t xml:space="preserve">A </t>
    </r>
    <r>
      <rPr>
        <b/>
        <sz val="10"/>
        <rFont val="Arial"/>
        <family val="2"/>
      </rPr>
      <t>third option</t>
    </r>
    <r>
      <rPr>
        <sz val="10"/>
        <rFont val="Arial"/>
        <family val="2"/>
      </rPr>
      <t xml:space="preserve"> is </t>
    </r>
    <r>
      <rPr>
        <b/>
        <sz val="10"/>
        <rFont val="Arial"/>
        <family val="2"/>
      </rPr>
      <t>grouping</t>
    </r>
    <r>
      <rPr>
        <sz val="10"/>
        <rFont val="Arial"/>
        <family val="2"/>
      </rPr>
      <t>. To do this, highlight one or more rows (or columns) and menu to Data&gt;&gt;Group&gt;&gt;Group… . This will create a margin on the left (for rows) or on the top (for columns), and adds</t>
    </r>
  </si>
  <si>
    <t>a box with a minus sign (standing for "remove from view"). If you click that minus sign, it hides the row or column and turns into a plus sign (standing for "add to view"). This makes things much more visible.</t>
  </si>
  <si>
    <r>
      <rPr>
        <b/>
        <sz val="11"/>
        <rFont val="Arial"/>
        <family val="2"/>
      </rPr>
      <t>Using INDIRECT</t>
    </r>
    <r>
      <rPr>
        <sz val="11"/>
        <rFont val="Arial"/>
        <family val="2"/>
      </rPr>
      <t xml:space="preserve"> (syntax: single argument. Takes text string, and returns the range that the string refers to)</t>
    </r>
  </si>
  <si>
    <r>
      <t xml:space="preserve">This command is </t>
    </r>
    <r>
      <rPr>
        <i/>
        <sz val="10"/>
        <rFont val="Arial"/>
        <family val="2"/>
      </rPr>
      <t>very</t>
    </r>
    <r>
      <rPr>
        <sz val="10"/>
        <rFont val="Arial"/>
        <family val="2"/>
      </rPr>
      <t xml:space="preserve"> powerful for allowing you to reference many different source tables within the same display table. The two tables at right have been given the range names "SecCode1" and</t>
    </r>
  </si>
  <si>
    <t>"SecCode2" (as well as conventional names such as "SecCode#_h" to refer to the header (which has state names) and "SecCode#_Color" to refer to the Color column). In our display table at left,</t>
  </si>
  <si>
    <t>I have put the common prefix "SecCode#" that is associated with all the ranges particular to a given table. Then, in my lookup formula, I have created references to the full table, to the header, and to the</t>
  </si>
  <si>
    <r>
      <t xml:space="preserve">ID column. </t>
    </r>
    <r>
      <rPr>
        <b/>
        <sz val="10"/>
        <rFont val="Arial"/>
        <family val="2"/>
      </rPr>
      <t>Here is where the INDIRECT()</t>
    </r>
    <r>
      <rPr>
        <sz val="10"/>
        <rFont val="Arial"/>
        <family val="2"/>
      </rPr>
      <t xml:space="preserve"> </t>
    </r>
    <r>
      <rPr>
        <b/>
        <sz val="10"/>
        <rFont val="Arial"/>
        <family val="2"/>
      </rPr>
      <t>comes in</t>
    </r>
    <r>
      <rPr>
        <sz val="10"/>
        <rFont val="Arial"/>
        <family val="2"/>
      </rPr>
      <t>. It takes a string as an argument, and then casts that information into a range object that the MATCH() and INDEX() functions take seriously. I</t>
    </r>
  </si>
  <si>
    <r>
      <t xml:space="preserve">like to refer to it as the "Pinocchio" function--it takes a wooden boy (a text string that </t>
    </r>
    <r>
      <rPr>
        <i/>
        <sz val="10"/>
        <rFont val="Arial"/>
        <family val="2"/>
      </rPr>
      <t>looks</t>
    </r>
    <r>
      <rPr>
        <sz val="10"/>
        <rFont val="Arial"/>
        <family val="2"/>
      </rPr>
      <t xml:space="preserve"> like a real range name) and makes it a real boy (a for-real range name, which thoughts, feelings, and…data).</t>
    </r>
  </si>
  <si>
    <t>Secret Code #1</t>
  </si>
  <si>
    <t>Secret Code #2</t>
  </si>
  <si>
    <t>Red</t>
  </si>
  <si>
    <t>Color</t>
  </si>
  <si>
    <t>Montana</t>
  </si>
  <si>
    <t>Nebraska</t>
  </si>
  <si>
    <t>Illinois</t>
  </si>
  <si>
    <t>Code #1</t>
  </si>
  <si>
    <t>Code #2</t>
  </si>
  <si>
    <t>SecCode1</t>
  </si>
  <si>
    <t>SecCode2</t>
  </si>
  <si>
    <t>Orange</t>
  </si>
  <si>
    <t>Yellow</t>
  </si>
  <si>
    <t>Green</t>
  </si>
  <si>
    <t>Blue</t>
  </si>
  <si>
    <t>Purple</t>
  </si>
  <si>
    <t>This comes in handy when various cells in a table look up information from different sources, e.g. separate tables for males or females, or separate tables by different types of results.</t>
  </si>
  <si>
    <t>Last, organizational note</t>
  </si>
  <si>
    <t>One thing that may be helpful is color-coding in Excel. Especially when you're working with a large tables and a lot of data, color-coding text can make things more intuitive to read.</t>
  </si>
  <si>
    <t>The following legend is a convention that I learned from the consulting firm where I worked before grad school. You can see how I've used it above.</t>
  </si>
  <si>
    <t>Raw data, hard-wired numbers, or most text.</t>
  </si>
  <si>
    <t>Simple formulas, including algebra or concatenations</t>
  </si>
  <si>
    <t>Simple references</t>
  </si>
  <si>
    <t>More complex cell references: VLOOKUPs, INDEXs, etc</t>
  </si>
  <si>
    <t>Flags for later attention, strange values, etc</t>
  </si>
  <si>
    <r>
      <rPr>
        <b/>
        <sz val="10"/>
        <rFont val="Arial"/>
        <family val="2"/>
      </rPr>
      <t>First</t>
    </r>
    <r>
      <rPr>
        <sz val="10"/>
        <rFont val="Arial"/>
        <family val="2"/>
      </rPr>
      <t>, you can put the reference columns outside of the printed area. Always an option. As in:</t>
    </r>
  </si>
  <si>
    <t>Mr. Zanoni</t>
  </si>
  <si>
    <t>Mr. Goerge</t>
  </si>
  <si>
    <t>Mr. Mader</t>
  </si>
  <si>
    <t>First Test</t>
  </si>
  <si>
    <t>Second Test</t>
  </si>
  <si>
    <t>Third Test</t>
  </si>
  <si>
    <t>Excel Lookup-Functions Tutorial</t>
  </si>
  <si>
    <t>One thing</t>
  </si>
  <si>
    <t>The other</t>
  </si>
  <si>
    <t>ž</t>
  </si>
  <si>
    <t>8</t>
  </si>
  <si>
    <t>}</t>
  </si>
  <si>
    <t>t</t>
  </si>
  <si>
    <t>à</t>
  </si>
  <si>
    <t>ä</t>
  </si>
  <si>
    <t>Œ</t>
  </si>
  <si>
    <t>A</t>
  </si>
  <si>
    <t>ˆ</t>
  </si>
  <si>
    <t> </t>
  </si>
  <si>
    <t>\</t>
  </si>
  <si>
    <t>É</t>
  </si>
  <si>
    <t>®</t>
  </si>
  <si>
    <t>Ž</t>
  </si>
  <si>
    <t>H</t>
  </si>
  <si>
    <t>Í</t>
  </si>
  <si>
    <t>B</t>
  </si>
  <si>
    <t>†</t>
  </si>
  <si>
    <t>Ô</t>
  </si>
  <si>
    <t>©</t>
  </si>
  <si>
    <t>o</t>
  </si>
  <si>
    <t>•</t>
  </si>
  <si>
    <t>±</t>
  </si>
  <si>
    <t>6</t>
  </si>
  <si>
    <t>ö</t>
  </si>
  <si>
    <t>u</t>
  </si>
  <si>
    <t>%</t>
  </si>
  <si>
    <t>3</t>
  </si>
  <si>
    <t>^</t>
  </si>
  <si>
    <t>¶</t>
  </si>
  <si>
    <t>¤</t>
  </si>
  <si>
    <t>»</t>
  </si>
  <si>
    <t>R</t>
  </si>
  <si>
    <t>County</t>
  </si>
  <si>
    <t>DuPage County</t>
  </si>
  <si>
    <t>McHenry County</t>
  </si>
  <si>
    <t>Kane County</t>
  </si>
  <si>
    <t>Lake County</t>
  </si>
  <si>
    <t>Will County</t>
  </si>
  <si>
    <t>Cook County</t>
  </si>
  <si>
    <t>Pct_Ip_Ge185_Oth_HHfnh_Nrch</t>
  </si>
  <si>
    <t>Wgt_Ip_Ge185_Oth_HHfnh_Nrch</t>
  </si>
  <si>
    <t>Pct_IpGe185OthHHfnhWrch_A5to17</t>
  </si>
  <si>
    <t>Wgt_IpGe185OthHHfnhWrch_A5to17</t>
  </si>
  <si>
    <t>Pct_IpGe185OthHHfnhWrch_ALe17</t>
  </si>
  <si>
    <t>Wgt_IpGe185OthHHfnhWrch_ALe17</t>
  </si>
  <si>
    <t>Pct_IpGe185OthHHfnhWrch_ALt5</t>
  </si>
  <si>
    <t>Wgt_IpGe185OthHHfnhWrch_ALt5</t>
  </si>
  <si>
    <t>Pct_Ip_Ge185_Oth_HHfnh_Wrch</t>
  </si>
  <si>
    <t>Wgt_Ip_Ge185_Oth_HHfnh_Wrch</t>
  </si>
  <si>
    <t>Pct_Ip_Ge185_Oth_HHfnh</t>
  </si>
  <si>
    <t>Wgt_Ip_Ge185_Oth_HHfnh</t>
  </si>
  <si>
    <t>Pct_Ip_Ge185_Oth_HHmnw_Nrch</t>
  </si>
  <si>
    <t>Wgt_Ip_Ge185_Oth_HHmnw_Nrch</t>
  </si>
  <si>
    <t>Pct_IpGe185OthHHmnwWrch_A5to17</t>
  </si>
  <si>
    <t>Wgt_IpGe185OthHHmnwWrch_A5to17</t>
  </si>
  <si>
    <t>Pct_IpGe185OthHHmnwWrch_ALe17</t>
  </si>
  <si>
    <t>Wgt_IpGe185OthHHmnwWrch_ALe17</t>
  </si>
  <si>
    <t>Pct_IpGe185OthHHmnwWrch_ALt5</t>
  </si>
  <si>
    <t>Wgt_IpGe185OthHHmnwWrch_ALt5</t>
  </si>
  <si>
    <t>Pct_Ip_Ge185_Oth_HHmnw_Wrch</t>
  </si>
  <si>
    <t>Wgt_Ip_Ge185_Oth_HHmnw_Wrch</t>
  </si>
  <si>
    <t>Pct_Ip_Ge185_Oth_HHmnw</t>
  </si>
  <si>
    <t>Wgt_Ip_Ge185_Oth_HHmnw</t>
  </si>
  <si>
    <t>Pct_Ip_Ge185_Oth</t>
  </si>
  <si>
    <t>Wgt_Ip_Ge185_Oth</t>
  </si>
  <si>
    <t>Pct_Ip_Ge185_Marcf_Nrch</t>
  </si>
  <si>
    <t>Wgt_Ip_Ge185_Marcf_Nrch</t>
  </si>
  <si>
    <t>Pct_Ip_Ge185_Marcf_Wrch_A5to17</t>
  </si>
  <si>
    <t>Wgt_Ip_Ge185_Marcf_Wrch_A5to17</t>
  </si>
  <si>
    <t>Pct_Ip_Ge185_Marcf_Wrch_ALe17</t>
  </si>
  <si>
    <t>Wgt_Ip_Ge185_Marcf_Wrch_ALe17</t>
  </si>
  <si>
    <t>Pct_Ip_Ge185_Marcf_Wrch_ALt5</t>
  </si>
  <si>
    <t>Wgt_Ip_Ge185_Marcf_Wrch_ALt5</t>
  </si>
  <si>
    <t>Pct_Ip_Ge185_Marcf_Wrch</t>
  </si>
  <si>
    <t>Wgt_Ip_Ge185_Marcf_Wrch</t>
  </si>
  <si>
    <t>Pct_Ip_Ge185_Marcf</t>
  </si>
  <si>
    <t>Wgt_Ip_Ge185_Marcf</t>
  </si>
  <si>
    <t>Pct_Ip_Ge185</t>
  </si>
  <si>
    <t>Wgt_Ip_Ge185</t>
  </si>
  <si>
    <t>Pct_Ip_15to184_Oth_HHfnh_Nrch</t>
  </si>
  <si>
    <t>Wgt_Ip_15to184_Oth_HHfnh_Nrch</t>
  </si>
  <si>
    <t>Pct_Ip15to184OthHHfnhWrch_A5to17</t>
  </si>
  <si>
    <t>Wgt_Ip15to184OthHHfnhWrch_A5to17</t>
  </si>
  <si>
    <t>Pct_Ip15to184OthHHfnhWrch_ALe17</t>
  </si>
  <si>
    <t>Wgt_Ip15to184OthHHfnhWrch_ALe17</t>
  </si>
  <si>
    <t>Pct_Ip15to184OthHHfnhWrch_ALt5</t>
  </si>
  <si>
    <t>Wgt_Ip15to184OthHHfnhWrch_ALt5</t>
  </si>
  <si>
    <t>Pct_Ip_15to184_Oth_HHfnh_Wrch</t>
  </si>
  <si>
    <t>Wgt_Ip_15to184_Oth_HHfnh_Wrch</t>
  </si>
  <si>
    <t>Pct_Ip_15to184_Oth_HHfnh</t>
  </si>
  <si>
    <t>Wgt_Ip_15to184_Oth_HHfnh</t>
  </si>
  <si>
    <t>Pct_Ip_15to184_Oth_HHmnw_Nrch</t>
  </si>
  <si>
    <t>Wgt_Ip_15to184_Oth_HHmnw_Nrch</t>
  </si>
  <si>
    <t>Pct_Ip15to184OthHHmnwWrch_A5to17</t>
  </si>
  <si>
    <t>Wgt_Ip15to184OthHHmnwWrch_A5to17</t>
  </si>
  <si>
    <t>Pct_Ip15to184OthHHmnwWrch_ALe17</t>
  </si>
  <si>
    <t>Wgt_Ip15to184OthHHmnwWrch_ALe17</t>
  </si>
  <si>
    <t>Pct_Ip15to184OthHHmnwWrch_ALt5</t>
  </si>
  <si>
    <t>Wgt_Ip15to184OthHHmnwWrch_ALt5</t>
  </si>
  <si>
    <t>Pct_Ip_15to184_Oth_HHmnw_Wrch</t>
  </si>
  <si>
    <t>Wgt_Ip_15to184_Oth_HHmnw_Wrch</t>
  </si>
  <si>
    <t>Pct_Ip_15to184_Oth_HHmnw</t>
  </si>
  <si>
    <t>Wgt_Ip_15to184_Oth_HHmnw</t>
  </si>
  <si>
    <t>Pct_Ip_15to184_Oth</t>
  </si>
  <si>
    <t>Wgt_Ip_15to184_Oth</t>
  </si>
  <si>
    <t>Pct_Ip_15to184_Marcf_Nrch</t>
  </si>
  <si>
    <t>Wgt_Ip_15to184_Marcf_Nrch</t>
  </si>
  <si>
    <t>Pct_Ip_15to184_Marcf_Wrch_A5to17</t>
  </si>
  <si>
    <t>Wgt_Ip_15to184_Marcf_Wrch_A5to17</t>
  </si>
  <si>
    <t>Pct_Ip_15to184_Marcf_Wrch_ALe17</t>
  </si>
  <si>
    <t>Wgt_Ip_15to184_Marcf_Wrch_ALe17</t>
  </si>
  <si>
    <t>Pct_Ip_15to184_Marcf_Wrch_ALt5</t>
  </si>
  <si>
    <t>Wgt_Ip_15to184_Marcf_Wrch_ALt5</t>
  </si>
  <si>
    <t>Pct_Ip_15to184_Marcf_Wrch</t>
  </si>
  <si>
    <t>Wgt_Ip_15to184_Marcf_Wrch</t>
  </si>
  <si>
    <t>Pct_Ip_15to184_Marcf</t>
  </si>
  <si>
    <t>Wgt_Ip_15to184_Marcf</t>
  </si>
  <si>
    <t>Pct_Ip_15to184</t>
  </si>
  <si>
    <t>Wgt_Ip_15to184</t>
  </si>
  <si>
    <t>Pct_Ip_13to149_Oth_HHfnh_Nrch</t>
  </si>
  <si>
    <t>Wgt_Ip_13to149_Oth_HHfnh_Nrch</t>
  </si>
  <si>
    <t>Pct_Ip13to149OthHHfnhWrch_A5to17</t>
  </si>
  <si>
    <t>Wgt_Ip13to149OthHHfnhWrch_A5to17</t>
  </si>
  <si>
    <t>Pct_Ip13to149OthHHfnhWrch_ALe17</t>
  </si>
  <si>
    <t>Wgt_Ip13to149OthHHfnhWrch_ALe17</t>
  </si>
  <si>
    <t>Pct_Ip13to149OthHHfnhWrch_ALt5</t>
  </si>
  <si>
    <t>Wgt_Ip13to149OthHHfnhWrch_ALt5</t>
  </si>
  <si>
    <t>Pct_Ip_13to149_Oth_HHfnh_Wrch</t>
  </si>
  <si>
    <t>Wgt_Ip_13to149_Oth_HHfnh_Wrch</t>
  </si>
  <si>
    <t>Pct_Ip_13to149_Oth_HHfnh</t>
  </si>
  <si>
    <t>Wgt_Ip_13to149_Oth_HHfnh</t>
  </si>
  <si>
    <t>Pct_Ip_13to149_Oth_HHmnw_Nrch</t>
  </si>
  <si>
    <t>Wgt_Ip_13to149_Oth_HHmnw_Nrch</t>
  </si>
  <si>
    <t>Pct_Ip13to149OthHHmnwWrch_A5to17</t>
  </si>
  <si>
    <t>Wgt_Ip13to149OthHHmnwWrch_A5to17</t>
  </si>
  <si>
    <t>Pct_Ip13to149OthHHmnwWrch_ALe17</t>
  </si>
  <si>
    <t>Wgt_Ip13to149OthHHmnwWrch_ALe17</t>
  </si>
  <si>
    <t>Pct_Ip13to149OthHHmnwWrch_ALt5</t>
  </si>
  <si>
    <t>Wgt_Ip13to149OthHHmnwWrch_ALt5</t>
  </si>
  <si>
    <t>Pct_Ip_13to149_Oth_HHmnw_Wrch</t>
  </si>
  <si>
    <t>Wgt_Ip_13to149_Oth_HHmnw_Wrch</t>
  </si>
  <si>
    <t>Pct_Ip_13to149_Oth_HHmnw</t>
  </si>
  <si>
    <t>Wgt_Ip_13to149_Oth_HHmnw</t>
  </si>
  <si>
    <t>Pct_Ip_13to149_Oth</t>
  </si>
  <si>
    <t>Wgt_Ip_13to149_Oth</t>
  </si>
  <si>
    <t>Pct_Ip_13to149_Marcf_Nrch</t>
  </si>
  <si>
    <t>Wgt_Ip_13to149_Marcf_Nrch</t>
  </si>
  <si>
    <t>Pct_Ip_13to149_Marcf_Wrch_A5to17</t>
  </si>
  <si>
    <t>Wgt_Ip_13to149_Marcf_Wrch_A5to17</t>
  </si>
  <si>
    <t>Pct_Ip_13to149_Marcf_Wrch_ALe17</t>
  </si>
  <si>
    <t>Wgt_Ip_13to149_Marcf_Wrch_ALe17</t>
  </si>
  <si>
    <t>Pct_Ip_13to149_Marcf_Wrch_ALt5</t>
  </si>
  <si>
    <t>Wgt_Ip_13to149_Marcf_Wrch_ALt5</t>
  </si>
  <si>
    <t>Pct_Ip_13to149_Marcf_Wrch</t>
  </si>
  <si>
    <t>Wgt_Ip_13to149_Marcf_Wrch</t>
  </si>
  <si>
    <t>Pct_Ip_13to149_Marcf</t>
  </si>
  <si>
    <t>Wgt_Ip_13to149_Marcf</t>
  </si>
  <si>
    <t>Pct_Ip_13to149</t>
  </si>
  <si>
    <t>Wgt_Ip_13to149</t>
  </si>
  <si>
    <t>Pct_Ip_Lt13_Oth_HHfnh_Nrch</t>
  </si>
  <si>
    <t>Wgt_Ip_Lt13_Oth_HHfnh_Nrch</t>
  </si>
  <si>
    <t>Pct_IpLt13OthHHfnhWrch_A5to17</t>
  </si>
  <si>
    <t>Wgt_IpLt13OthHHfnhWrch_A5to17</t>
  </si>
  <si>
    <t>Pct_IpLt13OthHHfnhWrch_ALe17</t>
  </si>
  <si>
    <t>Wgt_IpLt13OthHHfnhWrch_ALe17</t>
  </si>
  <si>
    <t>Pct_IpLt13OthHHfnhWrch_ALt5</t>
  </si>
  <si>
    <t>Wgt_IpLt13OthHHfnhWrch_ALt5</t>
  </si>
  <si>
    <t>Pct_Ip_Lt13_Oth_HHfnh_Wrch</t>
  </si>
  <si>
    <t>Wgt_Ip_Lt13_Oth_HHfnh_Wrch</t>
  </si>
  <si>
    <t>Pct_Ip_Lt13_Oth_HHfnh</t>
  </si>
  <si>
    <t>Wgt_Ip_Lt13_Oth_HHfnh</t>
  </si>
  <si>
    <t>Pct_Ip_Lt13_Oth_HHmnw_Nrch</t>
  </si>
  <si>
    <t>Wgt_Ip_Lt13_Oth_HHmnw_Nrch</t>
  </si>
  <si>
    <t>Pct_IpLt13OthHHmnwWrch_A5to17</t>
  </si>
  <si>
    <t>Wgt_IpLt13OthHHmnwWrch_A5to17</t>
  </si>
  <si>
    <t>Pct_IpLt13OthHHmnwWrch_ALe17</t>
  </si>
  <si>
    <t>Wgt_IpLt13OthHHmnwWrch_ALe17</t>
  </si>
  <si>
    <t>Pct_IpLt13OthHHmnwWrch_ALt5</t>
  </si>
  <si>
    <t>Wgt_IpLt13OthHHmnwWrch_ALt5</t>
  </si>
  <si>
    <t>Pct_Ip_Lt13_Oth_HHmnw_Wrch</t>
  </si>
  <si>
    <t>Wgt_Ip_Lt13_Oth_HHmnw_Wrch</t>
  </si>
  <si>
    <t>Pct_Ip_Lt13_Oth_HHmnw</t>
  </si>
  <si>
    <t>Wgt_Ip_Lt13_Oth_HHmnw</t>
  </si>
  <si>
    <t>Pct_Ip_Lt13_Oth</t>
  </si>
  <si>
    <t>Wgt_Ip_Lt13_Oth</t>
  </si>
  <si>
    <t>Pct_Ip_Lt13_Marcf_Nrch</t>
  </si>
  <si>
    <t>Wgt_Ip_Lt13_Marcf_Nrch</t>
  </si>
  <si>
    <t>Pct_Ip_Lt13_Marcf_Wrch_A5to17</t>
  </si>
  <si>
    <t>Wgt_Ip_Lt13_Marcf_Wrch_A5to17</t>
  </si>
  <si>
    <t>Pct_Ip_Lt13_Marcf_Wrch_ALe17</t>
  </si>
  <si>
    <t>Wgt_Ip_Lt13_Marcf_Wrch_ALe17</t>
  </si>
  <si>
    <t>Pct_Ip_Lt13_Marcf_Wrch_ALt5</t>
  </si>
  <si>
    <t>Wgt_Ip_Lt13_Marcf_Wrch_ALt5</t>
  </si>
  <si>
    <t>Pct_Ip_Lt13_Marcf_Wrch</t>
  </si>
  <si>
    <t>Wgt_Ip_Lt13_Marcf_Wrch</t>
  </si>
  <si>
    <t>Pct_Ip_Lt13_Marcf</t>
  </si>
  <si>
    <t>Wgt_Ip_Lt13_Marcf</t>
  </si>
  <si>
    <t>Pct_Ip_Lt13</t>
  </si>
  <si>
    <t>Wgt_Ip_Lt13</t>
  </si>
  <si>
    <t>Pct_AGe16_GePov_Gf_Lfp_U</t>
  </si>
  <si>
    <t>Wgt_AGe16_GePov_Gf_Lfp_U</t>
  </si>
  <si>
    <t>Pct_AGe16_GePov_Gf_Lfp_E</t>
  </si>
  <si>
    <t>Wgt_AGe16_GePov_Gf_Lfp_E</t>
  </si>
  <si>
    <t>Pct_AGe16_GePov_Gf_NoLfp</t>
  </si>
  <si>
    <t>Wgt_AGe16_GePov_Gf_NoLfp</t>
  </si>
  <si>
    <t>Pct_AGe16_GePov_Gf_Lfp</t>
  </si>
  <si>
    <t>Wgt_AGe16_GePov_Gf_Lfp</t>
  </si>
  <si>
    <t>Pct_AGe16_GePov_Gf_Dnw</t>
  </si>
  <si>
    <t>Wgt_AGe16_GePov_Gf_Dnw</t>
  </si>
  <si>
    <t>Pct_AGe16_GePov_Gf_WrkPtPy</t>
  </si>
  <si>
    <t>Wgt_AGe16_GePov_Gf_WrkPtPy</t>
  </si>
  <si>
    <t>Pct_AGe16_GePov_Gf_WrkFtYrr</t>
  </si>
  <si>
    <t>Wgt_AGe16_GePov_Gf_WrkFtYrr</t>
  </si>
  <si>
    <t>Pct_AGe16_GePov_Gf</t>
  </si>
  <si>
    <t>Wgt_AGe16_GePov_Gf</t>
  </si>
  <si>
    <t>Pct_AGe16_GePov_Gm_Lfp_U</t>
  </si>
  <si>
    <t>Wgt_AGe16_GePov_Gm_Lfp_U</t>
  </si>
  <si>
    <t>Pct_AGe16_GePov_Gm_Lfp_E</t>
  </si>
  <si>
    <t>Wgt_AGe16_GePov_Gm_Lfp_E</t>
  </si>
  <si>
    <t>Pct_AGe16_GePov_Gm_NoLfp</t>
  </si>
  <si>
    <t>Wgt_AGe16_GePov_Gm_NoLfp</t>
  </si>
  <si>
    <t>Pct_AGe16_GePov_Gm_Lfp</t>
  </si>
  <si>
    <t>Wgt_AGe16_GePov_Gm_Lfp</t>
  </si>
  <si>
    <t>Pct_AGe16_GePov_Gm_Dnw</t>
  </si>
  <si>
    <t>Wgt_AGe16_GePov_Gm_Dnw</t>
  </si>
  <si>
    <t>Pct_AGe16_GePov_Gm_WrkPtPy</t>
  </si>
  <si>
    <t>Wgt_AGe16_GePov_Gm_WrkPtPy</t>
  </si>
  <si>
    <t>Pct_AGe16_GePov_Gm_WrkFtYrr</t>
  </si>
  <si>
    <t>Wgt_AGe16_GePov_Gm_WrkFtYrr</t>
  </si>
  <si>
    <t>Pct_AGe16_GePov_Gm</t>
  </si>
  <si>
    <t>Wgt_AGe16_GePov_Gm</t>
  </si>
  <si>
    <t>Pct_AGe16_GePov</t>
  </si>
  <si>
    <t>Wgt_AGe16_GePov</t>
  </si>
  <si>
    <t>Pct_AGe16_LtPov_Gf_Lfp_U</t>
  </si>
  <si>
    <t>Wgt_AGe16_LtPov_Gf_Lfp_U</t>
  </si>
  <si>
    <t>Pct_AGe16_LtPov_Gf_Lfp_E</t>
  </si>
  <si>
    <t>Wgt_AGe16_LtPov_Gf_Lfp_E</t>
  </si>
  <si>
    <t>Pct_AGe16_LtPov_Gf_NoLfp</t>
  </si>
  <si>
    <t>Wgt_AGe16_LtPov_Gf_NoLfp</t>
  </si>
  <si>
    <t>Pct_AGe16_LtPov_Gf_Lfp</t>
  </si>
  <si>
    <t>Wgt_AGe16_LtPov_Gf_Lfp</t>
  </si>
  <si>
    <t>Pct_AGe16_LtPov_Gf_Dnw</t>
  </si>
  <si>
    <t>Wgt_AGe16_LtPov_Gf_Dnw</t>
  </si>
  <si>
    <t>Pct_AGe16_LtPov_Gf_WrkPtPy</t>
  </si>
  <si>
    <t>Wgt_AGe16_LtPov_Gf_WrkPtPy</t>
  </si>
  <si>
    <t>Pct_AGe16_LtPov_Gf_WrkFtYrr</t>
  </si>
  <si>
    <t>Wgt_AGe16_LtPov_Gf_WrkFtYrr</t>
  </si>
  <si>
    <t>Pct_AGe16_LtPov_Gf</t>
  </si>
  <si>
    <t>Wgt_AGe16_LtPov_Gf</t>
  </si>
  <si>
    <t>Pct_AGe16_LtPov_Gm_Lfp_U</t>
  </si>
  <si>
    <t>Wgt_AGe16_LtPov_Gm_Lfp_U</t>
  </si>
  <si>
    <t>Pct_AGe16_LtPov_Gm_Lfp_E</t>
  </si>
  <si>
    <t>Wgt_AGe16_LtPov_Gm_Lfp_E</t>
  </si>
  <si>
    <t>Pct_AGe16_LtPov_Gm_NoLfp</t>
  </si>
  <si>
    <t>Wgt_AGe16_LtPov_Gm_NoLfp</t>
  </si>
  <si>
    <t>Pct_AGe16_LtPov_Gm_Lfp</t>
  </si>
  <si>
    <t>Wgt_AGe16_LtPov_Gm_Lfp</t>
  </si>
  <si>
    <t>Pct_AGe16_LtPov_Gm_Dnw</t>
  </si>
  <si>
    <t>Wgt_AGe16_LtPov_Gm_Dnw</t>
  </si>
  <si>
    <t>Pct_AGe16_LtPov_Gm_WrkPtPy</t>
  </si>
  <si>
    <t>Wgt_AGe16_LtPov_Gm_WrkPtPy</t>
  </si>
  <si>
    <t>Pct_AGe16_LtPov_Gm_WrkFtYrr</t>
  </si>
  <si>
    <t>Wgt_AGe16_LtPov_Gm_WrkFtYrr</t>
  </si>
  <si>
    <t>Pct_AGe16_LtPov_Gm</t>
  </si>
  <si>
    <t>Wgt_AGe16_LtPov_Gm</t>
  </si>
  <si>
    <t>Pct_AGe16_LtPov</t>
  </si>
  <si>
    <t>Wgt_AGe16_LtPov</t>
  </si>
  <si>
    <t>Pct_AGe25_GePov_Gf_GeBach</t>
  </si>
  <si>
    <t>Wgt_AGe25_GePov_Gf_GeBach</t>
  </si>
  <si>
    <t>Pct_AGe25_GePov_Gf_ScAa</t>
  </si>
  <si>
    <t>Wgt_AGe25_GePov_Gf_ScAa</t>
  </si>
  <si>
    <t>Pct_AGe25_GePov_Gf_Hs</t>
  </si>
  <si>
    <t>Wgt_AGe25_GePov_Gf_Hs</t>
  </si>
  <si>
    <t>Pct_AGe25_GePov_Gf_LtHs</t>
  </si>
  <si>
    <t>Wgt_AGe25_GePov_Gf_LtHs</t>
  </si>
  <si>
    <t>Pct_AGe25_GePov_Gf</t>
  </si>
  <si>
    <t>Wgt_AGe25_GePov_Gf</t>
  </si>
  <si>
    <t>Pct_AGe25_GePov_Gm_GeBach</t>
  </si>
  <si>
    <t>Wgt_AGe25_GePov_Gm_GeBach</t>
  </si>
  <si>
    <t>Pct_AGe25_GePov_Gm_ScAa</t>
  </si>
  <si>
    <t>Wgt_AGe25_GePov_Gm_ScAa</t>
  </si>
  <si>
    <t>Pct_AGe25_GePov_Gm_Hs</t>
  </si>
  <si>
    <t>Wgt_AGe25_GePov_Gm_Hs</t>
  </si>
  <si>
    <t>Pct_AGe25_GePov_Gm_LtHs</t>
  </si>
  <si>
    <t>Wgt_AGe25_GePov_Gm_LtHs</t>
  </si>
  <si>
    <t>Pct_AGe25_GePov_Gm</t>
  </si>
  <si>
    <t>Wgt_AGe25_GePov_Gm</t>
  </si>
  <si>
    <t>Pct_AGe25_GePov</t>
  </si>
  <si>
    <t>Wgt_AGe25_GePov</t>
  </si>
  <si>
    <t>Pct_AGe25_LtPov_Gf_GeBach</t>
  </si>
  <si>
    <t>Wgt_AGe25_LtPov_Gf_GeBach</t>
  </si>
  <si>
    <t>Pct_AGe25_LtPov_Gf_ScAa</t>
  </si>
  <si>
    <t>Wgt_AGe25_LtPov_Gf_ScAa</t>
  </si>
  <si>
    <t>Pct_AGe25_LtPov_Gf_Hs</t>
  </si>
  <si>
    <t>Wgt_AGe25_LtPov_Gf_Hs</t>
  </si>
  <si>
    <t>Pct_AGe25_LtPov_Gf_LtHs</t>
  </si>
  <si>
    <t>Wgt_AGe25_LtPov_Gf_LtHs</t>
  </si>
  <si>
    <t>Pct_AGe25_LtPov_Gf</t>
  </si>
  <si>
    <t>Wgt_AGe25_LtPov_Gf</t>
  </si>
  <si>
    <t>Pct_AGe25_LtPov_Gm_GeBach</t>
  </si>
  <si>
    <t>Wgt_AGe25_LtPov_Gm_GeBach</t>
  </si>
  <si>
    <t>Pct_AGe25_LtPov_Gm_ScAa</t>
  </si>
  <si>
    <t>Wgt_AGe25_LtPov_Gm_ScAa</t>
  </si>
  <si>
    <t>Pct_AGe25_LtPov_Gm_Hs</t>
  </si>
  <si>
    <t>Wgt_AGe25_LtPov_Gm_Hs</t>
  </si>
  <si>
    <t>Pct_AGe25_LtPov_Gm_LtHs</t>
  </si>
  <si>
    <t>Wgt_AGe25_LtPov_Gm_LtHs</t>
  </si>
  <si>
    <t>Pct_AGe25_LtPov_Gm</t>
  </si>
  <si>
    <t>Wgt_AGe25_LtPov_Gm</t>
  </si>
  <si>
    <t>Pct_AGe25_LtPov</t>
  </si>
  <si>
    <t>Wgt_AGe25_LtPov</t>
  </si>
  <si>
    <t>Pct_GtPov_Gf_AGe75</t>
  </si>
  <si>
    <t>Wgt_GtPov_Gf_AGe75</t>
  </si>
  <si>
    <t>Pct_GtPov_Gf_A65to74</t>
  </si>
  <si>
    <t>Wgt_GtPov_Gf_A65to74</t>
  </si>
  <si>
    <t>Pct_GtPov_Gf_A55to64</t>
  </si>
  <si>
    <t>Wgt_GtPov_Gf_A55to64</t>
  </si>
  <si>
    <t>Pct_GtPov_Gf_A45to54</t>
  </si>
  <si>
    <t>Wgt_GtPov_Gf_A45to54</t>
  </si>
  <si>
    <t>Pct_GtPov_Gf_A35to44</t>
  </si>
  <si>
    <t>Wgt_GtPov_Gf_A35to44</t>
  </si>
  <si>
    <t>Pct_GtPov_Gf_A25to34</t>
  </si>
  <si>
    <t>Wgt_GtPov_Gf_A25to34</t>
  </si>
  <si>
    <t>Pct_GtPov_Gf_A18to24</t>
  </si>
  <si>
    <t>Wgt_GtPov_Gf_A18to24</t>
  </si>
  <si>
    <t>Pct_GtPov_Gf_A16to17</t>
  </si>
  <si>
    <t>Wgt_GtPov_Gf_A16to17</t>
  </si>
  <si>
    <t>Pct_GtPov_Gf_A15</t>
  </si>
  <si>
    <t>Wgt_GtPov_Gf_A15</t>
  </si>
  <si>
    <t>Pct_GtPov_Gf_A12to14</t>
  </si>
  <si>
    <t>Wgt_GtPov_Gf_A12to14</t>
  </si>
  <si>
    <t>Pct_GtPov_Gf_A6to11</t>
  </si>
  <si>
    <t>Wgt_GtPov_Gf_A6to11</t>
  </si>
  <si>
    <t>Pct_GtPov_Gf_A5</t>
  </si>
  <si>
    <t>Wgt_GtPov_Gf_A5</t>
  </si>
  <si>
    <t>Pct_GtPov_Gf_ALt5</t>
  </si>
  <si>
    <t>Wgt_GtPov_Gf_ALt5</t>
  </si>
  <si>
    <t>Pct_GtPov_Gf</t>
  </si>
  <si>
    <t>Wgt_GtPov_Gf</t>
  </si>
  <si>
    <t>Pct_GtPov_Gm_AGe75</t>
  </si>
  <si>
    <t>Wgt_GtPov_Gm_AGe75</t>
  </si>
  <si>
    <t>Pct_GtPov_Gm_A65to74</t>
  </si>
  <si>
    <t>Wgt_GtPov_Gm_A65to74</t>
  </si>
  <si>
    <t>Pct_GtPov_Gm_A55to64</t>
  </si>
  <si>
    <t>Wgt_GtPov_Gm_A55to64</t>
  </si>
  <si>
    <t>Pct_GtPov_Gm_A45to54</t>
  </si>
  <si>
    <t>Wgt_GtPov_Gm_A45to54</t>
  </si>
  <si>
    <t>Pct_GtPov_Gm_A35to44</t>
  </si>
  <si>
    <t>Wgt_GtPov_Gm_A35to44</t>
  </si>
  <si>
    <t>Pct_GtPov_Gm_A25to34</t>
  </si>
  <si>
    <t>Wgt_GtPov_Gm_A25to34</t>
  </si>
  <si>
    <t>Pct_GtPov_Gm_A18to24</t>
  </si>
  <si>
    <t>Wgt_GtPov_Gm_A18to24</t>
  </si>
  <si>
    <t>Pct_GtPov_Gm_A16to17</t>
  </si>
  <si>
    <t>Wgt_GtPov_Gm_A16to17</t>
  </si>
  <si>
    <t>Pct_GtPov_Gm_A15</t>
  </si>
  <si>
    <t>Wgt_GtPov_Gm_A15</t>
  </si>
  <si>
    <t>Pct_GtPov_Gm_A12to14</t>
  </si>
  <si>
    <t>Wgt_GtPov_Gm_A12to14</t>
  </si>
  <si>
    <t>Pct_GtPov_Gm_A6to11</t>
  </si>
  <si>
    <t>Wgt_GtPov_Gm_A6to11</t>
  </si>
  <si>
    <t>Pct_GtPov_Gm_A5</t>
  </si>
  <si>
    <t>Wgt_GtPov_Gm_A5</t>
  </si>
  <si>
    <t>Pct_GtPov_Gm_ALt5</t>
  </si>
  <si>
    <t>Wgt_GtPov_Gm_ALt5</t>
  </si>
  <si>
    <t>Pct_GtPov_Gm</t>
  </si>
  <si>
    <t>Wgt_GtPov_Gm</t>
  </si>
  <si>
    <t>Pct_LtPov_Gf_AGe75</t>
  </si>
  <si>
    <t>Wgt_LtPov_Gf_AGe75</t>
  </si>
  <si>
    <t>Pct_LtPov_Gf_A65to74</t>
  </si>
  <si>
    <t>Wgt_LtPov_Gf_A65to74</t>
  </si>
  <si>
    <t>Pct_LtPov_Gf_A55to64</t>
  </si>
  <si>
    <t>Wgt_LtPov_Gf_A55to64</t>
  </si>
  <si>
    <t>Pct_LtPov_Gf_A45to54</t>
  </si>
  <si>
    <t>Wgt_LtPov_Gf_A45to54</t>
  </si>
  <si>
    <t>Pct_LtPov_Gf_A35to44</t>
  </si>
  <si>
    <t>Wgt_LtPov_Gf_A35to44</t>
  </si>
  <si>
    <t>Pct_LtPov_Gf_A25to34</t>
  </si>
  <si>
    <t>Wgt_LtPov_Gf_A25to34</t>
  </si>
  <si>
    <t>Pct_LtPov_Gf_A18to24</t>
  </si>
  <si>
    <t>Wgt_LtPov_Gf_A18to24</t>
  </si>
  <si>
    <t>Pct_LtPov_Gf_A16to17</t>
  </si>
  <si>
    <t>Wgt_LtPov_Gf_A16to17</t>
  </si>
  <si>
    <t>Pct_LtPov_Gf_A15</t>
  </si>
  <si>
    <t>Wgt_LtPov_Gf_A15</t>
  </si>
  <si>
    <t>Pct_LtPov_Gf_A12to14</t>
  </si>
  <si>
    <t>Wgt_LtPov_Gf_A12to14</t>
  </si>
  <si>
    <t>Pct_LtPov_Gf_A6to11</t>
  </si>
  <si>
    <t>Wgt_LtPov_Gf_A6to11</t>
  </si>
  <si>
    <t>Pct_LtPov_Gf_A5</t>
  </si>
  <si>
    <t>Wgt_LtPov_Gf_A5</t>
  </si>
  <si>
    <t>Pct_LtPov_Gf_ALt5</t>
  </si>
  <si>
    <t>Wgt_LtPov_Gf_ALt5</t>
  </si>
  <si>
    <t>Pct_LtPov_Gf</t>
  </si>
  <si>
    <t>Wgt_LtPov_Gf</t>
  </si>
  <si>
    <t>Pct_LtPov_Gm_AGe75</t>
  </si>
  <si>
    <t>Wgt_LtPov_Gm_AGe75</t>
  </si>
  <si>
    <t>Pct_LtPov_Gm_A65to74</t>
  </si>
  <si>
    <t>Wgt_LtPov_Gm_A65to74</t>
  </si>
  <si>
    <t>Pct_LtPov_Gm_A55to64</t>
  </si>
  <si>
    <t>Wgt_LtPov_Gm_A55to64</t>
  </si>
  <si>
    <t>Pct_LtPov_Gm_A45to54</t>
  </si>
  <si>
    <t>Wgt_LtPov_Gm_A45to54</t>
  </si>
  <si>
    <t>Pct_LtPov_Gm_A35to44</t>
  </si>
  <si>
    <t>Wgt_LtPov_Gm_A35to44</t>
  </si>
  <si>
    <t>Pct_LtPov_Gm_A25to34</t>
  </si>
  <si>
    <t>Wgt_LtPov_Gm_A25to34</t>
  </si>
  <si>
    <t>Pct_LtPov_Gm_A18to24</t>
  </si>
  <si>
    <t>Wgt_LtPov_Gm_A18to24</t>
  </si>
  <si>
    <t>Pct_LtPov_Gm_A16to17</t>
  </si>
  <si>
    <t>Wgt_LtPov_Gm_A16to17</t>
  </si>
  <si>
    <t>Pct_LtPov_Gm_A15</t>
  </si>
  <si>
    <t>Wgt_LtPov_Gm_A15</t>
  </si>
  <si>
    <t>Pct_LtPov_Gm_A12to14</t>
  </si>
  <si>
    <t>Wgt_LtPov_Gm_A12to14</t>
  </si>
  <si>
    <t>Pct_LtPov_Gm_A6to11</t>
  </si>
  <si>
    <t>Wgt_LtPov_Gm_A6to11</t>
  </si>
  <si>
    <t>Pct_LtPov_Gm_A5</t>
  </si>
  <si>
    <t>Wgt_LtPov_Gm_A5</t>
  </si>
  <si>
    <t>Pct_LtPov_Gm_ALt5</t>
  </si>
  <si>
    <t>Wgt_LtPov_Gm_ALt5</t>
  </si>
  <si>
    <t>Pct_LtPov_Gm</t>
  </si>
  <si>
    <t>Wgt_LtPov_Gm</t>
  </si>
  <si>
    <t>Span</t>
  </si>
  <si>
    <t>Year</t>
  </si>
  <si>
    <t>Cook</t>
  </si>
  <si>
    <t>Will</t>
  </si>
  <si>
    <t>Lake</t>
  </si>
  <si>
    <t>Kane</t>
  </si>
  <si>
    <t>McHenry</t>
  </si>
  <si>
    <t>DuPage</t>
  </si>
  <si>
    <t>% Women Below Poverty Line</t>
  </si>
  <si>
    <t>... with HS Ed</t>
  </si>
  <si>
    <t>... with Some College or Associate's</t>
  </si>
  <si>
    <t>format</t>
  </si>
  <si>
    <t>variable</t>
  </si>
  <si>
    <t>County_Year</t>
  </si>
  <si>
    <t>Cook County_2008</t>
  </si>
  <si>
    <t>Will County_2008</t>
  </si>
  <si>
    <t>Lake County_2008</t>
  </si>
  <si>
    <t>Kane County_2008</t>
  </si>
  <si>
    <t>McHenry County_2008</t>
  </si>
  <si>
    <t>DuPage County_2008</t>
  </si>
  <si>
    <t>Cook County_2009</t>
  </si>
  <si>
    <t>Will County_2009</t>
  </si>
  <si>
    <t>Lake County_2009</t>
  </si>
  <si>
    <t>Kane County_2009</t>
  </si>
  <si>
    <t>McHenry County_2009</t>
  </si>
  <si>
    <t>DuPage County_2009</t>
  </si>
  <si>
    <t>Cook County_2010</t>
  </si>
  <si>
    <t>Will County_2010</t>
  </si>
  <si>
    <t>Lake County_2010</t>
  </si>
  <si>
    <t>Kane County_2010</t>
  </si>
  <si>
    <t>McHenry County_2010</t>
  </si>
  <si>
    <t>DuPage County_2010</t>
  </si>
  <si>
    <t>Cook County_2011</t>
  </si>
  <si>
    <t>Will County_2011</t>
  </si>
  <si>
    <t>Lake County_2011</t>
  </si>
  <si>
    <t>Kane County_2011</t>
  </si>
  <si>
    <t>McHenry County_2011</t>
  </si>
  <si>
    <t>DuPage County_2011</t>
  </si>
  <si>
    <t>Cook County_2012</t>
  </si>
  <si>
    <t>Will County_2012</t>
  </si>
  <si>
    <t>Lake County_2012</t>
  </si>
  <si>
    <t>Kane County_2012</t>
  </si>
  <si>
    <t>McHenry County_2012</t>
  </si>
  <si>
    <t>DuPage County_2012</t>
  </si>
  <si>
    <t>... with Bachelor's or Higher</t>
  </si>
  <si>
    <t>... with less than HS Ed</t>
  </si>
  <si>
    <t>All Women</t>
  </si>
  <si>
    <t>Less than HS</t>
  </si>
  <si>
    <t>HS Ed</t>
  </si>
  <si>
    <t>Some Coll</t>
  </si>
  <si>
    <t>BA or More</t>
  </si>
  <si>
    <t>C:\Users\nmader\Documents\GitHub\acs-shop-cook-serve\data\out-data</t>
  </si>
  <si>
    <t>ACS_1YR_MasterData</t>
  </si>
  <si>
    <t>Pct_Roc_NonFHH</t>
  </si>
  <si>
    <t>Wgt_Roc_NonFHH</t>
  </si>
  <si>
    <t>Pct_Roc_FHH_Oth_HHfnh_Noch</t>
  </si>
  <si>
    <t>Wgt_Roc_FHH_Oth_HHfnh_Noch</t>
  </si>
  <si>
    <t>Pct_Roc_FHH_Oth_HHfnh_Woch</t>
  </si>
  <si>
    <t>Wgt_Roc_FHH_Oth_HHfnh_Woch</t>
  </si>
  <si>
    <t>Pct_Roc_FHH_Oth_HHfnh</t>
  </si>
  <si>
    <t>Wgt_Roc_FHH_Oth_HHfnh</t>
  </si>
  <si>
    <t>Pct_Roc_FHH_Oth_HHmnw_Noch</t>
  </si>
  <si>
    <t>Wgt_Roc_FHH_Oth_HHmnw_Noch</t>
  </si>
  <si>
    <t>Pct_Roc_FHH_Oth_HHmnw_Woch</t>
  </si>
  <si>
    <t>Wgt_Roc_FHH_Oth_HHmnw_Woch</t>
  </si>
  <si>
    <t>Pct_Roc_FHH_Oth_HHmnw</t>
  </si>
  <si>
    <t>Wgt_Roc_FHH_Oth_HHmnw</t>
  </si>
  <si>
    <t>Pct_Roc_FHH_Oth</t>
  </si>
  <si>
    <t>Wgt_Roc_FHH_Oth</t>
  </si>
  <si>
    <t>Pct_Roc_FHH_Marcf_Noch</t>
  </si>
  <si>
    <t>Wgt_Roc_FHH_Marcf_Noch</t>
  </si>
  <si>
    <t>Pct_Roc_FHH_Marcf_Woch</t>
  </si>
  <si>
    <t>Wgt_Roc_FHH_Marcf_Woch</t>
  </si>
  <si>
    <t>Pct_Roc_FHH_Marcf</t>
  </si>
  <si>
    <t>Wgt_Roc_FHH_Marcf</t>
  </si>
  <si>
    <t>Pct_Roc_FHH</t>
  </si>
  <si>
    <t>Wgt_Roc_FHH</t>
  </si>
  <si>
    <t>Pct_Roc</t>
  </si>
  <si>
    <t>Wgt_Roc</t>
  </si>
  <si>
    <t>Pct_Owoc_NonFHH</t>
  </si>
  <si>
    <t>Wgt_Owoc_NonFHH</t>
  </si>
  <si>
    <t>Pct_Owoc_FHH_Oth_HHfnh_Noch</t>
  </si>
  <si>
    <t>Wgt_Owoc_FHH_Oth_HHfnh_Noch</t>
  </si>
  <si>
    <t>Pct_Owoc_FHH_Oth_HHfnh_Woch</t>
  </si>
  <si>
    <t>Wgt_Owoc_FHH_Oth_HHfnh_Woch</t>
  </si>
  <si>
    <t>Pct_Owoc_FHH_Oth_HHfnh</t>
  </si>
  <si>
    <t>Wgt_Owoc_FHH_Oth_HHfnh</t>
  </si>
  <si>
    <t>Pct_Owoc_FHH_Oth_HHmnw_Noch</t>
  </si>
  <si>
    <t>Wgt_Owoc_FHH_Oth_HHmnw_Noch</t>
  </si>
  <si>
    <t>Pct_Owoc_FHH_Oth_HHmnw_Woch</t>
  </si>
  <si>
    <t>Wgt_Owoc_FHH_Oth_HHmnw_Woch</t>
  </si>
  <si>
    <t>Pct_Owoc_FHH_Oth_HHmnw</t>
  </si>
  <si>
    <t>Wgt_Owoc_FHH_Oth_HHmnw</t>
  </si>
  <si>
    <t>Pct_Owoc_FHH_Oth</t>
  </si>
  <si>
    <t>Wgt_Owoc_FHH_Oth</t>
  </si>
  <si>
    <t>Pct_Owoc_FHH_Marcf_Noch</t>
  </si>
  <si>
    <t>Wgt_Owoc_FHH_Marcf_Noch</t>
  </si>
  <si>
    <t>Pct_Owoc_FHH_Marcf_Woch</t>
  </si>
  <si>
    <t>Wgt_Owoc_FHH_Marcf_Woch</t>
  </si>
  <si>
    <t>Pct_Owoc_FHH_Marcf</t>
  </si>
  <si>
    <t>Wgt_Owoc_FHH_Marcf</t>
  </si>
  <si>
    <t>Pct_Owoc_FHH</t>
  </si>
  <si>
    <t>Wgt_Owoc_FHH</t>
  </si>
  <si>
    <t>Pct_Owoc</t>
  </si>
  <si>
    <t>Wgt_Owoc</t>
  </si>
  <si>
    <t>Pct_Gf_Div_AGe85</t>
  </si>
  <si>
    <t>Wgt_Gf_Div_AGe85</t>
  </si>
  <si>
    <t>Pct_Gf_Div_A75to84</t>
  </si>
  <si>
    <t>Wgt_Gf_Div_A75to84</t>
  </si>
  <si>
    <t>Pct_Gf_Div_A65to74</t>
  </si>
  <si>
    <t>Wgt_Gf_Div_A65to74</t>
  </si>
  <si>
    <t>Pct_Gf_Div_A60to64</t>
  </si>
  <si>
    <t>Wgt_Gf_Div_A60to64</t>
  </si>
  <si>
    <t>Pct_Gf_Div_A55to59</t>
  </si>
  <si>
    <t>Wgt_Gf_Div_A55to59</t>
  </si>
  <si>
    <t>Pct_Gf_Div_A50to54</t>
  </si>
  <si>
    <t>Wgt_Gf_Div_A50to54</t>
  </si>
  <si>
    <t>Pct_Gf_Div_A45to49</t>
  </si>
  <si>
    <t>Wgt_Gf_Div_A45to49</t>
  </si>
  <si>
    <t>Pct_Gf_Div_A40to44</t>
  </si>
  <si>
    <t>Wgt_Gf_Div_A40to44</t>
  </si>
  <si>
    <t>Pct_Gf_Div_A35to39</t>
  </si>
  <si>
    <t>Wgt_Gf_Div_A35to39</t>
  </si>
  <si>
    <t>Pct_Gf_Div_A30to34</t>
  </si>
  <si>
    <t>Wgt_Gf_Div_A30to34</t>
  </si>
  <si>
    <t>Pct_Gf_Div_A25to29</t>
  </si>
  <si>
    <t>Wgt_Gf_Div_A25to29</t>
  </si>
  <si>
    <t>Pct_Gf_Div_A20to24</t>
  </si>
  <si>
    <t>Wgt_Gf_Div_A20to24</t>
  </si>
  <si>
    <t>Pct_Gf_Div_A18to19</t>
  </si>
  <si>
    <t>Wgt_Gf_Div_A18to19</t>
  </si>
  <si>
    <t>Pct_Gf_Div_A15to17</t>
  </si>
  <si>
    <t>Wgt_Gf_Div_A15to17</t>
  </si>
  <si>
    <t>Pct_Gf_Div</t>
  </si>
  <si>
    <t>Wgt_Gf_Div</t>
  </si>
  <si>
    <t>Pct_Gf_Wid_AGe85</t>
  </si>
  <si>
    <t>Wgt_Gf_Wid_AGe85</t>
  </si>
  <si>
    <t>Pct_Gf_Wid_A75to84</t>
  </si>
  <si>
    <t>Wgt_Gf_Wid_A75to84</t>
  </si>
  <si>
    <t>Pct_Gf_Wid_A65to74</t>
  </si>
  <si>
    <t>Wgt_Gf_Wid_A65to74</t>
  </si>
  <si>
    <t>Pct_Gf_Wid_A60to64</t>
  </si>
  <si>
    <t>Wgt_Gf_Wid_A60to64</t>
  </si>
  <si>
    <t>Pct_Gf_Wid_A55to59</t>
  </si>
  <si>
    <t>Wgt_Gf_Wid_A55to59</t>
  </si>
  <si>
    <t>Pct_Gf_Wid_A50to54</t>
  </si>
  <si>
    <t>Wgt_Gf_Wid_A50to54</t>
  </si>
  <si>
    <t>Pct_Gf_Wid_A45to49</t>
  </si>
  <si>
    <t>Wgt_Gf_Wid_A45to49</t>
  </si>
  <si>
    <t>Pct_Gf_Wid_A40to44</t>
  </si>
  <si>
    <t>Wgt_Gf_Wid_A40to44</t>
  </si>
  <si>
    <t>Pct_Gf_Wid_A35to39</t>
  </si>
  <si>
    <t>Wgt_Gf_Wid_A35to39</t>
  </si>
  <si>
    <t>Pct_Gf_Wid_A30to34</t>
  </si>
  <si>
    <t>Wgt_Gf_Wid_A30to34</t>
  </si>
  <si>
    <t>Pct_Gf_Wid_A25to29</t>
  </si>
  <si>
    <t>Wgt_Gf_Wid_A25to29</t>
  </si>
  <si>
    <t>Pct_Gf_Wid_A20to24</t>
  </si>
  <si>
    <t>Wgt_Gf_Wid_A20to24</t>
  </si>
  <si>
    <t>Pct_Gf_Wid_A18to19</t>
  </si>
  <si>
    <t>Wgt_Gf_Wid_A18to19</t>
  </si>
  <si>
    <t>Pct_Gf_Wid_A15to17</t>
  </si>
  <si>
    <t>Wgt_Gf_Wid_A15to17</t>
  </si>
  <si>
    <t>Pct_Gf_Wid</t>
  </si>
  <si>
    <t>Wgt_Gf_Wid</t>
  </si>
  <si>
    <t>Pct_Gf_Mar_SpAb_Oth_AGe85</t>
  </si>
  <si>
    <t>Wgt_Gf_Mar_SpAb_Oth_AGe85</t>
  </si>
  <si>
    <t>Pct_Gf_Mar_SpAb_Oth_A75to84</t>
  </si>
  <si>
    <t>Wgt_Gf_Mar_SpAb_Oth_A75to84</t>
  </si>
  <si>
    <t>Pct_Gf_Mar_SpAb_Oth_A65to74</t>
  </si>
  <si>
    <t>Wgt_Gf_Mar_SpAb_Oth_A65to74</t>
  </si>
  <si>
    <t>Pct_Gf_Mar_SpAb_Oth_A60to64</t>
  </si>
  <si>
    <t>Wgt_Gf_Mar_SpAb_Oth_A60to64</t>
  </si>
  <si>
    <t>Pct_Gf_Mar_SpAb_Oth_A55to59</t>
  </si>
  <si>
    <t>Wgt_Gf_Mar_SpAb_Oth_A55to59</t>
  </si>
  <si>
    <t>Pct_Gf_Mar_SpAb_Oth_A50to54</t>
  </si>
  <si>
    <t>Wgt_Gf_Mar_SpAb_Oth_A50to54</t>
  </si>
  <si>
    <t>Pct_Gf_Mar_SpAb_Oth_A45to49</t>
  </si>
  <si>
    <t>Wgt_Gf_Mar_SpAb_Oth_A45to49</t>
  </si>
  <si>
    <t>Pct_Gf_Mar_SpAb_Oth_A40to44</t>
  </si>
  <si>
    <t>Wgt_Gf_Mar_SpAb_Oth_A40to44</t>
  </si>
  <si>
    <t>Pct_Gf_Mar_SpAb_Oth_A35to39</t>
  </si>
  <si>
    <t>Wgt_Gf_Mar_SpAb_Oth_A35to39</t>
  </si>
  <si>
    <t>Pct_Gf_Mar_SpAb_Oth_A30to34</t>
  </si>
  <si>
    <t>Wgt_Gf_Mar_SpAb_Oth_A30to34</t>
  </si>
  <si>
    <t>Pct_Gf_Mar_SpAb_Oth_A25to29</t>
  </si>
  <si>
    <t>Wgt_Gf_Mar_SpAb_Oth_A25to29</t>
  </si>
  <si>
    <t>Pct_Gf_Mar_SpAb_Oth_A20to24</t>
  </si>
  <si>
    <t>Wgt_Gf_Mar_SpAb_Oth_A20to24</t>
  </si>
  <si>
    <t>Pct_Gf_Mar_SpAb_Oth_A18to19</t>
  </si>
  <si>
    <t>Wgt_Gf_Mar_SpAb_Oth_A18to19</t>
  </si>
  <si>
    <t>Pct_Gf_Mar_SpAb_Oth_A15to17</t>
  </si>
  <si>
    <t>Wgt_Gf_Mar_SpAb_Oth_A15to17</t>
  </si>
  <si>
    <t>Pct_Gf_Mar_SpAb_Oth</t>
  </si>
  <si>
    <t>Wgt_Gf_Mar_SpAb_Oth</t>
  </si>
  <si>
    <t>Pct_Gf_Mar_SpAb_Sep_AGe85</t>
  </si>
  <si>
    <t>Wgt_Gf_Mar_SpAb_Sep_AGe85</t>
  </si>
  <si>
    <t>Pct_Gf_Mar_SpAb_Sep_A75to84</t>
  </si>
  <si>
    <t>Wgt_Gf_Mar_SpAb_Sep_A75to84</t>
  </si>
  <si>
    <t>Pct_Gf_Mar_SpAb_Sep_A65to74</t>
  </si>
  <si>
    <t>Wgt_Gf_Mar_SpAb_Sep_A65to74</t>
  </si>
  <si>
    <t>Pct_Gf_Mar_SpAb_Sep_A60to64</t>
  </si>
  <si>
    <t>Wgt_Gf_Mar_SpAb_Sep_A60to64</t>
  </si>
  <si>
    <t>Pct_Gf_Mar_SpAb_Sep_A55to59</t>
  </si>
  <si>
    <t>Wgt_Gf_Mar_SpAb_Sep_A55to59</t>
  </si>
  <si>
    <t>Pct_Gf_Mar_SpAb_Sep_A50to54</t>
  </si>
  <si>
    <t>Wgt_Gf_Mar_SpAb_Sep_A50to54</t>
  </si>
  <si>
    <t>Pct_Gf_Mar_SpAb_Sep_A45to49</t>
  </si>
  <si>
    <t>Wgt_Gf_Mar_SpAb_Sep_A45to49</t>
  </si>
  <si>
    <t>Pct_Gf_Mar_SpAb_Sep_A40to44</t>
  </si>
  <si>
    <t>Wgt_Gf_Mar_SpAb_Sep_A40to44</t>
  </si>
  <si>
    <t>Pct_Gf_Mar_SpAb_Sep_A35to39</t>
  </si>
  <si>
    <t>Wgt_Gf_Mar_SpAb_Sep_A35to39</t>
  </si>
  <si>
    <t>Pct_Gf_Mar_SpAb_Sep_A30to34</t>
  </si>
  <si>
    <t>Wgt_Gf_Mar_SpAb_Sep_A30to34</t>
  </si>
  <si>
    <t>Pct_Gf_Mar_SpAb_Sep_A25to29</t>
  </si>
  <si>
    <t>Wgt_Gf_Mar_SpAb_Sep_A25to29</t>
  </si>
  <si>
    <t>Pct_Gf_Mar_SpAb_Sep_A20to24</t>
  </si>
  <si>
    <t>Wgt_Gf_Mar_SpAb_Sep_A20to24</t>
  </si>
  <si>
    <t>Pct_Gf_Mar_SpAb_Sep_A18to19</t>
  </si>
  <si>
    <t>Wgt_Gf_Mar_SpAb_Sep_A18to19</t>
  </si>
  <si>
    <t>Pct_Gf_Mar_SpAb_Sep_A15to17</t>
  </si>
  <si>
    <t>Wgt_Gf_Mar_SpAb_Sep_A15to17</t>
  </si>
  <si>
    <t>Pct_Gf_Mar_SpAb_Sep</t>
  </si>
  <si>
    <t>Wgt_Gf_Mar_SpAb_Sep</t>
  </si>
  <si>
    <t>Pct_Gf_Mar_SpAb</t>
  </si>
  <si>
    <t>Wgt_Gf_Mar_SpAb</t>
  </si>
  <si>
    <t>Pct_Gf_Mar_SpP_AGe85</t>
  </si>
  <si>
    <t>Wgt_Gf_Mar_SpP_AGe85</t>
  </si>
  <si>
    <t>Pct_Gf_Mar_SpP_A75to84</t>
  </si>
  <si>
    <t>Wgt_Gf_Mar_SpP_A75to84</t>
  </si>
  <si>
    <t>Pct_Gf_Mar_SpP_A65to74</t>
  </si>
  <si>
    <t>Wgt_Gf_Mar_SpP_A65to74</t>
  </si>
  <si>
    <t>Pct_Gf_Mar_SpP_A60to64</t>
  </si>
  <si>
    <t>Wgt_Gf_Mar_SpP_A60to64</t>
  </si>
  <si>
    <t>Pct_Gf_Mar_SpP_A55to59</t>
  </si>
  <si>
    <t>Wgt_Gf_Mar_SpP_A55to59</t>
  </si>
  <si>
    <t>Pct_Gf_Mar_SpP_A50to54</t>
  </si>
  <si>
    <t>Wgt_Gf_Mar_SpP_A50to54</t>
  </si>
  <si>
    <t>Pct_Gf_Mar_SpP_A45to49</t>
  </si>
  <si>
    <t>Wgt_Gf_Mar_SpP_A45to49</t>
  </si>
  <si>
    <t>Pct_Gf_Mar_SpP_A40to44</t>
  </si>
  <si>
    <t>Wgt_Gf_Mar_SpP_A40to44</t>
  </si>
  <si>
    <t>Pct_Gf_Mar_SpP_A35to39</t>
  </si>
  <si>
    <t>Wgt_Gf_Mar_SpP_A35to39</t>
  </si>
  <si>
    <t>Pct_Gf_Mar_SpP_A30to34</t>
  </si>
  <si>
    <t>Wgt_Gf_Mar_SpP_A30to34</t>
  </si>
  <si>
    <t>Pct_Gf_Mar_SpP_A25to29</t>
  </si>
  <si>
    <t>Wgt_Gf_Mar_SpP_A25to29</t>
  </si>
  <si>
    <t>Pct_Gf_Mar_SpP_A20to24</t>
  </si>
  <si>
    <t>Wgt_Gf_Mar_SpP_A20to24</t>
  </si>
  <si>
    <t>Pct_Gf_Mar_SpP_A18to19</t>
  </si>
  <si>
    <t>Wgt_Gf_Mar_SpP_A18to19</t>
  </si>
  <si>
    <t>Pct_Gf_Mar_SpP_A15to17</t>
  </si>
  <si>
    <t>Wgt_Gf_Mar_SpP_A15to17</t>
  </si>
  <si>
    <t>Pct_Gf_Mar_SpP</t>
  </si>
  <si>
    <t>Wgt_Gf_Mar_SpP</t>
  </si>
  <si>
    <t>Pct_Gf_Mar</t>
  </si>
  <si>
    <t>Wgt_Gf_Mar</t>
  </si>
  <si>
    <t>Pct_Gf_NvrMar_AGe85</t>
  </si>
  <si>
    <t>Wgt_Gf_NvrMar_AGe85</t>
  </si>
  <si>
    <t>Pct_Gf_NvrMar_A75to84</t>
  </si>
  <si>
    <t>Wgt_Gf_NvrMar_A75to84</t>
  </si>
  <si>
    <t>Pct_Gf_NvrMar_A65to74</t>
  </si>
  <si>
    <t>Wgt_Gf_NvrMar_A65to74</t>
  </si>
  <si>
    <t>Pct_Gf_NvrMar_A60to64</t>
  </si>
  <si>
    <t>Wgt_Gf_NvrMar_A60to64</t>
  </si>
  <si>
    <t>Pct_Gf_NvrMar_A55to59</t>
  </si>
  <si>
    <t>Wgt_Gf_NvrMar_A55to59</t>
  </si>
  <si>
    <t>Pct_Gf_NvrMar_A50to54</t>
  </si>
  <si>
    <t>Wgt_Gf_NvrMar_A50to54</t>
  </si>
  <si>
    <t>Pct_Gf_NvrMar_A45to49</t>
  </si>
  <si>
    <t>Wgt_Gf_NvrMar_A45to49</t>
  </si>
  <si>
    <t>Pct_Gf_NvrMar_A40to44</t>
  </si>
  <si>
    <t>Wgt_Gf_NvrMar_A40to44</t>
  </si>
  <si>
    <t>Pct_Gf_NvrMar_A35to39</t>
  </si>
  <si>
    <t>Wgt_Gf_NvrMar_A35to39</t>
  </si>
  <si>
    <t>Pct_Gf_NvrMar_A30to34</t>
  </si>
  <si>
    <t>Wgt_Gf_NvrMar_A30to34</t>
  </si>
  <si>
    <t>Pct_Gf_NvrMar_A25to29</t>
  </si>
  <si>
    <t>Wgt_Gf_NvrMar_A25to29</t>
  </si>
  <si>
    <t>Pct_Gf_NvrMar_A20to24</t>
  </si>
  <si>
    <t>Wgt_Gf_NvrMar_A20to24</t>
  </si>
  <si>
    <t>Pct_Gf_NvrMar_A18to19</t>
  </si>
  <si>
    <t>Wgt_Gf_NvrMar_A18to19</t>
  </si>
  <si>
    <t>Pct_Gf_NvrMar_A15to17</t>
  </si>
  <si>
    <t>Wgt_Gf_NvrMar_A15to17</t>
  </si>
  <si>
    <t>Pct_Gf_NvrMar</t>
  </si>
  <si>
    <t>Wgt_Gf_NvrMar</t>
  </si>
  <si>
    <t>Pct_GByMrtA_Gf</t>
  </si>
  <si>
    <t>Wgt_GByMrtA_Gf</t>
  </si>
  <si>
    <t>Pct_Gm_Div_AGe85</t>
  </si>
  <si>
    <t>Wgt_Gm_Div_AGe85</t>
  </si>
  <si>
    <t>Pct_Gm_Div_A75to84</t>
  </si>
  <si>
    <t>Wgt_Gm_Div_A75to84</t>
  </si>
  <si>
    <t>Pct_Gm_Div_A65to74</t>
  </si>
  <si>
    <t>Wgt_Gm_Div_A65to74</t>
  </si>
  <si>
    <t>Pct_Gm_Div_A60to64</t>
  </si>
  <si>
    <t>Wgt_Gm_Div_A60to64</t>
  </si>
  <si>
    <t>Pct_Gm_Div_A55to59</t>
  </si>
  <si>
    <t>Wgt_Gm_Div_A55to59</t>
  </si>
  <si>
    <t>Pct_Gm_Div_A50to54</t>
  </si>
  <si>
    <t>Wgt_Gm_Div_A50to54</t>
  </si>
  <si>
    <t>Pct_Gm_Div_A45to49</t>
  </si>
  <si>
    <t>Wgt_Gm_Div_A45to49</t>
  </si>
  <si>
    <t>Pct_Gm_Div_A40to44</t>
  </si>
  <si>
    <t>Wgt_Gm_Div_A40to44</t>
  </si>
  <si>
    <t>Pct_Gm_Div_A35to39</t>
  </si>
  <si>
    <t>Wgt_Gm_Div_A35to39</t>
  </si>
  <si>
    <t>Pct_Gm_Div_A30to34</t>
  </si>
  <si>
    <t>Wgt_Gm_Div_A30to34</t>
  </si>
  <si>
    <t>Pct_Gm_Div_A25to29</t>
  </si>
  <si>
    <t>Wgt_Gm_Div_A25to29</t>
  </si>
  <si>
    <t>Pct_Gm_Div_A20to24</t>
  </si>
  <si>
    <t>Wgt_Gm_Div_A20to24</t>
  </si>
  <si>
    <t>Pct_Gm_Div_A18to19</t>
  </si>
  <si>
    <t>Wgt_Gm_Div_A18to19</t>
  </si>
  <si>
    <t>Pct_Gm_Div_A15to17</t>
  </si>
  <si>
    <t>Wgt_Gm_Div_A15to17</t>
  </si>
  <si>
    <t>Pct_Gm_Div</t>
  </si>
  <si>
    <t>Wgt_Gm_Div</t>
  </si>
  <si>
    <t>Pct_Gm_Wid_AGe85</t>
  </si>
  <si>
    <t>Wgt_Gm_Wid_AGe85</t>
  </si>
  <si>
    <t>Pct_Gm_Wid_A75to84</t>
  </si>
  <si>
    <t>Wgt_Gm_Wid_A75to84</t>
  </si>
  <si>
    <t>Pct_Gm_Wid_A65to74</t>
  </si>
  <si>
    <t>Wgt_Gm_Wid_A65to74</t>
  </si>
  <si>
    <t>Pct_Gm_Wid_A60to64</t>
  </si>
  <si>
    <t>Wgt_Gm_Wid_A60to64</t>
  </si>
  <si>
    <t>Pct_Gm_Wid_A55to59</t>
  </si>
  <si>
    <t>Wgt_Gm_Wid_A55to59</t>
  </si>
  <si>
    <t>Pct_Gm_Wid_A50to54</t>
  </si>
  <si>
    <t>Wgt_Gm_Wid_A50to54</t>
  </si>
  <si>
    <t>Pct_Gm_Wid_A45to49</t>
  </si>
  <si>
    <t>Wgt_Gm_Wid_A45to49</t>
  </si>
  <si>
    <t>Pct_Gm_Wid_A40to44</t>
  </si>
  <si>
    <t>Wgt_Gm_Wid_A40to44</t>
  </si>
  <si>
    <t>Pct_Gm_Wid_A35to39</t>
  </si>
  <si>
    <t>Wgt_Gm_Wid_A35to39</t>
  </si>
  <si>
    <t>Pct_Gm_Wid_A30to34</t>
  </si>
  <si>
    <t>Wgt_Gm_Wid_A30to34</t>
  </si>
  <si>
    <t>Pct_Gm_Wid_A25to29</t>
  </si>
  <si>
    <t>Wgt_Gm_Wid_A25to29</t>
  </si>
  <si>
    <t>Pct_Gm_Wid_A20to24</t>
  </si>
  <si>
    <t>Wgt_Gm_Wid_A20to24</t>
  </si>
  <si>
    <t>Pct_Gm_Wid_A18to19</t>
  </si>
  <si>
    <t>Wgt_Gm_Wid_A18to19</t>
  </si>
  <si>
    <t>Pct_Gm_Wid_A15to17</t>
  </si>
  <si>
    <t>Wgt_Gm_Wid_A15to17</t>
  </si>
  <si>
    <t>Pct_Gm_Wid</t>
  </si>
  <si>
    <t>Wgt_Gm_Wid</t>
  </si>
  <si>
    <t>Pct_Gm_Mar_SpAb_Oth_AGe85</t>
  </si>
  <si>
    <t>Wgt_Gm_Mar_SpAb_Oth_AGe85</t>
  </si>
  <si>
    <t>Pct_Gm_Mar_SpAb_Oth_A75to84</t>
  </si>
  <si>
    <t>Wgt_Gm_Mar_SpAb_Oth_A75to84</t>
  </si>
  <si>
    <t>Pct_Gm_Mar_SpAb_Oth_A65to74</t>
  </si>
  <si>
    <t>Wgt_Gm_Mar_SpAb_Oth_A65to74</t>
  </si>
  <si>
    <t>Pct_Gm_Mar_SpAb_Oth_A60to64</t>
  </si>
  <si>
    <t>Wgt_Gm_Mar_SpAb_Oth_A60to64</t>
  </si>
  <si>
    <t>Pct_Gm_Mar_SpAb_Oth_A55to59</t>
  </si>
  <si>
    <t>Wgt_Gm_Mar_SpAb_Oth_A55to59</t>
  </si>
  <si>
    <t>Pct_Gm_Mar_SpAb_Oth_A50to54</t>
  </si>
  <si>
    <t>Wgt_Gm_Mar_SpAb_Oth_A50to54</t>
  </si>
  <si>
    <t>Pct_Gm_Mar_SpAb_Oth_A45to49</t>
  </si>
  <si>
    <t>Wgt_Gm_Mar_SpAb_Oth_A45to49</t>
  </si>
  <si>
    <t>Pct_Gm_Mar_SpAb_Oth_A40to44</t>
  </si>
  <si>
    <t>Wgt_Gm_Mar_SpAb_Oth_A40to44</t>
  </si>
  <si>
    <t>Pct_Gm_Mar_SpAb_Oth_A35to39</t>
  </si>
  <si>
    <t>Wgt_Gm_Mar_SpAb_Oth_A35to39</t>
  </si>
  <si>
    <t>Pct_Gm_Mar_SpAb_Oth_A30to34</t>
  </si>
  <si>
    <t>Wgt_Gm_Mar_SpAb_Oth_A30to34</t>
  </si>
  <si>
    <t>Pct_Gm_Mar_SpAb_Oth_A25to29</t>
  </si>
  <si>
    <t>Wgt_Gm_Mar_SpAb_Oth_A25to29</t>
  </si>
  <si>
    <t>Pct_Gm_Mar_SpAb_Oth_A20to24</t>
  </si>
  <si>
    <t>Wgt_Gm_Mar_SpAb_Oth_A20to24</t>
  </si>
  <si>
    <t>Pct_Gm_Mar_SpAb_Oth_A18to19</t>
  </si>
  <si>
    <t>Wgt_Gm_Mar_SpAb_Oth_A18to19</t>
  </si>
  <si>
    <t>Pct_Gm_Mar_SpAb_Oth_A15to17</t>
  </si>
  <si>
    <t>Wgt_Gm_Mar_SpAb_Oth_A15to17</t>
  </si>
  <si>
    <t>Pct_Gm_Mar_SpAb_Oth</t>
  </si>
  <si>
    <t>Wgt_Gm_Mar_SpAb_Oth</t>
  </si>
  <si>
    <t>Pct_Gm_Mar_SpAb_Sep_AGe85</t>
  </si>
  <si>
    <t>Wgt_Gm_Mar_SpAb_Sep_AGe85</t>
  </si>
  <si>
    <t>Pct_Gm_Mar_SpAb_Sep_A75to84</t>
  </si>
  <si>
    <t>Wgt_Gm_Mar_SpAb_Sep_A75to84</t>
  </si>
  <si>
    <t>Pct_Gm_Mar_SpAb_Sep_A65to74</t>
  </si>
  <si>
    <t>Wgt_Gm_Mar_SpAb_Sep_A65to74</t>
  </si>
  <si>
    <t>Pct_Gm_Mar_SpAb_Sep_A60to64</t>
  </si>
  <si>
    <t>Wgt_Gm_Mar_SpAb_Sep_A60to64</t>
  </si>
  <si>
    <t>Pct_Gm_Mar_SpAb_Sep_A55to59</t>
  </si>
  <si>
    <t>Wgt_Gm_Mar_SpAb_Sep_A55to59</t>
  </si>
  <si>
    <t>Pct_Gm_Mar_SpAb_Sep_A50to54</t>
  </si>
  <si>
    <t>Wgt_Gm_Mar_SpAb_Sep_A50to54</t>
  </si>
  <si>
    <t>Pct_Gm_Mar_SpAb_Sep_A45to49</t>
  </si>
  <si>
    <t>Wgt_Gm_Mar_SpAb_Sep_A45to49</t>
  </si>
  <si>
    <t>Pct_Gm_Mar_SpAb_Sep_A40to44</t>
  </si>
  <si>
    <t>Wgt_Gm_Mar_SpAb_Sep_A40to44</t>
  </si>
  <si>
    <t>Pct_Gm_Mar_SpAb_Sep_A35to39</t>
  </si>
  <si>
    <t>Wgt_Gm_Mar_SpAb_Sep_A35to39</t>
  </si>
  <si>
    <t>Pct_Gm_Mar_SpAb_Sep_A30to34</t>
  </si>
  <si>
    <t>Wgt_Gm_Mar_SpAb_Sep_A30to34</t>
  </si>
  <si>
    <t>Pct_Gm_Mar_SpAb_Sep_A25to29</t>
  </si>
  <si>
    <t>Wgt_Gm_Mar_SpAb_Sep_A25to29</t>
  </si>
  <si>
    <t>Pct_Gm_Mar_SpAb_Sep_A20to24</t>
  </si>
  <si>
    <t>Wgt_Gm_Mar_SpAb_Sep_A20to24</t>
  </si>
  <si>
    <t>Pct_Gm_Mar_SpAb_Sep_A18to19</t>
  </si>
  <si>
    <t>Wgt_Gm_Mar_SpAb_Sep_A18to19</t>
  </si>
  <si>
    <t>Pct_Gm_Mar_SpAb_Sep_A15to17</t>
  </si>
  <si>
    <t>Wgt_Gm_Mar_SpAb_Sep_A15to17</t>
  </si>
  <si>
    <t>Pct_Gm_Mar_SpAb_Sep</t>
  </si>
  <si>
    <t>Wgt_Gm_Mar_SpAb_Sep</t>
  </si>
  <si>
    <t>Pct_Gm_Mar_SpAb</t>
  </si>
  <si>
    <t>Wgt_Gm_Mar_SpAb</t>
  </si>
  <si>
    <t>Pct_Gm_Mar_SpP_AGe85</t>
  </si>
  <si>
    <t>Wgt_Gm_Mar_SpP_AGe85</t>
  </si>
  <si>
    <t>Pct_Gm_Mar_SpP_A75to84</t>
  </si>
  <si>
    <t>Wgt_Gm_Mar_SpP_A75to84</t>
  </si>
  <si>
    <t>Pct_Gm_Mar_SpP_A65to74</t>
  </si>
  <si>
    <t>Wgt_Gm_Mar_SpP_A65to74</t>
  </si>
  <si>
    <t>Pct_Gm_Mar_SpP_A60to64</t>
  </si>
  <si>
    <t>Wgt_Gm_Mar_SpP_A60to64</t>
  </si>
  <si>
    <t>Pct_Gm_Mar_SpP_A55to59</t>
  </si>
  <si>
    <t>Wgt_Gm_Mar_SpP_A55to59</t>
  </si>
  <si>
    <t>Pct_Gm_Mar_SpP_A50to54</t>
  </si>
  <si>
    <t>Wgt_Gm_Mar_SpP_A50to54</t>
  </si>
  <si>
    <t>Pct_Gm_Mar_SpP_A45to49</t>
  </si>
  <si>
    <t>Wgt_Gm_Mar_SpP_A45to49</t>
  </si>
  <si>
    <t>Pct_Gm_Mar_SpP_A40to44</t>
  </si>
  <si>
    <t>Wgt_Gm_Mar_SpP_A40to44</t>
  </si>
  <si>
    <t>Pct_Gm_Mar_SpP_A35to39</t>
  </si>
  <si>
    <t>Wgt_Gm_Mar_SpP_A35to39</t>
  </si>
  <si>
    <t>Pct_Gm_Mar_SpP_A30to34</t>
  </si>
  <si>
    <t>Wgt_Gm_Mar_SpP_A30to34</t>
  </si>
  <si>
    <t>Pct_Gm_Mar_SpP_A25to29</t>
  </si>
  <si>
    <t>Wgt_Gm_Mar_SpP_A25to29</t>
  </si>
  <si>
    <t>Pct_Gm_Mar_SpP_A20to24</t>
  </si>
  <si>
    <t>Wgt_Gm_Mar_SpP_A20to24</t>
  </si>
  <si>
    <t>Pct_Gm_Mar_SpP_A18to19</t>
  </si>
  <si>
    <t>Wgt_Gm_Mar_SpP_A18to19</t>
  </si>
  <si>
    <t>Pct_Gm_Mar_SpP_A15to17</t>
  </si>
  <si>
    <t>Wgt_Gm_Mar_SpP_A15to17</t>
  </si>
  <si>
    <t>Pct_Gm_Mar_SpP</t>
  </si>
  <si>
    <t>Wgt_Gm_Mar_SpP</t>
  </si>
  <si>
    <t>Pct_Gm_Mar</t>
  </si>
  <si>
    <t>Wgt_Gm_Mar</t>
  </si>
  <si>
    <t>Pct_Gm_NvrMar_AGe85</t>
  </si>
  <si>
    <t>Wgt_Gm_NvrMar_AGe85</t>
  </si>
  <si>
    <t>Pct_Gm_NvrMar_A75to84</t>
  </si>
  <si>
    <t>Wgt_Gm_NvrMar_A75to84</t>
  </si>
  <si>
    <t>Pct_Gm_NvrMar_A65to74</t>
  </si>
  <si>
    <t>Wgt_Gm_NvrMar_A65to74</t>
  </si>
  <si>
    <t>Pct_Gm_NvrMar_A60to64</t>
  </si>
  <si>
    <t>Wgt_Gm_NvrMar_A60to64</t>
  </si>
  <si>
    <t>Pct_Gm_NvrMar_A55to59</t>
  </si>
  <si>
    <t>Wgt_Gm_NvrMar_A55to59</t>
  </si>
  <si>
    <t>Pct_Gm_NvrMar_A50to54</t>
  </si>
  <si>
    <t>Wgt_Gm_NvrMar_A50to54</t>
  </si>
  <si>
    <t>Pct_Gm_NvrMar_A45to49</t>
  </si>
  <si>
    <t>Wgt_Gm_NvrMar_A45to49</t>
  </si>
  <si>
    <t>Pct_Gm_NvrMar_A40to44</t>
  </si>
  <si>
    <t>Wgt_Gm_NvrMar_A40to44</t>
  </si>
  <si>
    <t>Pct_Gm_NvrMar_A35to39</t>
  </si>
  <si>
    <t>Wgt_Gm_NvrMar_A35to39</t>
  </si>
  <si>
    <t>Pct_Gm_NvrMar_A30to34</t>
  </si>
  <si>
    <t>Wgt_Gm_NvrMar_A30to34</t>
  </si>
  <si>
    <t>Pct_Gm_NvrMar_A25to29</t>
  </si>
  <si>
    <t>Wgt_Gm_NvrMar_A25to29</t>
  </si>
  <si>
    <t>Pct_Gm_NvrMar_A20to24</t>
  </si>
  <si>
    <t>Wgt_Gm_NvrMar_A20to24</t>
  </si>
  <si>
    <t>Pct_Gm_NvrMar_A18to19</t>
  </si>
  <si>
    <t>Wgt_Gm_NvrMar_A18to19</t>
  </si>
  <si>
    <t>Pct_Gm_NvrMar_A15to17</t>
  </si>
  <si>
    <t>Wgt_Gm_NvrMar_A15to17</t>
  </si>
  <si>
    <t>Pct_Gm_NvrMar</t>
  </si>
  <si>
    <t>Wgt_Gm_NvrMar</t>
  </si>
  <si>
    <t>Pct_GByMrtA_Gm</t>
  </si>
  <si>
    <t>Wgt_GByMrtA_Gm</t>
  </si>
  <si>
    <t>Pct_Hhtyp_NonF_HHNotAl</t>
  </si>
  <si>
    <t>Wgt_Hhtyp_NonF_HHNotAl</t>
  </si>
  <si>
    <t>Pct_Hhtyp_NonF_HHAl</t>
  </si>
  <si>
    <t>Wgt_Hhtyp_NonF_HHAl</t>
  </si>
  <si>
    <t>Pct_Hhtyp_NonF</t>
  </si>
  <si>
    <t>Wgt_Hhtyp_NonF</t>
  </si>
  <si>
    <t>Pct_Hhtyp_F_Oth_HHfnh</t>
  </si>
  <si>
    <t>Wgt_Hhtyp_F_Oth_HHfnh</t>
  </si>
  <si>
    <t>Pct_Hhtyp_F_Oth_HHmnw</t>
  </si>
  <si>
    <t>Wgt_Hhtyp_F_Oth_HHmnw</t>
  </si>
  <si>
    <t>Pct_Hhtyp_F_Oth</t>
  </si>
  <si>
    <t>Wgt_Hhtyp_F_Oth</t>
  </si>
  <si>
    <t>Pct_Hhtyp_F_Marcf</t>
  </si>
  <si>
    <t>Wgt_Hhtyp_F_Marcf</t>
  </si>
  <si>
    <t>Pct_Hhtyp_F</t>
  </si>
  <si>
    <t>Wgt_Hhtyp_F</t>
  </si>
  <si>
    <t>Pct_Gf_Win12_1to14h_1to13w</t>
  </si>
  <si>
    <t>Wgt_Gf_Win12_1to14h_1to13w</t>
  </si>
  <si>
    <t>Pct_Gf_Win12_1to14h_14to26w</t>
  </si>
  <si>
    <t>Wgt_Gf_Win12_1to14h_14to26w</t>
  </si>
  <si>
    <t>Pct_Gf_Win12_1to14h_27to39w</t>
  </si>
  <si>
    <t>Wgt_Gf_Win12_1to14h_27to39w</t>
  </si>
  <si>
    <t>Pct_Gf_Win12_1to14h_40to47w</t>
  </si>
  <si>
    <t>Wgt_Gf_Win12_1to14h_40to47w</t>
  </si>
  <si>
    <t>Pct_Gf_Win12_1to14h_48to49w</t>
  </si>
  <si>
    <t>Wgt_Gf_Win12_1to14h_48to49w</t>
  </si>
  <si>
    <t>Pct_Gf_Win12_1to14h_50to52w</t>
  </si>
  <si>
    <t>Wgt_Gf_Win12_1to14h_50to52w</t>
  </si>
  <si>
    <t>Pct_Gf_Win12_1to14h</t>
  </si>
  <si>
    <t>Wgt_Gf_Win12_1to14h</t>
  </si>
  <si>
    <t>Pct_Gf_Win12_15to34h_1to13w</t>
  </si>
  <si>
    <t>Wgt_Gf_Win12_15to34h_1to13w</t>
  </si>
  <si>
    <t>Pct_Gf_Win12_15to34h_14to26w</t>
  </si>
  <si>
    <t>Wgt_Gf_Win12_15to34h_14to26w</t>
  </si>
  <si>
    <t>Pct_Gf_Win12_15to34h_27to39w</t>
  </si>
  <si>
    <t>Wgt_Gf_Win12_15to34h_27to39w</t>
  </si>
  <si>
    <t>Pct_Gf_Win12_15to34h_40to47w</t>
  </si>
  <si>
    <t>Wgt_Gf_Win12_15to34h_40to47w</t>
  </si>
  <si>
    <t>Pct_Gf_Win12_15to34h_48to49w</t>
  </si>
  <si>
    <t>Wgt_Gf_Win12_15to34h_48to49w</t>
  </si>
  <si>
    <t>Pct_Gf_Win12_15to34h_50to52w</t>
  </si>
  <si>
    <t>Wgt_Gf_Win12_15to34h_50to52w</t>
  </si>
  <si>
    <t>Pct_Gf_Win12_15to34h</t>
  </si>
  <si>
    <t>Wgt_Gf_Win12_15to34h</t>
  </si>
  <si>
    <t>Pct_Gf_Win12_Ge35h_1to13w</t>
  </si>
  <si>
    <t>Wgt_Gf_Win12_Ge35h_1to13w</t>
  </si>
  <si>
    <t>Pct_Gf_Win12_Ge35h_14to26w</t>
  </si>
  <si>
    <t>Wgt_Gf_Win12_Ge35h_14to26w</t>
  </si>
  <si>
    <t>Pct_Gf_Win12_Ge35h_27to39w</t>
  </si>
  <si>
    <t>Wgt_Gf_Win12_Ge35h_27to39w</t>
  </si>
  <si>
    <t>Pct_Gf_Win12_Ge35h_40to47w</t>
  </si>
  <si>
    <t>Wgt_Gf_Win12_Ge35h_40to47w</t>
  </si>
  <si>
    <t>Pct_Gf_Win12_Ge35h_48to49w</t>
  </si>
  <si>
    <t>Wgt_Gf_Win12_Ge35h_48to49w</t>
  </si>
  <si>
    <t>Pct_Gf_Win12_Ge35h_50to52w</t>
  </si>
  <si>
    <t>Wgt_Gf_Win12_Ge35h_50to52w</t>
  </si>
  <si>
    <t>Pct_Gf_Win12_Ge35h</t>
  </si>
  <si>
    <t>Wgt_Gf_Win12_Ge35h</t>
  </si>
  <si>
    <t>Pct_Gf_NotWin12</t>
  </si>
  <si>
    <t>Wgt_Gf_NotWin12</t>
  </si>
  <si>
    <t>Pct_Gf_Win12</t>
  </si>
  <si>
    <t>Wgt_Gf_Win12</t>
  </si>
  <si>
    <t>Pct_Wrk_A16to64_Gf</t>
  </si>
  <si>
    <t>Wgt_Wrk_A16to64_Gf</t>
  </si>
  <si>
    <t>Pct_Gm_Win12_1to14h_1to13w</t>
  </si>
  <si>
    <t>Wgt_Gm_Win12_1to14h_1to13w</t>
  </si>
  <si>
    <t>Pct_Gm_Win12_1to14h_14to26w</t>
  </si>
  <si>
    <t>Wgt_Gm_Win12_1to14h_14to26w</t>
  </si>
  <si>
    <t>Pct_Gm_Win12_1to14h_27to39w</t>
  </si>
  <si>
    <t>Wgt_Gm_Win12_1to14h_27to39w</t>
  </si>
  <si>
    <t>Pct_Gm_Win12_1to14h_40to47w</t>
  </si>
  <si>
    <t>Wgt_Gm_Win12_1to14h_40to47w</t>
  </si>
  <si>
    <t>Pct_Gm_Win12_1to14h_48to49w</t>
  </si>
  <si>
    <t>Wgt_Gm_Win12_1to14h_48to49w</t>
  </si>
  <si>
    <t>Pct_Gm_Win12_1to14h_50to52w</t>
  </si>
  <si>
    <t>Wgt_Gm_Win12_1to14h_50to52w</t>
  </si>
  <si>
    <t>Pct_Gm_Win12_1to14h</t>
  </si>
  <si>
    <t>Wgt_Gm_Win12_1to14h</t>
  </si>
  <si>
    <t>Pct_Gm_Win12_15to34h_1to13w</t>
  </si>
  <si>
    <t>Wgt_Gm_Win12_15to34h_1to13w</t>
  </si>
  <si>
    <t>Pct_Gm_Win12_15to34h_14to26w</t>
  </si>
  <si>
    <t>Wgt_Gm_Win12_15to34h_14to26w</t>
  </si>
  <si>
    <t>Pct_Gm_Win12_15to34h_27to39w</t>
  </si>
  <si>
    <t>Wgt_Gm_Win12_15to34h_27to39w</t>
  </si>
  <si>
    <t>Pct_Gm_Win12_15to34h_40to47w</t>
  </si>
  <si>
    <t>Wgt_Gm_Win12_15to34h_40to47w</t>
  </si>
  <si>
    <t>Pct_Gm_Win12_15to34h_48to49w</t>
  </si>
  <si>
    <t>Wgt_Gm_Win12_15to34h_48to49w</t>
  </si>
  <si>
    <t>Pct_Gm_Win12_15to34h_50to52w</t>
  </si>
  <si>
    <t>Wgt_Gm_Win12_15to34h_50to52w</t>
  </si>
  <si>
    <t>Pct_Gm_Win12_15to34h</t>
  </si>
  <si>
    <t>Wgt_Gm_Win12_15to34h</t>
  </si>
  <si>
    <t>Pct_Gm_Win12_Ge35h_1to13w</t>
  </si>
  <si>
    <t>Wgt_Gm_Win12_Ge35h_1to13w</t>
  </si>
  <si>
    <t>Pct_Gm_Win12_Ge35h_14to26w</t>
  </si>
  <si>
    <t>Wgt_Gm_Win12_Ge35h_14to26w</t>
  </si>
  <si>
    <t>Pct_Gm_Win12_Ge35h_27to39w</t>
  </si>
  <si>
    <t>Wgt_Gm_Win12_Ge35h_27to39w</t>
  </si>
  <si>
    <t>Pct_Gm_Win12_Ge35h_40to47w</t>
  </si>
  <si>
    <t>Wgt_Gm_Win12_Ge35h_40to47w</t>
  </si>
  <si>
    <t>Pct_Gm_Win12_Ge35h_48to49w</t>
  </si>
  <si>
    <t>Wgt_Gm_Win12_Ge35h_48to49w</t>
  </si>
  <si>
    <t>Pct_Gm_Win12_Ge35h_50to52w</t>
  </si>
  <si>
    <t>Wgt_Gm_Win12_Ge35h_50to52w</t>
  </si>
  <si>
    <t>Pct_Gm_Win12_Ge35h</t>
  </si>
  <si>
    <t>Wgt_Gm_Win12_Ge35h</t>
  </si>
  <si>
    <t>Pct_Gm_NotWin12</t>
  </si>
  <si>
    <t>Wgt_Gm_NotWin12</t>
  </si>
  <si>
    <t>Pct_Gm_Win12</t>
  </si>
  <si>
    <t>Wgt_Gm_Win12</t>
  </si>
  <si>
    <t>Pct_Wrk_A16to64_Gm</t>
  </si>
  <si>
    <t>Wgt_Wrk_A16to64_Gm</t>
  </si>
  <si>
    <t>Pct_Lfp_Gf_A55to59_Civ_U</t>
  </si>
  <si>
    <t>Wgt_Lfp_Gf_A55to59_Civ_U</t>
  </si>
  <si>
    <t>Pct_Lfp_Gf_A55to59_Civ_E</t>
  </si>
  <si>
    <t>Wgt_Lfp_Gf_A55to59_Civ_E</t>
  </si>
  <si>
    <t>Pct_Lfp_Gf_A55to59_Arfc</t>
  </si>
  <si>
    <t>Wgt_Lfp_Gf_A55to59_Arfc</t>
  </si>
  <si>
    <t>Pct_Lfp_Gf_A45to54_Civ_U</t>
  </si>
  <si>
    <t>Wgt_Lfp_Gf_A45to54_Civ_U</t>
  </si>
  <si>
    <t>Pct_Lfp_Gf_A45to54_Civ_E</t>
  </si>
  <si>
    <t>Wgt_Lfp_Gf_A45to54_Civ_E</t>
  </si>
  <si>
    <t>Pct_Lfp_Gf_A45to54_Arfc</t>
  </si>
  <si>
    <t>Wgt_Lfp_Gf_A45to54_Arfc</t>
  </si>
  <si>
    <t>Pct_Lfp_Gf_A35to44_Civ_U</t>
  </si>
  <si>
    <t>Wgt_Lfp_Gf_A35to44_Civ_U</t>
  </si>
  <si>
    <t>Pct_Lfp_Gf_A35to44_Civ_E</t>
  </si>
  <si>
    <t>Wgt_Lfp_Gf_A35to44_Civ_E</t>
  </si>
  <si>
    <t>Pct_Lfp_Gf_A35to44_Arfc</t>
  </si>
  <si>
    <t>Wgt_Lfp_Gf_A35to44_Arfc</t>
  </si>
  <si>
    <t>Pct_Lfp_Gf_A30to34_Civ_U</t>
  </si>
  <si>
    <t>Wgt_Lfp_Gf_A30to34_Civ_U</t>
  </si>
  <si>
    <t>Pct_Lfp_Gf_A30to34_Civ_E</t>
  </si>
  <si>
    <t>Wgt_Lfp_Gf_A30to34_Civ_E</t>
  </si>
  <si>
    <t>Pct_Lfp_Gf_A30to34_Arfc</t>
  </si>
  <si>
    <t>Wgt_Lfp_Gf_A30to34_Arfc</t>
  </si>
  <si>
    <t>Pct_Lfp_Gf_A25to29_Civ_U</t>
  </si>
  <si>
    <t>Wgt_Lfp_Gf_A25to29_Civ_U</t>
  </si>
  <si>
    <t>Pct_Lfp_Gf_A25to29_Civ_E</t>
  </si>
  <si>
    <t>Wgt_Lfp_Gf_A25to29_Civ_E</t>
  </si>
  <si>
    <t>Pct_Lfp_Gf_A25to29_Arfc</t>
  </si>
  <si>
    <t>Wgt_Lfp_Gf_A25to29_Arfc</t>
  </si>
  <si>
    <t>Pct_Lfp_Gf_A22to24_Civ_U</t>
  </si>
  <si>
    <t>Wgt_Lfp_Gf_A22to24_Civ_U</t>
  </si>
  <si>
    <t>Pct_Lfp_Gf_A22to24_Civ_E</t>
  </si>
  <si>
    <t>Wgt_Lfp_Gf_A22to24_Civ_E</t>
  </si>
  <si>
    <t>Pct_Lfp_Gf_A22to24_Arfc</t>
  </si>
  <si>
    <t>Wgt_Lfp_Gf_A22to24_Arfc</t>
  </si>
  <si>
    <t>Pct_Lfp_Gm_A55to59_Civ_U</t>
  </si>
  <si>
    <t>Wgt_Lfp_Gm_A55to59_Civ_U</t>
  </si>
  <si>
    <t>Pct_Lfp_Gm_A55to59_Civ_E</t>
  </si>
  <si>
    <t>Wgt_Lfp_Gm_A55to59_Civ_E</t>
  </si>
  <si>
    <t>Pct_Lfp_Gm_A55to59_Arfc</t>
  </si>
  <si>
    <t>Wgt_Lfp_Gm_A55to59_Arfc</t>
  </si>
  <si>
    <t>Pct_Lfp_Gm_A45to54_Civ_U</t>
  </si>
  <si>
    <t>Wgt_Lfp_Gm_A45to54_Civ_U</t>
  </si>
  <si>
    <t>Pct_Lfp_Gm_A45to54_Civ_E</t>
  </si>
  <si>
    <t>Wgt_Lfp_Gm_A45to54_Civ_E</t>
  </si>
  <si>
    <t>Pct_Lfp_Gm_A45to54_Arfc</t>
  </si>
  <si>
    <t>Wgt_Lfp_Gm_A45to54_Arfc</t>
  </si>
  <si>
    <t>Pct_Lfp_Gm_A35to44_Civ_U</t>
  </si>
  <si>
    <t>Wgt_Lfp_Gm_A35to44_Civ_U</t>
  </si>
  <si>
    <t>Pct_Lfp_Gm_A35to44_Civ_E</t>
  </si>
  <si>
    <t>Wgt_Lfp_Gm_A35to44_Civ_E</t>
  </si>
  <si>
    <t>Pct_Lfp_Gm_A35to44_Arfc</t>
  </si>
  <si>
    <t>Wgt_Lfp_Gm_A35to44_Arfc</t>
  </si>
  <si>
    <t>Pct_Lfp_Gm_A30to34_Civ_U</t>
  </si>
  <si>
    <t>Wgt_Lfp_Gm_A30to34_Civ_U</t>
  </si>
  <si>
    <t>Pct_Lfp_Gm_A30to34_Civ_E</t>
  </si>
  <si>
    <t>Wgt_Lfp_Gm_A30to34_Civ_E</t>
  </si>
  <si>
    <t>Pct_Lfp_Gm_A30to34_Arfc</t>
  </si>
  <si>
    <t>Wgt_Lfp_Gm_A30to34_Arfc</t>
  </si>
  <si>
    <t>Pct_Lfp_Gm_A25to29_Civ_U</t>
  </si>
  <si>
    <t>Wgt_Lfp_Gm_A25to29_Civ_U</t>
  </si>
  <si>
    <t>Pct_Lfp_Gm_A25to29_Civ_E</t>
  </si>
  <si>
    <t>Wgt_Lfp_Gm_A25to29_Civ_E</t>
  </si>
  <si>
    <t>Pct_Lfp_Gm_A25to29_Arfc</t>
  </si>
  <si>
    <t>Wgt_Lfp_Gm_A25to29_Arfc</t>
  </si>
  <si>
    <t>Pct_Lfp_Gm_A22to24_Civ_U</t>
  </si>
  <si>
    <t>Wgt_Lfp_Gm_A22to24_Civ_U</t>
  </si>
  <si>
    <t>Pct_Lfp_Gm_A22to24_Civ_E</t>
  </si>
  <si>
    <t>Wgt_Lfp_Gm_A22to24_Civ_E</t>
  </si>
  <si>
    <t>Pct_Lfp_Gm_A22to24_Arfc</t>
  </si>
  <si>
    <t>Wgt_Lfp_Gm_A22to24_Arfc</t>
  </si>
  <si>
    <t>Pct_Lfp_Gf_A22to59_Civ_U</t>
  </si>
  <si>
    <t>Pct_Lfp_Gf_A22to59_Civ_E</t>
  </si>
  <si>
    <t>Pct_Lfp_Gf_A22to59_Arfc</t>
  </si>
  <si>
    <t>Pct_Lfp_Gm_A22to59_Civ_U</t>
  </si>
  <si>
    <t>Pct_Lfp_Gm_A22to59_Civ_E</t>
  </si>
  <si>
    <t>Pct_Lfp_Gm_A22to59_Arfc</t>
  </si>
  <si>
    <t>Wgt_Lfp_Gf_A22to59_Civ_U</t>
  </si>
  <si>
    <t>Wgt_Lfp_Gf_A22to59_Civ_E</t>
  </si>
  <si>
    <t>Wgt_Lfp_Gf_A22to59_Arfc</t>
  </si>
  <si>
    <t>Wgt_Lfp_Gm_A22to59_Civ_U</t>
  </si>
  <si>
    <t>Wgt_Lfp_Gm_A22to59_Civ_E</t>
  </si>
  <si>
    <t>Wgt_Lfp_Gm_A22to59_Arfc</t>
  </si>
  <si>
    <t>Pct_AGe25_Gf_GeBach_GePov</t>
  </si>
  <si>
    <t>Wgt_AGe25_Gf_GeBach_GePov</t>
  </si>
  <si>
    <t>Pct_AGe25_Gf_ScAa_GePov</t>
  </si>
  <si>
    <t>Wgt_AGe25_Gf_ScAa_GePov</t>
  </si>
  <si>
    <t>Pct_AGe25_Gf_Hs_GePov</t>
  </si>
  <si>
    <t>Wgt_AGe25_Gf_Hs_GePov</t>
  </si>
  <si>
    <t>Pct_AGe25_Gf_LtHs_GePov</t>
  </si>
  <si>
    <t>Wgt_AGe25_Gf_LtHs_GePov</t>
  </si>
  <si>
    <t>Pct_AGe25_Gm_GeBach_GePov</t>
  </si>
  <si>
    <t>Wgt_AGe25_Gm_GeBach_GePov</t>
  </si>
  <si>
    <t>Pct_AGe25_Gm_ScAa_GePov</t>
  </si>
  <si>
    <t>Wgt_AGe25_Gm_ScAa_GePov</t>
  </si>
  <si>
    <t>Pct_AGe25_Gm_Hs_GePov</t>
  </si>
  <si>
    <t>Wgt_AGe25_Gm_Hs_GePov</t>
  </si>
  <si>
    <t>Pct_AGe25_Gm_LtHs_GePov</t>
  </si>
  <si>
    <t>Wgt_AGe25_Gm_LtHs_GePov</t>
  </si>
  <si>
    <t>Pct_AGe25_Gf_GeBach_LtPov</t>
  </si>
  <si>
    <t>Wgt_AGe25_Gf_GeBach_LtPov</t>
  </si>
  <si>
    <t>Pct_AGe25_Gf_ScAa_LtPov</t>
  </si>
  <si>
    <t>Wgt_AGe25_Gf_ScAa_LtPov</t>
  </si>
  <si>
    <t>Pct_AGe25_Gf_Hs_LtPov</t>
  </si>
  <si>
    <t>Wgt_AGe25_Gf_Hs_LtPov</t>
  </si>
  <si>
    <t>Pct_AGe25_Gf_LtHs_LtPov</t>
  </si>
  <si>
    <t>Wgt_AGe25_Gf_LtHs_LtPov</t>
  </si>
  <si>
    <t>Pct_AGe25_Gm_GeBach_LtPov</t>
  </si>
  <si>
    <t>Wgt_AGe25_Gm_GeBach_LtPov</t>
  </si>
  <si>
    <t>Pct_AGe25_Gm_ScAa_LtPov</t>
  </si>
  <si>
    <t>Wgt_AGe25_Gm_ScAa_LtPov</t>
  </si>
  <si>
    <t>Pct_AGe25_Gm_Hs_LtPov</t>
  </si>
  <si>
    <t>Wgt_AGe25_Gm_Hs_LtPov</t>
  </si>
  <si>
    <t>Pct_AGe25_Gm_LtHs_LtPov</t>
  </si>
  <si>
    <t>Wgt_AGe25_Gm_LtHs_LtPov</t>
  </si>
  <si>
    <t>Pct_AGe25_Gf_LtPov</t>
  </si>
  <si>
    <t>Women's Unemployment Rate</t>
  </si>
  <si>
    <t>…ages 22-24</t>
  </si>
  <si>
    <t>…ages 25-29</t>
  </si>
  <si>
    <t>…ages 30-34</t>
  </si>
  <si>
    <t>…ages 35-44</t>
  </si>
  <si>
    <t>…ages 45-54</t>
  </si>
  <si>
    <t>…ages 55-59</t>
  </si>
  <si>
    <t>Wgt_AGe25_Gm_LtPov</t>
  </si>
  <si>
    <t>Pct_AGe25_Gm_LtPov</t>
  </si>
  <si>
    <t>Wgt_AGe25_Gf_LtPov</t>
  </si>
  <si>
    <t>Wgt_AGe25_Gm_GePov</t>
  </si>
  <si>
    <t>Pct_AGe25_Gm_GePov</t>
  </si>
  <si>
    <t>Wgt_AGe25_Gf_GePov</t>
  </si>
  <si>
    <t>Pct_AGe25_Gf_GePov</t>
  </si>
  <si>
    <t>Wgt_Gm</t>
  </si>
  <si>
    <t>Pct_Gm</t>
  </si>
  <si>
    <t>Wgt_Gm_ALt5</t>
  </si>
  <si>
    <t>Pct_Gm_ALt5</t>
  </si>
  <si>
    <t>Wgt_Gm_A5to9</t>
  </si>
  <si>
    <t>Pct_Gm_A5to9</t>
  </si>
  <si>
    <t>Wgt_Gm_A10to14</t>
  </si>
  <si>
    <t>Pct_Gm_A10to14</t>
  </si>
  <si>
    <t>Wgt_Gm_A15to17</t>
  </si>
  <si>
    <t>Pct_Gm_A15to17</t>
  </si>
  <si>
    <t>Wgt_Gm_A18to19</t>
  </si>
  <si>
    <t>Pct_Gm_A18to19</t>
  </si>
  <si>
    <t>Wgt_Gm_A20</t>
  </si>
  <si>
    <t>Pct_Gm_A20</t>
  </si>
  <si>
    <t>Wgt_Gm_A21</t>
  </si>
  <si>
    <t>Pct_Gm_A21</t>
  </si>
  <si>
    <t>Wgt_Gm_A22to24</t>
  </si>
  <si>
    <t>Pct_Gm_A22to24</t>
  </si>
  <si>
    <t>Wgt_Gm_A25to29</t>
  </si>
  <si>
    <t>Pct_Gm_A25to29</t>
  </si>
  <si>
    <t>Wgt_Gm_A30to34</t>
  </si>
  <si>
    <t>Pct_Gm_A30to34</t>
  </si>
  <si>
    <t>Wgt_Gm_A35to39</t>
  </si>
  <si>
    <t>Pct_Gm_A35to39</t>
  </si>
  <si>
    <t>Wgt_Gm_A40to44</t>
  </si>
  <si>
    <t>Pct_Gm_A40to44</t>
  </si>
  <si>
    <t>Wgt_Gm_A45to49</t>
  </si>
  <si>
    <t>Pct_Gm_A45to49</t>
  </si>
  <si>
    <t>Wgt_Gm_A50to54</t>
  </si>
  <si>
    <t>Pct_Gm_A50to54</t>
  </si>
  <si>
    <t>Wgt_Gm_A55to59</t>
  </si>
  <si>
    <t>Pct_Gm_A55to59</t>
  </si>
  <si>
    <t>Wgt_Gm_A60to61</t>
  </si>
  <si>
    <t>Pct_Gm_A60to61</t>
  </si>
  <si>
    <t>Wgt_Gm_A62to64</t>
  </si>
  <si>
    <t>Pct_Gm_A62to64</t>
  </si>
  <si>
    <t>Wgt_Gm_A65to66</t>
  </si>
  <si>
    <t>Pct_Gm_A65to66</t>
  </si>
  <si>
    <t>Wgt_Gm_A67to69</t>
  </si>
  <si>
    <t>Pct_Gm_A67to69</t>
  </si>
  <si>
    <t>Wgt_Gm_A70to74</t>
  </si>
  <si>
    <t>Pct_Gm_A70to74</t>
  </si>
  <si>
    <t>Wgt_Gm_A75to79</t>
  </si>
  <si>
    <t>Pct_Gm_A75to79</t>
  </si>
  <si>
    <t>Wgt_Gm_A80to84</t>
  </si>
  <si>
    <t>Pct_Gm_A80to84</t>
  </si>
  <si>
    <t>Wgt_Gm_AGe85</t>
  </si>
  <si>
    <t>Pct_Gm_AGe85</t>
  </si>
  <si>
    <t>Wgt_Gf</t>
  </si>
  <si>
    <t>Pct_Gf</t>
  </si>
  <si>
    <t>Wgt_Gf_ALt5</t>
  </si>
  <si>
    <t>Pct_Gf_ALt5</t>
  </si>
  <si>
    <t>Wgt_Gf_A5to9</t>
  </si>
  <si>
    <t>Pct_Gf_A5to9</t>
  </si>
  <si>
    <t>Wgt_Gf_A10to14</t>
  </si>
  <si>
    <t>Pct_Gf_A10to14</t>
  </si>
  <si>
    <t>Wgt_Gf_A15to17</t>
  </si>
  <si>
    <t>Pct_Gf_A15to17</t>
  </si>
  <si>
    <t>Wgt_Gf_A18to19</t>
  </si>
  <si>
    <t>Pct_Gf_A18to19</t>
  </si>
  <si>
    <t>Wgt_Gf_A20</t>
  </si>
  <si>
    <t>Pct_Gf_A20</t>
  </si>
  <si>
    <t>Wgt_Gf_A21</t>
  </si>
  <si>
    <t>Pct_Gf_A21</t>
  </si>
  <si>
    <t>Wgt_Gf_A22to24</t>
  </si>
  <si>
    <t>Pct_Gf_A22to24</t>
  </si>
  <si>
    <t>Wgt_Gf_A25to29</t>
  </si>
  <si>
    <t>Pct_Gf_A25to29</t>
  </si>
  <si>
    <t>Wgt_Gf_A30to34</t>
  </si>
  <si>
    <t>Pct_Gf_A30to34</t>
  </si>
  <si>
    <t>Wgt_Gf_A35to39</t>
  </si>
  <si>
    <t>Pct_Gf_A35to39</t>
  </si>
  <si>
    <t>Wgt_Gf_A40to44</t>
  </si>
  <si>
    <t>Pct_Gf_A40to44</t>
  </si>
  <si>
    <t>Wgt_Gf_A45to49</t>
  </si>
  <si>
    <t>Pct_Gf_A45to49</t>
  </si>
  <si>
    <t>Wgt_Gf_A50to54</t>
  </si>
  <si>
    <t>Pct_Gf_A50to54</t>
  </si>
  <si>
    <t>Wgt_Gf_A55to59</t>
  </si>
  <si>
    <t>Pct_Gf_A55to59</t>
  </si>
  <si>
    <t>Wgt_Gf_A60to61</t>
  </si>
  <si>
    <t>Pct_Gf_A60to61</t>
  </si>
  <si>
    <t>Wgt_Gf_A62to64</t>
  </si>
  <si>
    <t>Pct_Gf_A62to64</t>
  </si>
  <si>
    <t>Wgt_Gf_A65to66</t>
  </si>
  <si>
    <t>Pct_Gf_A65to66</t>
  </si>
  <si>
    <t>Wgt_Gf_A67to69</t>
  </si>
  <si>
    <t>Pct_Gf_A67to69</t>
  </si>
  <si>
    <t>Wgt_Gf_A70to74</t>
  </si>
  <si>
    <t>Pct_Gf_A70to74</t>
  </si>
  <si>
    <t>Wgt_Gf_A75to79</t>
  </si>
  <si>
    <t>Pct_Gf_A75to79</t>
  </si>
  <si>
    <t>Wgt_Gf_A80to84</t>
  </si>
  <si>
    <t>Pct_Gf_A80to84</t>
  </si>
  <si>
    <t>Wgt_Gf_AGe85</t>
  </si>
  <si>
    <t>Pct_Gf_AGe85</t>
  </si>
  <si>
    <t>Wgt_Wht_Gm</t>
  </si>
  <si>
    <t>Pct_Wht_Gm</t>
  </si>
  <si>
    <t>Wgt_Blk_Gm</t>
  </si>
  <si>
    <t>Pct_Blk_Gm</t>
  </si>
  <si>
    <t>Wgt_NatAm_Gm</t>
  </si>
  <si>
    <t>Pct_NatAm_Gm</t>
  </si>
  <si>
    <t>Wgt_Asn_Gm</t>
  </si>
  <si>
    <t>Pct_Asn_Gm</t>
  </si>
  <si>
    <t>Wgt_NatHw_Gm</t>
  </si>
  <si>
    <t>Pct_NatHw_Gm</t>
  </si>
  <si>
    <t>Wgt_Oth_Gm</t>
  </si>
  <si>
    <t>Pct_Oth_Gm</t>
  </si>
  <si>
    <t>Wgt_Twm_Gm</t>
  </si>
  <si>
    <t>Pct_Twm_Gm</t>
  </si>
  <si>
    <t>Wgt_WNotHoL_Gm</t>
  </si>
  <si>
    <t>Pct_WNotHoL_Gm</t>
  </si>
  <si>
    <t>Wgt_HoL_Gm</t>
  </si>
  <si>
    <t>Pct_HoL_Gm</t>
  </si>
  <si>
    <t>Wgt_Wht_Gf</t>
  </si>
  <si>
    <t>Pct_Wht_Gf</t>
  </si>
  <si>
    <t>Wgt_Blk_Gf</t>
  </si>
  <si>
    <t>Pct_Blk_Gf</t>
  </si>
  <si>
    <t>Wgt_NatAm_Gf</t>
  </si>
  <si>
    <t>Pct_NatAm_Gf</t>
  </si>
  <si>
    <t>Wgt_Asn_Gf</t>
  </si>
  <si>
    <t>Pct_Asn_Gf</t>
  </si>
  <si>
    <t>Wgt_NatHw_Gf</t>
  </si>
  <si>
    <t>Pct_NatHw_Gf</t>
  </si>
  <si>
    <t>Wgt_Oth_Gf</t>
  </si>
  <si>
    <t>Pct_Oth_Gf</t>
  </si>
  <si>
    <t>Wgt_Twm_Gf</t>
  </si>
  <si>
    <t>Pct_Twm_Gf</t>
  </si>
  <si>
    <t>Wgt_WNotHoL_Gf</t>
  </si>
  <si>
    <t>Pct_WNotHoL_Gf</t>
  </si>
  <si>
    <t>Wgt_HoL_Gf</t>
  </si>
  <si>
    <t>Pct_HoL_Gf</t>
  </si>
  <si>
    <t>Wgt_Occ_Gm</t>
  </si>
  <si>
    <t>Pct_Occ_Gm</t>
  </si>
  <si>
    <t>Wgt_Occ_Gm_Mbsa</t>
  </si>
  <si>
    <t>Pct_Occ_Gm_Mbsa</t>
  </si>
  <si>
    <t>Wgt_Occ_Gm_Mbsa_Mbf</t>
  </si>
  <si>
    <t>Pct_Occ_Gm_Mbsa_Mbf</t>
  </si>
  <si>
    <t>Wgt_Occ_Gm_Mbsa_Mbf_Man</t>
  </si>
  <si>
    <t>Pct_Occ_Gm_Mbsa_Mbf_Man</t>
  </si>
  <si>
    <t>Wgt_Occ_Gm_Mbsa_Mbf_Bfo</t>
  </si>
  <si>
    <t>Pct_Occ_Gm_Mbsa_Mbf_Bfo</t>
  </si>
  <si>
    <t>Wgt_Occ_Gm_Mbsa_Ces</t>
  </si>
  <si>
    <t>Pct_Occ_Gm_Mbsa_Ces</t>
  </si>
  <si>
    <t>Wgt_Occ_Gm_Mbsa_Ces_Cmo</t>
  </si>
  <si>
    <t>Pct_Occ_Gm_Mbsa_Ces_Cmo</t>
  </si>
  <si>
    <t>Wgt_Occ_Gm_Mbsa_Ces_Aren</t>
  </si>
  <si>
    <t>Pct_Occ_Gm_Mbsa_Ces_Aren</t>
  </si>
  <si>
    <t>Wgt_Occ_Gm_Mbsa_Ces_Lpss</t>
  </si>
  <si>
    <t>Pct_Occ_Gm_Mbsa_Ces_Lpss</t>
  </si>
  <si>
    <t>Wgt_Occ_Gm_Mbsa_Elcam</t>
  </si>
  <si>
    <t>Pct_Occ_Gm_Mbsa_Elcam</t>
  </si>
  <si>
    <t>Wgt_Occ_Gm_Mbsa_Elcam_Css</t>
  </si>
  <si>
    <t>Pct_Occ_Gm_Mbsa_Elcam_Css</t>
  </si>
  <si>
    <t>Wgt_Occ_Gm_Mbsa_Elcam_Leg</t>
  </si>
  <si>
    <t>Pct_Occ_Gm_Mbsa_Elcam_Leg</t>
  </si>
  <si>
    <t>Wgt_Occ_Gm_Mbsa_Elcam_Etl</t>
  </si>
  <si>
    <t>Pct_Occ_Gm_Mbsa_Elcam_Etl</t>
  </si>
  <si>
    <t>Wgt_Occ_Gm_Mbsa_Elcam_Aesm</t>
  </si>
  <si>
    <t>Pct_Occ_Gm_Mbsa_Elcam_Aesm</t>
  </si>
  <si>
    <t>Wgt_Occ_Gm_Mbsa_Hcpt</t>
  </si>
  <si>
    <t>Pct_Occ_Gm_Mbsa_Hcpt</t>
  </si>
  <si>
    <t>Wgt_Occ_Gm_Mbsa_Hcpt_Hdtp</t>
  </si>
  <si>
    <t>Pct_Occ_Gm_Mbsa_Hcpt_Hdtp</t>
  </si>
  <si>
    <t>Wgt_Occ_Gm_Mbsa_Hcpt_Htt</t>
  </si>
  <si>
    <t>Pct_Occ_Gm_Mbsa_Hcpt_Htt</t>
  </si>
  <si>
    <t>Wgt_Occ_Gm_Serv</t>
  </si>
  <si>
    <t>Pct_Occ_Gm_Serv</t>
  </si>
  <si>
    <t>Wgt_Occ_Gm_Serv_Hcs</t>
  </si>
  <si>
    <t>Pct_Occ_Gm_Serv_Hcs</t>
  </si>
  <si>
    <t>Wgt_Occ_Gm_Serv_Prs</t>
  </si>
  <si>
    <t>Pct_Occ_Gm_Serv_Prs</t>
  </si>
  <si>
    <t>Wgt_Occ_Gm_Serv_Prs_Ffp</t>
  </si>
  <si>
    <t>Pct_Occ_Gm_Serv_Prs_Ffp</t>
  </si>
  <si>
    <t>Wgt_Occ_Gm_Serv_Prs_Lew</t>
  </si>
  <si>
    <t>Pct_Occ_Gm_Serv_Prs_Lew</t>
  </si>
  <si>
    <t>Wgt_Occ_Gm_Serv_Fdps</t>
  </si>
  <si>
    <t>Pct_Occ_Gm_Serv_Fdps</t>
  </si>
  <si>
    <t>Wgt_Occ_Gm_Serv_Bgcm</t>
  </si>
  <si>
    <t>Pct_Occ_Gm_Serv_Bgcm</t>
  </si>
  <si>
    <t>Wgt_Occ_Gm_Serv_Pcs</t>
  </si>
  <si>
    <t>Pct_Occ_Gm_Serv_Pcs</t>
  </si>
  <si>
    <t>Wgt_Occ_Gm_Soff</t>
  </si>
  <si>
    <t>Pct_Occ_Gm_Soff</t>
  </si>
  <si>
    <t>Wgt_Occ_Gm_Soff_Srl</t>
  </si>
  <si>
    <t>Pct_Occ_Gm_Soff_Srl</t>
  </si>
  <si>
    <t>Wgt_Occ_Gm_Soff_Oads</t>
  </si>
  <si>
    <t>Pct_Occ_Gm_Soff_Oads</t>
  </si>
  <si>
    <t>Wgt_Occ_Gm_Nrcm</t>
  </si>
  <si>
    <t>Pct_Occ_Gm_Nrcm</t>
  </si>
  <si>
    <t>Wgt_Occ_Gm_Nrcm_Fff</t>
  </si>
  <si>
    <t>Pct_Occ_Gm_Nrcm_Fff</t>
  </si>
  <si>
    <t>Wgt_Occ_Gm_Nrcm_Cex</t>
  </si>
  <si>
    <t>Pct_Occ_Gm_Nrcm_Cex</t>
  </si>
  <si>
    <t>Wgt_Occ_Gm_Nrcm_Imr</t>
  </si>
  <si>
    <t>Pct_Occ_Gm_Nrcm_Imr</t>
  </si>
  <si>
    <t>Wgt_Occ_Gm_Ptmm</t>
  </si>
  <si>
    <t>Pct_Occ_Gm_Ptmm</t>
  </si>
  <si>
    <t>Wgt_Occ_Gm_Ptmm_Prod</t>
  </si>
  <si>
    <t>Pct_Occ_Gm_Ptmm_Prod</t>
  </si>
  <si>
    <t>Wgt_Occ_Gm_Ptmm_Trans</t>
  </si>
  <si>
    <t>Pct_Occ_Gm_Ptmm_Trans</t>
  </si>
  <si>
    <t>Wgt_Occ_Gm_Ptmm_Matm</t>
  </si>
  <si>
    <t>Pct_Occ_Gm_Ptmm_Matm</t>
  </si>
  <si>
    <t>Wgt_Occ_Gf</t>
  </si>
  <si>
    <t>Pct_Occ_Gf</t>
  </si>
  <si>
    <t>Wgt_Occ_Gf_Mbsa</t>
  </si>
  <si>
    <t>Pct_Occ_Gf_Mbsa</t>
  </si>
  <si>
    <t>Wgt_Occ_Gf_Mbsa_Mbf</t>
  </si>
  <si>
    <t>Pct_Occ_Gf_Mbsa_Mbf</t>
  </si>
  <si>
    <t>Wgt_Occ_Gf_Mbsa_Mbf_Man</t>
  </si>
  <si>
    <t>Pct_Occ_Gf_Mbsa_Mbf_Man</t>
  </si>
  <si>
    <t>Wgt_Occ_Gf_Mbsa_Mbf_Bfo</t>
  </si>
  <si>
    <t>Pct_Occ_Gf_Mbsa_Mbf_Bfo</t>
  </si>
  <si>
    <t>Wgt_Occ_Gf_Mbsa_Ces</t>
  </si>
  <si>
    <t>Pct_Occ_Gf_Mbsa_Ces</t>
  </si>
  <si>
    <t>Wgt_Occ_Gf_Mbsa_Ces_Cmo</t>
  </si>
  <si>
    <t>Pct_Occ_Gf_Mbsa_Ces_Cmo</t>
  </si>
  <si>
    <t>Wgt_Occ_Gf_Mbsa_Ces_Aren</t>
  </si>
  <si>
    <t>Pct_Occ_Gf_Mbsa_Ces_Aren</t>
  </si>
  <si>
    <t>Wgt_Occ_Gf_Mbsa_Ces_Lpss</t>
  </si>
  <si>
    <t>Pct_Occ_Gf_Mbsa_Ces_Lpss</t>
  </si>
  <si>
    <t>Wgt_Occ_Gf_Mbsa_Elcam</t>
  </si>
  <si>
    <t>Pct_Occ_Gf_Mbsa_Elcam</t>
  </si>
  <si>
    <t>Wgt_Occ_Gf_Mbsa_Elcam_Css</t>
  </si>
  <si>
    <t>Pct_Occ_Gf_Mbsa_Elcam_Css</t>
  </si>
  <si>
    <t>Wgt_Occ_Gf_Mbsa_Elcam_Leg</t>
  </si>
  <si>
    <t>Pct_Occ_Gf_Mbsa_Elcam_Leg</t>
  </si>
  <si>
    <t>Wgt_Occ_Gf_Mbsa_Elcam_Etl</t>
  </si>
  <si>
    <t>Pct_Occ_Gf_Mbsa_Elcam_Etl</t>
  </si>
  <si>
    <t>Wgt_Occ_Gf_Mbsa_Elcam_Aesm</t>
  </si>
  <si>
    <t>Pct_Occ_Gf_Mbsa_Elcam_Aesm</t>
  </si>
  <si>
    <t>Wgt_Occ_Gf_Mbsa_Hcpt</t>
  </si>
  <si>
    <t>Pct_Occ_Gf_Mbsa_Hcpt</t>
  </si>
  <si>
    <t>Wgt_Occ_Gf_Mbsa_Hcpt_Hdtp</t>
  </si>
  <si>
    <t>Pct_Occ_Gf_Mbsa_Hcpt_Hdtp</t>
  </si>
  <si>
    <t>Wgt_Occ_Gf_Mbsa_Hcpt_Htt</t>
  </si>
  <si>
    <t>Pct_Occ_Gf_Mbsa_Hcpt_Htt</t>
  </si>
  <si>
    <t>Wgt_Occ_Gf_Serv</t>
  </si>
  <si>
    <t>Pct_Occ_Gf_Serv</t>
  </si>
  <si>
    <t>Wgt_Occ_Gf_Serv_Hcs</t>
  </si>
  <si>
    <t>Pct_Occ_Gf_Serv_Hcs</t>
  </si>
  <si>
    <t>Wgt_Occ_Gf_Serv_Prs</t>
  </si>
  <si>
    <t>Pct_Occ_Gf_Serv_Prs</t>
  </si>
  <si>
    <t>Wgt_Occ_Gf_Serv_Prs_Ffp</t>
  </si>
  <si>
    <t>Pct_Occ_Gf_Serv_Prs_Ffp</t>
  </si>
  <si>
    <t>Wgt_Occ_Gf_Serv_Prs_Lew</t>
  </si>
  <si>
    <t>Pct_Occ_Gf_Serv_Prs_Lew</t>
  </si>
  <si>
    <t>Wgt_Occ_Gf_Serv_Fdps</t>
  </si>
  <si>
    <t>Pct_Occ_Gf_Serv_Fdps</t>
  </si>
  <si>
    <t>Wgt_Occ_Gf_Serv_Bgcm</t>
  </si>
  <si>
    <t>Pct_Occ_Gf_Serv_Bgcm</t>
  </si>
  <si>
    <t>Wgt_Occ_Gf_Serv_Pcs</t>
  </si>
  <si>
    <t>Pct_Occ_Gf_Serv_Pcs</t>
  </si>
  <si>
    <t>Wgt_Occ_Gf_Soff</t>
  </si>
  <si>
    <t>Pct_Occ_Gf_Soff</t>
  </si>
  <si>
    <t>Wgt_Occ_Gf_Soff_Srl</t>
  </si>
  <si>
    <t>Pct_Occ_Gf_Soff_Srl</t>
  </si>
  <si>
    <t>Wgt_Occ_Gf_Soff_Oads</t>
  </si>
  <si>
    <t>Pct_Occ_Gf_Soff_Oads</t>
  </si>
  <si>
    <t>Wgt_Occ_Gf_Nrcm</t>
  </si>
  <si>
    <t>Pct_Occ_Gf_Nrcm</t>
  </si>
  <si>
    <t>Wgt_Occ_Gf_Nrcm_Fff</t>
  </si>
  <si>
    <t>Pct_Occ_Gf_Nrcm_Fff</t>
  </si>
  <si>
    <t>Wgt_Occ_Gf_Nrcm_Cex</t>
  </si>
  <si>
    <t>Pct_Occ_Gf_Nrcm_Cex</t>
  </si>
  <si>
    <t>Wgt_Occ_Gf_Nrcm_Imr</t>
  </si>
  <si>
    <t>Pct_Occ_Gf_Nrcm_Imr</t>
  </si>
  <si>
    <t>Wgt_Occ_Gf_Ptmm</t>
  </si>
  <si>
    <t>Pct_Occ_Gf_Ptmm</t>
  </si>
  <si>
    <t>Wgt_Occ_Gf_Ptmm_Prod</t>
  </si>
  <si>
    <t>Pct_Occ_Gf_Ptmm_Prod</t>
  </si>
  <si>
    <t>Wgt_Occ_Gf_Ptmm_Trans</t>
  </si>
  <si>
    <t>Pct_Occ_Gf_Ptmm_Trans</t>
  </si>
  <si>
    <t>Wgt_Occ_Gf_Ptmm_Matm</t>
  </si>
  <si>
    <t>Pct_Occ_Gf_Ptmm_Matm</t>
  </si>
  <si>
    <t>Wgt_FHH_Woch_HHfnh</t>
  </si>
  <si>
    <t>Pct_FHH_Woch_HHfnh</t>
  </si>
  <si>
    <t>Wgt_Gm_A18to24_LtHs</t>
  </si>
  <si>
    <t>Pct_Gm_A18to24_LtHs</t>
  </si>
  <si>
    <t>Wgt_Gm_A18to24_HsDo</t>
  </si>
  <si>
    <t>Pct_Gm_A18to24_HsDo</t>
  </si>
  <si>
    <t>Wgt_Gm_A18to24_Hs</t>
  </si>
  <si>
    <t>Pct_Gm_A18to24_Hs</t>
  </si>
  <si>
    <t>Wgt_Gm_A18to24_ScNoDeg</t>
  </si>
  <si>
    <t>Pct_Gm_A18to24_ScNoDeg</t>
  </si>
  <si>
    <t>Wgt_Gm_A18to24_ScAa</t>
  </si>
  <si>
    <t>Pct_Gm_A18to24_ScAa</t>
  </si>
  <si>
    <t>Wgt_Gm_A18to24_Bach</t>
  </si>
  <si>
    <t>Pct_Gm_A18to24_Bach</t>
  </si>
  <si>
    <t>Wgt_Gm_A18to24_Grad</t>
  </si>
  <si>
    <t>Pct_Gm_A18to24_Grad</t>
  </si>
  <si>
    <t>Wgt_Gm_A25to34_LtHs</t>
  </si>
  <si>
    <t>Pct_Gm_A25to34_LtHs</t>
  </si>
  <si>
    <t>Wgt_Gm_A25to34_HsDo</t>
  </si>
  <si>
    <t>Pct_Gm_A25to34_HsDo</t>
  </si>
  <si>
    <t>Wgt_Gm_A25to34_Hs</t>
  </si>
  <si>
    <t>Pct_Gm_A25to34_Hs</t>
  </si>
  <si>
    <t>Wgt_Gm_A25to34_ScNoDeg</t>
  </si>
  <si>
    <t>Pct_Gm_A25to34_ScNoDeg</t>
  </si>
  <si>
    <t>Wgt_Gm_A25to34_ScAa</t>
  </si>
  <si>
    <t>Pct_Gm_A25to34_ScAa</t>
  </si>
  <si>
    <t>Wgt_Gm_A25to34_Bach</t>
  </si>
  <si>
    <t>Pct_Gm_A25to34_Bach</t>
  </si>
  <si>
    <t>Wgt_Gm_A25to34_Grad</t>
  </si>
  <si>
    <t>Pct_Gm_A25to34_Grad</t>
  </si>
  <si>
    <t>Wgt_Gm_A35to44_LtHs</t>
  </si>
  <si>
    <t>Pct_Gm_A35to44_LtHs</t>
  </si>
  <si>
    <t>Wgt_Gm_A35to44_HsDo</t>
  </si>
  <si>
    <t>Pct_Gm_A35to44_HsDo</t>
  </si>
  <si>
    <t>Wgt_Gm_A35to44_Hs</t>
  </si>
  <si>
    <t>Pct_Gm_A35to44_Hs</t>
  </si>
  <si>
    <t>Wgt_Gm_A35to44_ScNoDeg</t>
  </si>
  <si>
    <t>Pct_Gm_A35to44_ScNoDeg</t>
  </si>
  <si>
    <t>Wgt_Gm_A35to44_ScAa</t>
  </si>
  <si>
    <t>Pct_Gm_A35to44_ScAa</t>
  </si>
  <si>
    <t>Wgt_Gm_A35to44_Bach</t>
  </si>
  <si>
    <t>Pct_Gm_A35to44_Bach</t>
  </si>
  <si>
    <t>Wgt_Gm_A35to44_Grad</t>
  </si>
  <si>
    <t>Pct_Gm_A35to44_Grad</t>
  </si>
  <si>
    <t>Wgt_Gm_A45to64_LtHs</t>
  </si>
  <si>
    <t>Pct_Gm_A45to64_LtHs</t>
  </si>
  <si>
    <t>Wgt_Gm_A45to64_HsDo</t>
  </si>
  <si>
    <t>Pct_Gm_A45to64_HsDo</t>
  </si>
  <si>
    <t>Wgt_Gm_A45to64_Hs</t>
  </si>
  <si>
    <t>Pct_Gm_A45to64_Hs</t>
  </si>
  <si>
    <t>Wgt_Gm_A45to64_ScNoDeg</t>
  </si>
  <si>
    <t>Pct_Gm_A45to64_ScNoDeg</t>
  </si>
  <si>
    <t>Wgt_Gm_A45to64_ScAa</t>
  </si>
  <si>
    <t>Pct_Gm_A45to64_ScAa</t>
  </si>
  <si>
    <t>Wgt_Gm_A45to64_Bach</t>
  </si>
  <si>
    <t>Pct_Gm_A45to64_Bach</t>
  </si>
  <si>
    <t>Wgt_Gm_A45to64_Grad</t>
  </si>
  <si>
    <t>Pct_Gm_A45to64_Grad</t>
  </si>
  <si>
    <t>Wgt_Gm_AGe65_LtHs</t>
  </si>
  <si>
    <t>Pct_Gm_AGe65_LtHs</t>
  </si>
  <si>
    <t>Wgt_Gm_AGe65_HsDo</t>
  </si>
  <si>
    <t>Pct_Gm_AGe65_HsDo</t>
  </si>
  <si>
    <t>Wgt_Gm_AGe65_Hs</t>
  </si>
  <si>
    <t>Pct_Gm_AGe65_Hs</t>
  </si>
  <si>
    <t>Wgt_Gm_AGe65_ScNoDeg</t>
  </si>
  <si>
    <t>Pct_Gm_AGe65_ScNoDeg</t>
  </si>
  <si>
    <t>Wgt_Gm_AGe65_ScAa</t>
  </si>
  <si>
    <t>Pct_Gm_AGe65_ScAa</t>
  </si>
  <si>
    <t>Wgt_Gm_AGe65_Bach</t>
  </si>
  <si>
    <t>Pct_Gm_AGe65_Bach</t>
  </si>
  <si>
    <t>Wgt_Gm_AGe65_Grad</t>
  </si>
  <si>
    <t>Pct_Gm_AGe65_Grad</t>
  </si>
  <si>
    <t>Wgt_Gf_A18to24_LtHs</t>
  </si>
  <si>
    <t>Pct_Gf_A18to24_LtHs</t>
  </si>
  <si>
    <t>Wgt_Gf_A18to24_HsDo</t>
  </si>
  <si>
    <t>Pct_Gf_A18to24_HsDo</t>
  </si>
  <si>
    <t>Wgt_Gf_A18to24_Hs</t>
  </si>
  <si>
    <t>Pct_Gf_A18to24_Hs</t>
  </si>
  <si>
    <t>Wgt_Gf_A18to24_ScNoDeg</t>
  </si>
  <si>
    <t>Pct_Gf_A18to24_ScNoDeg</t>
  </si>
  <si>
    <t>Wgt_Gf_A18to24_ScAa</t>
  </si>
  <si>
    <t>Pct_Gf_A18to24_ScAa</t>
  </si>
  <si>
    <t>Wgt_Gf_A18to24_Bach</t>
  </si>
  <si>
    <t>Pct_Gf_A18to24_Bach</t>
  </si>
  <si>
    <t>Wgt_Gf_A18to24_Grad</t>
  </si>
  <si>
    <t>Pct_Gf_A18to24_Grad</t>
  </si>
  <si>
    <t>Wgt_Gf_A25to34_LtHs</t>
  </si>
  <si>
    <t>Pct_Gf_A25to34_LtHs</t>
  </si>
  <si>
    <t>Wgt_Gf_A25to34_HsDo</t>
  </si>
  <si>
    <t>Pct_Gf_A25to34_HsDo</t>
  </si>
  <si>
    <t>Wgt_Gf_A25to34_Hs</t>
  </si>
  <si>
    <t>Pct_Gf_A25to34_Hs</t>
  </si>
  <si>
    <t>Wgt_Gf_A25to34_ScNoDeg</t>
  </si>
  <si>
    <t>Pct_Gf_A25to34_ScNoDeg</t>
  </si>
  <si>
    <t>Wgt_Gf_A25to34_ScAa</t>
  </si>
  <si>
    <t>Pct_Gf_A25to34_ScAa</t>
  </si>
  <si>
    <t>Wgt_Gf_A25to34_Bach</t>
  </si>
  <si>
    <t>Pct_Gf_A25to34_Bach</t>
  </si>
  <si>
    <t>Wgt_Gf_A25to34_Grad</t>
  </si>
  <si>
    <t>Pct_Gf_A25to34_Grad</t>
  </si>
  <si>
    <t>Wgt_Gf_A35to44_LtHs</t>
  </si>
  <si>
    <t>Pct_Gf_A35to44_LtHs</t>
  </si>
  <si>
    <t>Wgt_Gf_A35to44_HsDo</t>
  </si>
  <si>
    <t>Pct_Gf_A35to44_HsDo</t>
  </si>
  <si>
    <t>Wgt_Gf_A35to44_Hs</t>
  </si>
  <si>
    <t>Pct_Gf_A35to44_Hs</t>
  </si>
  <si>
    <t>Wgt_Gf_A35to44_ScNoDeg</t>
  </si>
  <si>
    <t>Pct_Gf_A35to44_ScNoDeg</t>
  </si>
  <si>
    <t>Wgt_Gf_A35to44_ScAa</t>
  </si>
  <si>
    <t>Pct_Gf_A35to44_ScAa</t>
  </si>
  <si>
    <t>Wgt_Gf_A35to44_Bach</t>
  </si>
  <si>
    <t>Pct_Gf_A35to44_Bach</t>
  </si>
  <si>
    <t>Wgt_Gf_A35to44_Grad</t>
  </si>
  <si>
    <t>Pct_Gf_A35to44_Grad</t>
  </si>
  <si>
    <t>Wgt_Gf_A45to64_LtHs</t>
  </si>
  <si>
    <t>Pct_Gf_A45to64_LtHs</t>
  </si>
  <si>
    <t>Wgt_Gf_A45to64_HsDo</t>
  </si>
  <si>
    <t>Pct_Gf_A45to64_HsDo</t>
  </si>
  <si>
    <t>Wgt_Gf_A45to64_Hs</t>
  </si>
  <si>
    <t>Pct_Gf_A45to64_Hs</t>
  </si>
  <si>
    <t>Wgt_Gf_A45to64_ScNoDeg</t>
  </si>
  <si>
    <t>Pct_Gf_A45to64_ScNoDeg</t>
  </si>
  <si>
    <t>Wgt_Gf_A45to64_ScAa</t>
  </si>
  <si>
    <t>Pct_Gf_A45to64_ScAa</t>
  </si>
  <si>
    <t>Wgt_Gf_A45to64_Bach</t>
  </si>
  <si>
    <t>Pct_Gf_A45to64_Bach</t>
  </si>
  <si>
    <t>Wgt_Gf_A45to64_Grad</t>
  </si>
  <si>
    <t>Pct_Gf_A45to64_Grad</t>
  </si>
  <si>
    <t>Wgt_Gf_AGe65_LtHs</t>
  </si>
  <si>
    <t>Pct_Gf_AGe65_LtHs</t>
  </si>
  <si>
    <t>Wgt_Gf_AGe65_HsDo</t>
  </si>
  <si>
    <t>Pct_Gf_AGe65_HsDo</t>
  </si>
  <si>
    <t>Wgt_Gf_AGe65_Hs</t>
  </si>
  <si>
    <t>Pct_Gf_AGe65_Hs</t>
  </si>
  <si>
    <t>Wgt_Gf_AGe65_ScNoDeg</t>
  </si>
  <si>
    <t>Pct_Gf_AGe65_ScNoDeg</t>
  </si>
  <si>
    <t>Wgt_Gf_AGe65_ScAa</t>
  </si>
  <si>
    <t>Pct_Gf_AGe65_ScAa</t>
  </si>
  <si>
    <t>Wgt_Gf_AGe65_Bach</t>
  </si>
  <si>
    <t>Pct_Gf_AGe65_Bach</t>
  </si>
  <si>
    <t>Wgt_Gf_AGe65_Grad</t>
  </si>
  <si>
    <t>Pct_Gf_AGe65_Grad</t>
  </si>
  <si>
    <t>Wgt_Gf_Wb</t>
  </si>
  <si>
    <t>Pct_Gf_Wb</t>
  </si>
  <si>
    <t>Wgt_Gf_Wb_Mar</t>
  </si>
  <si>
    <t>Pct_Gf_Wb_Mar</t>
  </si>
  <si>
    <t>Wgt_Gf_Wb_Mar_Lfp</t>
  </si>
  <si>
    <t>Pct_Gf_Wb_Mar_Lfp</t>
  </si>
  <si>
    <t>Wgt_Gf_Wb_Mar_NoLfp</t>
  </si>
  <si>
    <t>Pct_Gf_Wb_Mar_NoLfp</t>
  </si>
  <si>
    <t>Wgt_Gf_Wb_UnMar</t>
  </si>
  <si>
    <t>Pct_Gf_Wb_UnMar</t>
  </si>
  <si>
    <t>Wgt_Gf_Wb_UnMar_Lfp</t>
  </si>
  <si>
    <t>Pct_Gf_Wb_UnMar_Lfp</t>
  </si>
  <si>
    <t>Wgt_Gf_Wb_UnMar_NoLfp</t>
  </si>
  <si>
    <t>Pct_Gf_Wb_UnMar_NoLfp</t>
  </si>
  <si>
    <t>Wgt_Gf_Wnb</t>
  </si>
  <si>
    <t>Pct_Gf_Wnb</t>
  </si>
  <si>
    <t>Wgt_Gf_Wnb_Mar</t>
  </si>
  <si>
    <t>Pct_Gf_Wnb_Mar</t>
  </si>
  <si>
    <t>Wgt_Gf_Wnb_Mar_Lfp</t>
  </si>
  <si>
    <t>Pct_Gf_Wnb_Mar_Lfp</t>
  </si>
  <si>
    <t>Wgt_Gf_Wnb_Mar_NoLfp</t>
  </si>
  <si>
    <t>Pct_Gf_Wnb_Mar_NoLfp</t>
  </si>
  <si>
    <t>Wgt_Gf_Wnb_UnMar</t>
  </si>
  <si>
    <t>Pct_Gf_Wnb_UnMar</t>
  </si>
  <si>
    <t>Wgt_Gf_Wnb_UnMar_Lfp</t>
  </si>
  <si>
    <t>Pct_Gf_Wnb_UnMar_Lfp</t>
  </si>
  <si>
    <t>Wgt_Gf_Wnb_UnMar_NoLfp</t>
  </si>
  <si>
    <t>Pct_Gf_Wnb_UnMar_NoLfp</t>
  </si>
  <si>
    <t>Wgt_WrkPlc_Gm</t>
  </si>
  <si>
    <t>Pct_WrkPlc_Gm</t>
  </si>
  <si>
    <t>Wgt_WrkPlc_Gm_Lvpl</t>
  </si>
  <si>
    <t>Pct_WrkPlc_Gm_Lvpl</t>
  </si>
  <si>
    <t>Wgt_WrkPlc_Gm_Lvpl_WrkIn</t>
  </si>
  <si>
    <t>Pct_WrkPlc_Gm_Lvpl_WrkIn</t>
  </si>
  <si>
    <t>Wgt_WrkPlc_Gm_Lvpl_WrkOut</t>
  </si>
  <si>
    <t>Pct_WrkPlc_Gm_Lvpl_WrkOut</t>
  </si>
  <si>
    <t>Wgt_WrkPlc_Gm_NotLvpl</t>
  </si>
  <si>
    <t>Pct_WrkPlc_Gm_NotLvpl</t>
  </si>
  <si>
    <t>Wgt_WrkPlc_Gf</t>
  </si>
  <si>
    <t>Pct_WrkPlc_Gf</t>
  </si>
  <si>
    <t>Wgt_WrkPlc_Gf_Lvpl</t>
  </si>
  <si>
    <t>Pct_WrkPlc_Gf_Lvpl</t>
  </si>
  <si>
    <t>Wgt_WrkPlc_Gf_Lvpl_WrkIn</t>
  </si>
  <si>
    <t>Pct_WrkPlc_Gf_Lvpl_WrkIn</t>
  </si>
  <si>
    <t>Wgt_WrkPlc_Gf_Lvpl_WrkOut</t>
  </si>
  <si>
    <t>Pct_WrkPlc_Gf_Lvpl_WrkOut</t>
  </si>
  <si>
    <t>Wgt_WrkPlc_Gf_NotLvpl</t>
  </si>
  <si>
    <t>Pct_WrkPlc_Gf_NotLvpl</t>
  </si>
  <si>
    <t>Wgt_Gm_ALt18</t>
  </si>
  <si>
    <t>Pct_Gm_ALt18</t>
  </si>
  <si>
    <t>Wgt_Gm_ALt18_Nat</t>
  </si>
  <si>
    <t>Pct_Gm_ALt18_Nat</t>
  </si>
  <si>
    <t>Wgt_Gm_ALt18_Frn</t>
  </si>
  <si>
    <t>Pct_Gm_ALt18_Frn</t>
  </si>
  <si>
    <t>Wgt_Gm_ALt18_Frn_NlzCit</t>
  </si>
  <si>
    <t>Pct_Gm_ALt18_Frn_NlzCit</t>
  </si>
  <si>
    <t>Wgt_Gm_ALt18_Frn_NotCit</t>
  </si>
  <si>
    <t>Pct_Gm_ALt18_Frn_NotCit</t>
  </si>
  <si>
    <t>Wgt_Gm_AGe18</t>
  </si>
  <si>
    <t>Pct_Gm_AGe18</t>
  </si>
  <si>
    <t>Wgt_Gm_AGe18_Nat</t>
  </si>
  <si>
    <t>Pct_Gm_AGe18_Nat</t>
  </si>
  <si>
    <t>Wgt_Gm_AGe18_Frn</t>
  </si>
  <si>
    <t>Pct_Gm_AGe18_Frn</t>
  </si>
  <si>
    <t>Wgt_Gm_AGe18_Frn_NlzCit</t>
  </si>
  <si>
    <t>Pct_Gm_AGe18_Frn_NlzCit</t>
  </si>
  <si>
    <t>Wgt_Gm_AGe18_Frn_NotCit</t>
  </si>
  <si>
    <t>Pct_Gm_AGe18_Frn_NotCit</t>
  </si>
  <si>
    <t>Wgt_Gf_ALt18</t>
  </si>
  <si>
    <t>Pct_Gf_ALt18</t>
  </si>
  <si>
    <t>Wgt_Gf_ALt18_Nat</t>
  </si>
  <si>
    <t>Pct_Gf_ALt18_Nat</t>
  </si>
  <si>
    <t>Wgt_Gf_ALt18_Frn</t>
  </si>
  <si>
    <t>Pct_Gf_ALt18_Frn</t>
  </si>
  <si>
    <t>Wgt_Gf_ALt18_Frn_NlzCit</t>
  </si>
  <si>
    <t>Pct_Gf_ALt18_Frn_NlzCit</t>
  </si>
  <si>
    <t>Wgt_Gf_ALt18_Frn_NotCit</t>
  </si>
  <si>
    <t>Pct_Gf_ALt18_Frn_NotCit</t>
  </si>
  <si>
    <t>Wgt_Gf_AGe18</t>
  </si>
  <si>
    <t>Pct_Gf_AGe18</t>
  </si>
  <si>
    <t>Wgt_Gf_AGe18_Nat</t>
  </si>
  <si>
    <t>Pct_Gf_AGe18_Nat</t>
  </si>
  <si>
    <t>Wgt_Gf_AGe18_Frn</t>
  </si>
  <si>
    <t>Pct_Gf_AGe18_Frn</t>
  </si>
  <si>
    <t>Wgt_Gf_AGe18_Frn_NlzCit</t>
  </si>
  <si>
    <t>Pct_Gf_AGe18_Frn_NlzCit</t>
  </si>
  <si>
    <t>Wgt_Gf_AGe18_Frn_NotCit</t>
  </si>
  <si>
    <t>Pct_Gf_AGe18_Frn_NotCit</t>
  </si>
  <si>
    <t>% of Households with Children, with Single Female Head</t>
  </si>
  <si>
    <t>Women's Economic Status in Chicago</t>
  </si>
  <si>
    <t>% of two-earner families in the Chicago Metro area (define) earn less than $ __(1)__</t>
  </si>
  <si>
    <t>More than ____ of female heads of household earn less than ______ (median?) ___(2)___</t>
  </si>
  <si>
    <t>Women earn on average ___(3)__ of men's wages, or $_______(4)______</t>
  </si>
  <si>
    <t>The median income of all female heads of household is _(5)__, ___(6)___% less than that of male heads of household</t>
  </si>
  <si>
    <t>Black women and Latinas make up ____(9)_____ percent of the Chicago metropolitan workforce.</t>
  </si>
  <si>
    <t>They are _(10)_% more likely to earn less than median income than their white counterparts</t>
  </si>
  <si>
    <t>They are also less likely to graduate from high school and receive only _(11)__% of college degrees by women</t>
  </si>
  <si>
    <t>Nearly ___(8c)___ % of female heads of household work in low-paying sectors such as _______(7b)______</t>
  </si>
  <si>
    <t>Women are the majority of workers in the fast-growing sectors of ___(7a)_____. ___(8a)_____ of these jobs pay less than $_____(8b)____</t>
  </si>
  <si>
    <t xml:space="preserve">Of women who earn less than the median income, _(12a)_% are college graduates, _(12b)_% have some college, ... </t>
  </si>
  <si>
    <t>Of female heads of household earning less than the median income, __(13a)__% have a college degree and fewer than __(13b)__% have a high school degree</t>
  </si>
  <si>
    <t>Even at the same level of educational attainment, men make more money than women __(14)__</t>
  </si>
  <si>
    <t>Other: involuntary part-time, literacy levels or number of women who are low-literate, unemployment rates, costs __(15)___</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</si>
</sst>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
  </numFmts>
  <fonts count="57" x14ac:knownFonts="1">
    <font>
      <sz val="10"/>
      <name val="MS Sans Serif"/>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MS Sans Serif"/>
      <family val="2"/>
    </font>
    <font>
      <sz val="10"/>
      <name val="Times New Roman"/>
      <family val="1"/>
    </font>
    <font>
      <b/>
      <sz val="10"/>
      <name val="Times New Roman"/>
      <family val="1"/>
    </font>
    <font>
      <sz val="10"/>
      <name val="MS Sans Serif"/>
      <family val="2"/>
    </font>
    <font>
      <b/>
      <sz val="10"/>
      <color theme="0"/>
      <name val="Times New Roman"/>
      <family val="1"/>
    </font>
    <font>
      <sz val="9"/>
      <color indexed="81"/>
      <name val="Tahoma"/>
      <family val="2"/>
    </font>
    <font>
      <b/>
      <sz val="9"/>
      <color indexed="81"/>
      <name val="Tahoma"/>
      <family val="2"/>
    </font>
    <font>
      <sz val="10"/>
      <name val="Arial"/>
      <family val="2"/>
    </font>
    <font>
      <b/>
      <sz val="11"/>
      <name val="Arial"/>
      <family val="2"/>
    </font>
    <font>
      <b/>
      <sz val="10"/>
      <name val="Arial"/>
      <family val="2"/>
    </font>
    <font>
      <sz val="10"/>
      <color indexed="12"/>
      <name val="Arial"/>
      <family val="2"/>
    </font>
    <font>
      <sz val="10"/>
      <color theme="1"/>
      <name val="Arial"/>
      <family val="2"/>
    </font>
    <font>
      <sz val="11"/>
      <name val="Arial"/>
      <family val="2"/>
    </font>
    <font>
      <sz val="10"/>
      <color indexed="20"/>
      <name val="Arial"/>
      <family val="2"/>
    </font>
    <font>
      <b/>
      <sz val="10"/>
      <color rgb="FFFF0000"/>
      <name val="Arial"/>
      <family val="2"/>
    </font>
    <font>
      <sz val="10"/>
      <color indexed="17"/>
      <name val="Arial"/>
      <family val="2"/>
    </font>
    <font>
      <i/>
      <sz val="10"/>
      <name val="Arial"/>
      <family val="2"/>
    </font>
    <font>
      <sz val="10"/>
      <color rgb="FFFF0000"/>
      <name val="Arial"/>
      <family val="2"/>
    </font>
    <font>
      <sz val="10"/>
      <color rgb="FF7030A0"/>
      <name val="Arial"/>
      <family val="2"/>
    </font>
    <font>
      <sz val="20"/>
      <color theme="0"/>
      <name val="Arial"/>
      <family val="2"/>
    </font>
    <font>
      <sz val="10"/>
      <color theme="0"/>
      <name val="Arial"/>
      <family val="2"/>
    </font>
    <font>
      <sz val="10"/>
      <color rgb="FF000000"/>
      <name val="MS Sans Serif"/>
      <family val="2"/>
    </font>
    <font>
      <sz val="10"/>
      <name val="MS Sans Serif"/>
      <family val="2"/>
    </font>
    <font>
      <b/>
      <sz val="10"/>
      <name val="MS Sans Serif"/>
      <family val="2"/>
    </font>
    <font>
      <sz val="11"/>
      <name val="Calibri"/>
      <family val="2"/>
      <scheme val="minor"/>
    </font>
    <font>
      <b/>
      <sz val="11"/>
      <name val="Calibri"/>
      <family val="2"/>
      <scheme val="minor"/>
    </font>
    <font>
      <b/>
      <sz val="13"/>
      <name val="Calibri"/>
      <family val="2"/>
      <scheme val="minor"/>
    </font>
    <font>
      <sz val="15"/>
      <color theme="0"/>
      <name val="Calibri"/>
      <family val="2"/>
      <scheme val="minor"/>
    </font>
    <font>
      <sz val="10"/>
      <color theme="0"/>
      <name val="MS Sans Serif"/>
      <family val="2"/>
    </font>
  </fonts>
  <fills count="18">
    <fill>
      <patternFill patternType="none"/>
    </fill>
    <fill>
      <patternFill patternType="gray125"/>
    </fill>
    <fill>
      <patternFill patternType="solid">
        <fgColor indexed="9"/>
        <bgColor indexed="64"/>
      </patternFill>
    </fill>
    <fill>
      <patternFill patternType="solid">
        <fgColor theme="8"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indexed="8"/>
        <bgColor indexed="64"/>
      </patternFill>
    </fill>
    <fill>
      <patternFill patternType="solid">
        <fgColor indexed="12"/>
        <bgColor indexed="64"/>
      </patternFill>
    </fill>
    <fill>
      <patternFill patternType="solid">
        <fgColor indexed="17"/>
        <bgColor indexed="64"/>
      </patternFill>
    </fill>
    <fill>
      <patternFill patternType="solid">
        <fgColor indexed="20"/>
        <bgColor indexed="64"/>
      </patternFill>
    </fill>
    <fill>
      <patternFill patternType="solid">
        <fgColor indexed="10"/>
        <bgColor indexed="64"/>
      </patternFill>
    </fill>
    <fill>
      <patternFill patternType="solid">
        <fgColor rgb="FF7030A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s>
  <borders count="12">
    <border>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3">
    <xf numFmtId="0" fontId="0" fillId="0" borderId="0"/>
    <xf numFmtId="0" fontId="31" fillId="0" borderId="0"/>
    <xf numFmtId="0" fontId="29" fillId="0" borderId="0"/>
    <xf numFmtId="0" fontId="28" fillId="0" borderId="0"/>
    <xf numFmtId="0" fontId="27" fillId="0" borderId="0"/>
    <xf numFmtId="0" fontId="26" fillId="0" borderId="0"/>
    <xf numFmtId="0" fontId="25" fillId="0" borderId="0"/>
    <xf numFmtId="0" fontId="24" fillId="0" borderId="0"/>
    <xf numFmtId="0" fontId="23" fillId="0" borderId="0"/>
    <xf numFmtId="0" fontId="22" fillId="0" borderId="0"/>
    <xf numFmtId="0" fontId="21" fillId="0" borderId="0"/>
    <xf numFmtId="0" fontId="20" fillId="0" borderId="0"/>
    <xf numFmtId="0" fontId="19" fillId="0" borderId="0"/>
    <xf numFmtId="0" fontId="18" fillId="0" borderId="0"/>
    <xf numFmtId="0" fontId="17" fillId="0" borderId="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4" fillId="0" borderId="0"/>
    <xf numFmtId="0" fontId="35" fillId="0" borderId="0"/>
    <xf numFmtId="0" fontId="3" fillId="0" borderId="0"/>
    <xf numFmtId="9" fontId="50" fillId="0" borderId="0" applyFont="0" applyFill="0" applyBorder="0" applyAlignment="0" applyProtection="0"/>
    <xf numFmtId="0" fontId="2" fillId="0" borderId="0"/>
    <xf numFmtId="0" fontId="1" fillId="0" borderId="0"/>
  </cellStyleXfs>
  <cellXfs count="158">
    <xf numFmtId="0" fontId="0" fillId="0" borderId="0" xfId="0"/>
    <xf numFmtId="0" fontId="29" fillId="2" borderId="0" xfId="2" applyFill="1"/>
    <xf numFmtId="0" fontId="29" fillId="2" borderId="0" xfId="2" applyFill="1" applyAlignment="1">
      <alignment horizontal="left" indent="1"/>
    </xf>
    <xf numFmtId="0" fontId="29" fillId="2" borderId="0" xfId="2" applyFill="1" applyAlignment="1">
      <alignment horizontal="left" indent="2"/>
    </xf>
    <xf numFmtId="49" fontId="29" fillId="2" borderId="0" xfId="2" applyNumberFormat="1" applyFill="1" applyBorder="1"/>
    <xf numFmtId="0" fontId="29" fillId="2" borderId="0" xfId="2" quotePrefix="1" applyFill="1"/>
    <xf numFmtId="0" fontId="29" fillId="2" borderId="0" xfId="2" applyFill="1" applyAlignment="1">
      <alignment wrapText="1"/>
    </xf>
    <xf numFmtId="0" fontId="29" fillId="2" borderId="0" xfId="2" applyFill="1" applyAlignment="1">
      <alignment horizontal="left" wrapText="1"/>
    </xf>
    <xf numFmtId="0" fontId="32" fillId="4" borderId="3" xfId="2" applyFont="1" applyFill="1" applyBorder="1" applyAlignment="1">
      <alignment wrapText="1"/>
    </xf>
    <xf numFmtId="0" fontId="32" fillId="4" borderId="3" xfId="2" applyFont="1" applyFill="1" applyBorder="1" applyAlignment="1">
      <alignment horizontal="center" wrapText="1"/>
    </xf>
    <xf numFmtId="0" fontId="32" fillId="4" borderId="4" xfId="2" applyFont="1" applyFill="1" applyBorder="1" applyAlignment="1">
      <alignment horizontal="center" wrapText="1"/>
    </xf>
    <xf numFmtId="0" fontId="29" fillId="2" borderId="0" xfId="2" applyNumberFormat="1" applyFill="1"/>
    <xf numFmtId="0" fontId="32" fillId="4" borderId="3" xfId="2" applyFont="1" applyFill="1" applyBorder="1" applyAlignment="1">
      <alignment horizontal="left" wrapText="1"/>
    </xf>
    <xf numFmtId="0" fontId="29" fillId="2" borderId="0" xfId="2" applyFill="1" applyAlignment="1">
      <alignment horizontal="left"/>
    </xf>
    <xf numFmtId="0" fontId="29" fillId="2" borderId="0" xfId="2" quotePrefix="1" applyFill="1" applyAlignment="1">
      <alignment horizontal="left"/>
    </xf>
    <xf numFmtId="0" fontId="29" fillId="2" borderId="0" xfId="2" applyFill="1" applyAlignment="1">
      <alignment horizontal="center"/>
    </xf>
    <xf numFmtId="0" fontId="29" fillId="2" borderId="0" xfId="2" quotePrefix="1" applyFill="1" applyAlignment="1">
      <alignment horizontal="center"/>
    </xf>
    <xf numFmtId="0" fontId="29" fillId="3" borderId="1" xfId="2" applyFill="1" applyBorder="1" applyAlignment="1">
      <alignment wrapText="1"/>
    </xf>
    <xf numFmtId="0" fontId="29" fillId="3" borderId="1" xfId="2" applyFill="1" applyBorder="1" applyAlignment="1">
      <alignment horizontal="center" wrapText="1"/>
    </xf>
    <xf numFmtId="0" fontId="29" fillId="3" borderId="1" xfId="2" applyFill="1" applyBorder="1" applyAlignment="1">
      <alignment horizontal="left" wrapText="1"/>
    </xf>
    <xf numFmtId="0" fontId="29" fillId="3" borderId="1" xfId="2" applyFont="1" applyFill="1" applyBorder="1" applyAlignment="1">
      <alignment horizontal="center" wrapText="1"/>
    </xf>
    <xf numFmtId="0" fontId="29" fillId="3" borderId="1" xfId="2" applyFill="1" applyBorder="1" applyAlignment="1">
      <alignment vertical="center" wrapText="1"/>
    </xf>
    <xf numFmtId="0" fontId="29" fillId="3" borderId="1" xfId="2" applyFill="1" applyBorder="1" applyAlignment="1">
      <alignment horizontal="center" vertical="center" wrapText="1"/>
    </xf>
    <xf numFmtId="0" fontId="29" fillId="3" borderId="1" xfId="2" applyFill="1" applyBorder="1" applyAlignment="1">
      <alignment horizontal="left" vertical="center" wrapText="1"/>
    </xf>
    <xf numFmtId="0" fontId="29" fillId="3" borderId="1" xfId="2" applyFont="1" applyFill="1" applyBorder="1" applyAlignment="1">
      <alignment horizontal="center" vertical="center" wrapText="1"/>
    </xf>
    <xf numFmtId="0" fontId="29" fillId="2" borderId="0" xfId="2" applyFill="1" applyAlignment="1">
      <alignment vertical="center" wrapText="1"/>
    </xf>
    <xf numFmtId="0" fontId="29" fillId="3" borderId="1" xfId="2" applyFont="1" applyFill="1" applyBorder="1" applyAlignment="1">
      <alignment wrapText="1"/>
    </xf>
    <xf numFmtId="0" fontId="30" fillId="3" borderId="1" xfId="2" applyFont="1" applyFill="1" applyBorder="1" applyAlignment="1">
      <alignment horizontal="center" wrapText="1"/>
    </xf>
    <xf numFmtId="0" fontId="29" fillId="3" borderId="0" xfId="2" applyFont="1" applyFill="1" applyBorder="1" applyAlignment="1">
      <alignment horizontal="center" wrapText="1"/>
    </xf>
    <xf numFmtId="0" fontId="29" fillId="3" borderId="2" xfId="2" applyFill="1" applyBorder="1" applyAlignment="1">
      <alignment wrapText="1"/>
    </xf>
    <xf numFmtId="0" fontId="29" fillId="3" borderId="2" xfId="2" applyFill="1" applyBorder="1" applyAlignment="1">
      <alignment horizontal="center" wrapText="1"/>
    </xf>
    <xf numFmtId="0" fontId="29" fillId="3" borderId="2" xfId="2" applyFill="1" applyBorder="1" applyAlignment="1">
      <alignment horizontal="left" wrapText="1"/>
    </xf>
    <xf numFmtId="0" fontId="29" fillId="3" borderId="2" xfId="2" applyFont="1" applyFill="1" applyBorder="1" applyAlignment="1">
      <alignment horizontal="center" wrapText="1"/>
    </xf>
    <xf numFmtId="0" fontId="36" fillId="5" borderId="0" xfId="28" applyFont="1" applyFill="1" applyBorder="1"/>
    <xf numFmtId="0" fontId="37" fillId="5" borderId="0" xfId="28" applyFont="1" applyFill="1" applyBorder="1"/>
    <xf numFmtId="0" fontId="35" fillId="5" borderId="0" xfId="28" applyFill="1" applyBorder="1"/>
    <xf numFmtId="0" fontId="35" fillId="5" borderId="3" xfId="28" applyFill="1" applyBorder="1" applyAlignment="1">
      <alignment horizontal="center"/>
    </xf>
    <xf numFmtId="0" fontId="35" fillId="5" borderId="0" xfId="28" applyFont="1" applyFill="1" applyBorder="1" applyAlignment="1">
      <alignment horizontal="center"/>
    </xf>
    <xf numFmtId="0" fontId="35" fillId="5" borderId="0" xfId="28" applyFill="1" applyBorder="1" applyAlignment="1">
      <alignment horizontal="center"/>
    </xf>
    <xf numFmtId="0" fontId="38" fillId="5" borderId="0" xfId="28" applyFont="1" applyFill="1" applyBorder="1" applyAlignment="1">
      <alignment horizontal="center"/>
    </xf>
    <xf numFmtId="0" fontId="39" fillId="5" borderId="3" xfId="28" applyFont="1" applyFill="1" applyBorder="1" applyAlignment="1">
      <alignment horizontal="center"/>
    </xf>
    <xf numFmtId="0" fontId="39" fillId="5" borderId="0" xfId="28" applyFont="1" applyFill="1" applyBorder="1" applyAlignment="1">
      <alignment horizontal="center"/>
    </xf>
    <xf numFmtId="0" fontId="35" fillId="5" borderId="3" xfId="28" applyFill="1" applyBorder="1"/>
    <xf numFmtId="0" fontId="36" fillId="6" borderId="0" xfId="28" applyFont="1" applyFill="1"/>
    <xf numFmtId="0" fontId="35" fillId="6" borderId="0" xfId="28" applyFill="1"/>
    <xf numFmtId="0" fontId="35" fillId="6" borderId="0" xfId="28" applyFont="1" applyFill="1"/>
    <xf numFmtId="0" fontId="41" fillId="6" borderId="0" xfId="28" applyFont="1" applyFill="1"/>
    <xf numFmtId="0" fontId="36" fillId="5" borderId="5" xfId="28" applyFont="1" applyFill="1" applyBorder="1"/>
    <xf numFmtId="0" fontId="35" fillId="5" borderId="5" xfId="28" applyFill="1" applyBorder="1"/>
    <xf numFmtId="0" fontId="35" fillId="5" borderId="0" xfId="28" applyFont="1" applyFill="1" applyBorder="1"/>
    <xf numFmtId="0" fontId="41" fillId="5" borderId="0" xfId="28" applyFont="1" applyFill="1" applyBorder="1"/>
    <xf numFmtId="2" fontId="42" fillId="5" borderId="6" xfId="28" applyNumberFormat="1" applyFont="1" applyFill="1" applyBorder="1"/>
    <xf numFmtId="0" fontId="35" fillId="5" borderId="7" xfId="28" applyFont="1" applyFill="1" applyBorder="1"/>
    <xf numFmtId="0" fontId="35" fillId="5" borderId="7" xfId="28" applyFill="1" applyBorder="1"/>
    <xf numFmtId="0" fontId="35" fillId="5" borderId="8" xfId="28" applyFill="1" applyBorder="1"/>
    <xf numFmtId="164" fontId="38" fillId="5" borderId="0" xfId="28" applyNumberFormat="1" applyFont="1" applyFill="1" applyBorder="1" applyAlignment="1">
      <alignment horizontal="center"/>
    </xf>
    <xf numFmtId="0" fontId="36" fillId="6" borderId="0" xfId="28" applyFont="1" applyFill="1" applyAlignment="1">
      <alignment horizontal="left"/>
    </xf>
    <xf numFmtId="0" fontId="35" fillId="6" borderId="0" xfId="28" applyFill="1" applyAlignment="1">
      <alignment horizontal="left"/>
    </xf>
    <xf numFmtId="0" fontId="38" fillId="5" borderId="0" xfId="28" applyFont="1" applyFill="1" applyBorder="1"/>
    <xf numFmtId="0" fontId="43" fillId="6" borderId="0" xfId="28" applyFont="1" applyFill="1"/>
    <xf numFmtId="0" fontId="41" fillId="5" borderId="0" xfId="28" applyFont="1" applyFill="1" applyBorder="1" applyAlignment="1">
      <alignment horizontal="center"/>
    </xf>
    <xf numFmtId="0" fontId="35" fillId="5" borderId="0" xfId="28" applyFill="1"/>
    <xf numFmtId="0" fontId="35" fillId="5" borderId="0" xfId="28" applyFont="1" applyFill="1" applyBorder="1" applyAlignment="1">
      <alignment horizontal="left"/>
    </xf>
    <xf numFmtId="0" fontId="35" fillId="5" borderId="0" xfId="28" applyFont="1" applyFill="1" applyBorder="1" applyAlignment="1">
      <alignment horizontal="left" indent="1"/>
    </xf>
    <xf numFmtId="0" fontId="35" fillId="5" borderId="0" xfId="28" applyFill="1" applyBorder="1" applyAlignment="1">
      <alignment horizontal="left"/>
    </xf>
    <xf numFmtId="0" fontId="35" fillId="5" borderId="3" xfId="28" applyFill="1" applyBorder="1" applyAlignment="1">
      <alignment horizontal="left"/>
    </xf>
    <xf numFmtId="0" fontId="35" fillId="7" borderId="0" xfId="28" applyFont="1" applyFill="1" applyBorder="1" applyAlignment="1">
      <alignment horizontal="left"/>
    </xf>
    <xf numFmtId="0" fontId="35" fillId="7" borderId="0" xfId="28" applyFill="1" applyBorder="1"/>
    <xf numFmtId="0" fontId="36" fillId="6" borderId="0" xfId="28" applyFont="1" applyFill="1" applyBorder="1" applyAlignment="1">
      <alignment horizontal="left"/>
    </xf>
    <xf numFmtId="0" fontId="35" fillId="6" borderId="0" xfId="28" applyFill="1" applyBorder="1"/>
    <xf numFmtId="0" fontId="35" fillId="6" borderId="0" xfId="28" applyFont="1" applyFill="1" applyBorder="1" applyAlignment="1">
      <alignment horizontal="left"/>
    </xf>
    <xf numFmtId="0" fontId="35" fillId="8" borderId="0" xfId="28" applyFont="1" applyFill="1" applyBorder="1" applyAlignment="1">
      <alignment horizontal="left"/>
    </xf>
    <xf numFmtId="0" fontId="35" fillId="8" borderId="0" xfId="28" applyFill="1" applyBorder="1"/>
    <xf numFmtId="0" fontId="35" fillId="6" borderId="0" xfId="28" applyFont="1" applyFill="1" applyBorder="1" applyAlignment="1">
      <alignment horizontal="left" indent="1"/>
    </xf>
    <xf numFmtId="0" fontId="35" fillId="6" borderId="3" xfId="28" applyFont="1" applyFill="1" applyBorder="1" applyAlignment="1">
      <alignment horizontal="left"/>
    </xf>
    <xf numFmtId="0" fontId="35" fillId="6" borderId="3" xfId="28" applyFill="1" applyBorder="1"/>
    <xf numFmtId="0" fontId="40" fillId="5" borderId="0" xfId="28" applyFont="1" applyFill="1" applyBorder="1" applyAlignment="1">
      <alignment horizontal="left"/>
    </xf>
    <xf numFmtId="0" fontId="35" fillId="5" borderId="0" xfId="28" applyFont="1" applyFill="1" applyBorder="1" applyAlignment="1">
      <alignment horizontal="left" wrapText="1"/>
    </xf>
    <xf numFmtId="0" fontId="35" fillId="5" borderId="0" xfId="28" applyFill="1" applyBorder="1" applyAlignment="1">
      <alignment wrapText="1"/>
    </xf>
    <xf numFmtId="0" fontId="35" fillId="5" borderId="0" xfId="28" applyFill="1" applyBorder="1" applyAlignment="1">
      <alignment horizontal="center" wrapText="1"/>
    </xf>
    <xf numFmtId="0" fontId="35" fillId="5" borderId="0" xfId="28" applyFont="1" applyFill="1" applyBorder="1" applyAlignment="1">
      <alignment horizontal="center" wrapText="1"/>
    </xf>
    <xf numFmtId="0" fontId="35" fillId="5" borderId="0" xfId="28" applyFont="1" applyFill="1" applyBorder="1" applyAlignment="1">
      <alignment wrapText="1"/>
    </xf>
    <xf numFmtId="0" fontId="35" fillId="5" borderId="0" xfId="28" applyFont="1" applyFill="1" applyBorder="1" applyAlignment="1">
      <alignment horizontal="centerContinuous" wrapText="1"/>
    </xf>
    <xf numFmtId="0" fontId="35" fillId="5" borderId="0" xfId="28" applyFill="1" applyBorder="1" applyAlignment="1">
      <alignment horizontal="centerContinuous" wrapText="1"/>
    </xf>
    <xf numFmtId="0" fontId="37" fillId="5" borderId="0" xfId="28" applyFont="1" applyFill="1" applyBorder="1" applyAlignment="1">
      <alignment horizontal="centerContinuous"/>
    </xf>
    <xf numFmtId="0" fontId="35" fillId="5" borderId="0" xfId="28" applyFont="1" applyFill="1" applyBorder="1" applyAlignment="1">
      <alignment horizontal="centerContinuous"/>
    </xf>
    <xf numFmtId="0" fontId="35" fillId="5" borderId="3" xfId="28" applyFont="1" applyFill="1" applyBorder="1"/>
    <xf numFmtId="0" fontId="35" fillId="5" borderId="3" xfId="28" applyFont="1" applyFill="1" applyBorder="1" applyAlignment="1">
      <alignment horizontal="center"/>
    </xf>
    <xf numFmtId="0" fontId="45" fillId="5" borderId="3" xfId="28" applyFont="1" applyFill="1" applyBorder="1" applyAlignment="1">
      <alignment horizontal="center"/>
    </xf>
    <xf numFmtId="0" fontId="36" fillId="6" borderId="5" xfId="28" applyFont="1" applyFill="1" applyBorder="1" applyAlignment="1">
      <alignment horizontal="left"/>
    </xf>
    <xf numFmtId="0" fontId="35" fillId="6" borderId="5" xfId="28" applyFill="1" applyBorder="1"/>
    <xf numFmtId="0" fontId="35" fillId="6" borderId="0" xfId="28" applyFill="1" applyBorder="1" applyAlignment="1">
      <alignment horizontal="left"/>
    </xf>
    <xf numFmtId="0" fontId="35" fillId="9" borderId="0" xfId="28" applyFill="1" applyBorder="1"/>
    <xf numFmtId="0" fontId="38" fillId="10" borderId="0" xfId="28" applyFont="1" applyFill="1" applyBorder="1"/>
    <xf numFmtId="0" fontId="35" fillId="11" borderId="0" xfId="28" applyFill="1" applyBorder="1"/>
    <xf numFmtId="0" fontId="35" fillId="12" borderId="0" xfId="28" applyFill="1" applyBorder="1"/>
    <xf numFmtId="0" fontId="35" fillId="13" borderId="3" xfId="28" applyFill="1" applyBorder="1"/>
    <xf numFmtId="0" fontId="35" fillId="0" borderId="0" xfId="28" applyFill="1"/>
    <xf numFmtId="0" fontId="35" fillId="0" borderId="0" xfId="28"/>
    <xf numFmtId="0" fontId="37" fillId="5" borderId="0" xfId="28" applyFont="1" applyFill="1" applyBorder="1" applyAlignment="1">
      <alignment horizontal="center"/>
    </xf>
    <xf numFmtId="0" fontId="39" fillId="5" borderId="6" xfId="28" applyFont="1" applyFill="1" applyBorder="1" applyAlignment="1">
      <alignment horizontal="center"/>
    </xf>
    <xf numFmtId="0" fontId="39" fillId="5" borderId="7" xfId="28" applyFont="1" applyFill="1" applyBorder="1" applyAlignment="1">
      <alignment horizontal="center"/>
    </xf>
    <xf numFmtId="0" fontId="39" fillId="5" borderId="8" xfId="28" applyFont="1" applyFill="1" applyBorder="1" applyAlignment="1">
      <alignment horizontal="center"/>
    </xf>
    <xf numFmtId="0" fontId="39" fillId="5" borderId="9" xfId="28" applyFont="1" applyFill="1" applyBorder="1" applyAlignment="1">
      <alignment horizontal="center"/>
    </xf>
    <xf numFmtId="0" fontId="39" fillId="5" borderId="10" xfId="28" applyFont="1" applyFill="1" applyBorder="1" applyAlignment="1">
      <alignment horizontal="center"/>
    </xf>
    <xf numFmtId="0" fontId="39" fillId="5" borderId="11" xfId="28" applyFont="1" applyFill="1" applyBorder="1" applyAlignment="1">
      <alignment horizontal="center"/>
    </xf>
    <xf numFmtId="0" fontId="39" fillId="5" borderId="4" xfId="28" applyFont="1" applyFill="1" applyBorder="1" applyAlignment="1">
      <alignment horizontal="center"/>
    </xf>
    <xf numFmtId="0" fontId="35" fillId="6" borderId="0" xfId="28" applyFill="1" applyBorder="1" applyAlignment="1">
      <alignment horizontal="center"/>
    </xf>
    <xf numFmtId="0" fontId="46" fillId="6" borderId="0" xfId="28" applyFont="1" applyFill="1" applyBorder="1" applyAlignment="1">
      <alignment horizontal="center"/>
    </xf>
    <xf numFmtId="0" fontId="35" fillId="6" borderId="4" xfId="28" applyFill="1" applyBorder="1"/>
    <xf numFmtId="0" fontId="35" fillId="6" borderId="10" xfId="28" applyFill="1" applyBorder="1"/>
    <xf numFmtId="0" fontId="47" fillId="14" borderId="3" xfId="0" applyFont="1" applyFill="1" applyBorder="1"/>
    <xf numFmtId="0" fontId="48" fillId="14" borderId="3" xfId="0" applyFont="1" applyFill="1" applyBorder="1"/>
    <xf numFmtId="0" fontId="35" fillId="15" borderId="0" xfId="28" applyFill="1"/>
    <xf numFmtId="0" fontId="2" fillId="0" borderId="0" xfId="31"/>
    <xf numFmtId="0" fontId="2" fillId="0" borderId="0" xfId="31" applyAlignment="1">
      <alignment wrapText="1"/>
    </xf>
    <xf numFmtId="0" fontId="0" fillId="16" borderId="0" xfId="0" applyFill="1"/>
    <xf numFmtId="0" fontId="2" fillId="0" borderId="0" xfId="31" applyFont="1"/>
    <xf numFmtId="0" fontId="52" fillId="0" borderId="0" xfId="0" applyFont="1"/>
    <xf numFmtId="0" fontId="52" fillId="16" borderId="0" xfId="0" applyFont="1" applyFill="1"/>
    <xf numFmtId="0" fontId="53" fillId="0" borderId="0" xfId="0" applyFont="1" applyAlignment="1">
      <alignment horizontal="centerContinuous"/>
    </xf>
    <xf numFmtId="0" fontId="52" fillId="0" borderId="0" xfId="0" applyFont="1" applyAlignment="1">
      <alignment horizontal="centerContinuous"/>
    </xf>
    <xf numFmtId="9" fontId="52" fillId="0" borderId="0" xfId="30" applyFont="1" applyAlignment="1">
      <alignment horizontal="center"/>
    </xf>
    <xf numFmtId="0" fontId="51" fillId="16" borderId="0" xfId="0" applyFont="1" applyFill="1" applyAlignment="1">
      <alignment horizontal="center"/>
    </xf>
    <xf numFmtId="0" fontId="51" fillId="16" borderId="3" xfId="0" applyFont="1" applyFill="1" applyBorder="1" applyAlignment="1">
      <alignment horizontal="center"/>
    </xf>
    <xf numFmtId="0" fontId="0" fillId="16" borderId="0" xfId="0" applyFill="1" applyAlignment="1">
      <alignment horizontal="center"/>
    </xf>
    <xf numFmtId="0" fontId="52" fillId="0" borderId="3" xfId="0" applyFont="1" applyBorder="1"/>
    <xf numFmtId="0" fontId="52" fillId="16" borderId="3" xfId="0" applyFont="1" applyFill="1" applyBorder="1"/>
    <xf numFmtId="0" fontId="52" fillId="0" borderId="3" xfId="0" applyFont="1" applyBorder="1" applyAlignment="1">
      <alignment horizontal="center"/>
    </xf>
    <xf numFmtId="0" fontId="0" fillId="0" borderId="0" xfId="0" applyAlignment="1">
      <alignment wrapText="1"/>
    </xf>
    <xf numFmtId="9" fontId="52" fillId="0" borderId="3" xfId="30" applyFont="1" applyBorder="1" applyAlignment="1">
      <alignment horizontal="center"/>
    </xf>
    <xf numFmtId="0" fontId="54" fillId="0" borderId="0" xfId="0" applyFont="1" applyAlignment="1">
      <alignment horizontal="centerContinuous"/>
    </xf>
    <xf numFmtId="0" fontId="0" fillId="16" borderId="0" xfId="0" applyFill="1" applyAlignment="1">
      <alignment horizontal="centerContinuous"/>
    </xf>
    <xf numFmtId="0" fontId="0" fillId="0" borderId="0" xfId="0" applyAlignment="1">
      <alignment horizontal="centerContinuous"/>
    </xf>
    <xf numFmtId="0" fontId="52" fillId="0" borderId="0" xfId="0" applyFont="1" applyBorder="1" applyAlignment="1">
      <alignment horizontal="center"/>
    </xf>
    <xf numFmtId="9" fontId="52" fillId="0" borderId="0" xfId="30" applyFont="1" applyBorder="1" applyAlignment="1">
      <alignment horizontal="center"/>
    </xf>
    <xf numFmtId="0" fontId="52" fillId="0" borderId="0" xfId="0" applyFont="1" applyBorder="1"/>
    <xf numFmtId="0" fontId="0" fillId="0" borderId="3" xfId="0" applyBorder="1"/>
    <xf numFmtId="0" fontId="1" fillId="0" borderId="0" xfId="31" applyFont="1"/>
    <xf numFmtId="0" fontId="1" fillId="0" borderId="0" xfId="32"/>
    <xf numFmtId="0" fontId="1" fillId="0" borderId="0" xfId="32" applyAlignment="1">
      <alignment wrapText="1"/>
    </xf>
    <xf numFmtId="0" fontId="28" fillId="0" borderId="0" xfId="0" applyFont="1"/>
    <xf numFmtId="0" fontId="52" fillId="0" borderId="0" xfId="0" applyFont="1" applyFill="1" applyBorder="1"/>
    <xf numFmtId="0" fontId="52" fillId="0" borderId="3" xfId="0" applyFont="1" applyFill="1" applyBorder="1"/>
    <xf numFmtId="0" fontId="52" fillId="16" borderId="0" xfId="0" applyFont="1" applyFill="1" applyAlignment="1">
      <alignment vertical="center" wrapText="1"/>
    </xf>
    <xf numFmtId="0" fontId="0" fillId="0" borderId="0" xfId="0" applyAlignment="1">
      <alignment vertical="center" wrapText="1"/>
    </xf>
    <xf numFmtId="0" fontId="0" fillId="16" borderId="0" xfId="0" applyFill="1" applyAlignment="1">
      <alignment horizontal="center" vertical="center" wrapText="1"/>
    </xf>
    <xf numFmtId="0" fontId="52" fillId="0" borderId="7" xfId="0" applyFont="1" applyBorder="1" applyAlignment="1">
      <alignment vertical="center" wrapText="1"/>
    </xf>
    <xf numFmtId="165" fontId="52" fillId="0" borderId="0" xfId="30" applyNumberFormat="1" applyFont="1" applyAlignment="1">
      <alignment horizontal="center"/>
    </xf>
    <xf numFmtId="165" fontId="52" fillId="0" borderId="3" xfId="30" applyNumberFormat="1" applyFont="1" applyBorder="1" applyAlignment="1">
      <alignment horizontal="center"/>
    </xf>
    <xf numFmtId="165" fontId="52" fillId="0" borderId="3" xfId="30" applyNumberFormat="1" applyFont="1" applyBorder="1" applyAlignment="1">
      <alignment horizontal="center" vertical="center"/>
    </xf>
    <xf numFmtId="165" fontId="52" fillId="0" borderId="3" xfId="30" applyNumberFormat="1" applyFont="1" applyBorder="1" applyAlignment="1">
      <alignment horizontal="center" vertical="center" wrapText="1"/>
    </xf>
    <xf numFmtId="0" fontId="52" fillId="16" borderId="7" xfId="0" applyFont="1" applyFill="1" applyBorder="1" applyAlignment="1">
      <alignment vertical="center" wrapText="1"/>
    </xf>
    <xf numFmtId="0" fontId="55" fillId="17" borderId="0" xfId="0" applyFont="1" applyFill="1"/>
    <xf numFmtId="0" fontId="56" fillId="17" borderId="0" xfId="0" applyFont="1" applyFill="1"/>
    <xf numFmtId="0" fontId="56" fillId="0" borderId="0" xfId="0" applyFont="1" applyFill="1"/>
    <xf numFmtId="0" fontId="28" fillId="0" borderId="0" xfId="0" applyFont="1" applyAlignment="1">
      <alignment horizontal="left" indent="1"/>
    </xf>
    <xf numFmtId="0" fontId="28" fillId="0" borderId="0" xfId="0" applyFont="1" applyAlignment="1">
      <alignment horizontal="left"/>
    </xf>
  </cellXfs>
  <cellStyles count="33">
    <cellStyle name="Normal" xfId="0" builtinId="0"/>
    <cellStyle name="Normal 10" xfId="10"/>
    <cellStyle name="Normal 11" xfId="11"/>
    <cellStyle name="Normal 12" xfId="12"/>
    <cellStyle name="Normal 13" xfId="13"/>
    <cellStyle name="Normal 14" xfId="14"/>
    <cellStyle name="Normal 15" xfId="15"/>
    <cellStyle name="Normal 16" xfId="16"/>
    <cellStyle name="Normal 17" xfId="17"/>
    <cellStyle name="Normal 18" xfId="19"/>
    <cellStyle name="Normal 19" xfId="20"/>
    <cellStyle name="Normal 2" xfId="1"/>
    <cellStyle name="Normal 20" xfId="21"/>
    <cellStyle name="Normal 21" xfId="22"/>
    <cellStyle name="Normal 22" xfId="23"/>
    <cellStyle name="Normal 23" xfId="24"/>
    <cellStyle name="Normal 24" xfId="25"/>
    <cellStyle name="Normal 25" xfId="26"/>
    <cellStyle name="Normal 26" xfId="27"/>
    <cellStyle name="Normal 27" xfId="28"/>
    <cellStyle name="Normal 28" xfId="29"/>
    <cellStyle name="Normal 29" xfId="31"/>
    <cellStyle name="Normal 3" xfId="3"/>
    <cellStyle name="Normal 30" xfId="32"/>
    <cellStyle name="Normal 4" xfId="4"/>
    <cellStyle name="Normal 4 2" xfId="18"/>
    <cellStyle name="Normal 5" xfId="5"/>
    <cellStyle name="Normal 6" xfId="6"/>
    <cellStyle name="Normal 7" xfId="7"/>
    <cellStyle name="Normal 8" xfId="8"/>
    <cellStyle name="Normal 9" xfId="9"/>
    <cellStyle name="Normal_Outreg_Formatter_v2pt2" xfId="2"/>
    <cellStyle name="Percent" xfId="30" builtinId="5"/>
  </cellStyles>
  <dxfs count="1">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2.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hartsheet" Target="chartsheets/sheet1.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8.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7.xml"/><Relationship Id="rId4" Type="http://schemas.openxmlformats.org/officeDocument/2006/relationships/worksheet" Target="worksheets/sheet4.xml"/><Relationship Id="rId9" Type="http://schemas.openxmlformats.org/officeDocument/2006/relationships/chartsheet" Target="chartsheets/sheet3.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 Data Sheet'!$B$3</c:f>
          <c:strCache>
            <c:ptCount val="1"/>
            <c:pt idx="0">
              <c:v>Poverty Rate for Women in Cook County,
by Educational Level</c:v>
            </c:pt>
          </c:strCache>
        </c:strRef>
      </c:tx>
      <c:overlay val="0"/>
      <c:txPr>
        <a:bodyPr/>
        <a:lstStyle/>
        <a:p>
          <a:pPr>
            <a:defRPr sz="2400"/>
          </a:pPr>
          <a:endParaRPr lang="en-US"/>
        </a:p>
      </c:txPr>
    </c:title>
    <c:autoTitleDeleted val="0"/>
    <c:plotArea>
      <c:layout/>
      <c:scatterChart>
        <c:scatterStyle val="lineMarker"/>
        <c:varyColors val="0"/>
        <c:ser>
          <c:idx val="0"/>
          <c:order val="0"/>
          <c:tx>
            <c:strRef>
              <c:f>'Graph Data Sheet'!$C$6</c:f>
              <c:strCache>
                <c:ptCount val="1"/>
                <c:pt idx="0">
                  <c:v>All Women</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Sheet'!$D$5:$H$5</c:f>
              <c:numCache>
                <c:formatCode>General</c:formatCode>
                <c:ptCount val="5"/>
                <c:pt idx="0">
                  <c:v>2008</c:v>
                </c:pt>
                <c:pt idx="1">
                  <c:v>2009</c:v>
                </c:pt>
                <c:pt idx="2">
                  <c:v>2010</c:v>
                </c:pt>
                <c:pt idx="3">
                  <c:v>2011</c:v>
                </c:pt>
                <c:pt idx="4">
                  <c:v>2012</c:v>
                </c:pt>
              </c:numCache>
            </c:numRef>
          </c:xVal>
          <c:yVal>
            <c:numRef>
              <c:f>'Graph Data Sheet'!$D$6:$H$6</c:f>
              <c:numCache>
                <c:formatCode>0%</c:formatCode>
                <c:ptCount val="5"/>
                <c:pt idx="0">
                  <c:v>0.12937660000000001</c:v>
                </c:pt>
                <c:pt idx="1">
                  <c:v>0.1374851</c:v>
                </c:pt>
                <c:pt idx="2">
                  <c:v>0.14371690000000001</c:v>
                </c:pt>
                <c:pt idx="3">
                  <c:v>0.15121370000000001</c:v>
                </c:pt>
                <c:pt idx="4">
                  <c:v>0.1597124</c:v>
                </c:pt>
              </c:numCache>
            </c:numRef>
          </c:yVal>
          <c:smooth val="0"/>
        </c:ser>
        <c:ser>
          <c:idx val="1"/>
          <c:order val="1"/>
          <c:tx>
            <c:strRef>
              <c:f>'Graph Data Sheet'!$C$7</c:f>
              <c:strCache>
                <c:ptCount val="1"/>
                <c:pt idx="0">
                  <c:v>Less than HS</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Sheet'!$D$5:$H$5</c:f>
              <c:numCache>
                <c:formatCode>General</c:formatCode>
                <c:ptCount val="5"/>
                <c:pt idx="0">
                  <c:v>2008</c:v>
                </c:pt>
                <c:pt idx="1">
                  <c:v>2009</c:v>
                </c:pt>
                <c:pt idx="2">
                  <c:v>2010</c:v>
                </c:pt>
                <c:pt idx="3">
                  <c:v>2011</c:v>
                </c:pt>
                <c:pt idx="4">
                  <c:v>2012</c:v>
                </c:pt>
              </c:numCache>
            </c:numRef>
          </c:xVal>
          <c:yVal>
            <c:numRef>
              <c:f>'Graph Data Sheet'!$D$7:$H$7</c:f>
              <c:numCache>
                <c:formatCode>0%</c:formatCode>
                <c:ptCount val="5"/>
                <c:pt idx="0">
                  <c:v>0.2705206</c:v>
                </c:pt>
                <c:pt idx="1">
                  <c:v>0.28228249999999999</c:v>
                </c:pt>
                <c:pt idx="2">
                  <c:v>0.28164220000000001</c:v>
                </c:pt>
                <c:pt idx="3">
                  <c:v>0.30566700000000002</c:v>
                </c:pt>
                <c:pt idx="4">
                  <c:v>0.32016339999999999</c:v>
                </c:pt>
              </c:numCache>
            </c:numRef>
          </c:yVal>
          <c:smooth val="0"/>
        </c:ser>
        <c:ser>
          <c:idx val="2"/>
          <c:order val="2"/>
          <c:tx>
            <c:strRef>
              <c:f>'Graph Data Sheet'!$C$8</c:f>
              <c:strCache>
                <c:ptCount val="1"/>
                <c:pt idx="0">
                  <c:v>HS Ed</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Sheet'!$D$5:$H$5</c:f>
              <c:numCache>
                <c:formatCode>General</c:formatCode>
                <c:ptCount val="5"/>
                <c:pt idx="0">
                  <c:v>2008</c:v>
                </c:pt>
                <c:pt idx="1">
                  <c:v>2009</c:v>
                </c:pt>
                <c:pt idx="2">
                  <c:v>2010</c:v>
                </c:pt>
                <c:pt idx="3">
                  <c:v>2011</c:v>
                </c:pt>
                <c:pt idx="4">
                  <c:v>2012</c:v>
                </c:pt>
              </c:numCache>
            </c:numRef>
          </c:xVal>
          <c:yVal>
            <c:numRef>
              <c:f>'Graph Data Sheet'!$D$8:$H$8</c:f>
              <c:numCache>
                <c:formatCode>0%</c:formatCode>
                <c:ptCount val="5"/>
                <c:pt idx="0">
                  <c:v>0.1542838</c:v>
                </c:pt>
                <c:pt idx="1">
                  <c:v>0.1743886</c:v>
                </c:pt>
                <c:pt idx="2">
                  <c:v>0.17664840000000001</c:v>
                </c:pt>
                <c:pt idx="3">
                  <c:v>0.19818649999999999</c:v>
                </c:pt>
                <c:pt idx="4">
                  <c:v>0.20075799999999999</c:v>
                </c:pt>
              </c:numCache>
            </c:numRef>
          </c:yVal>
          <c:smooth val="0"/>
        </c:ser>
        <c:ser>
          <c:idx val="3"/>
          <c:order val="3"/>
          <c:tx>
            <c:strRef>
              <c:f>'Graph Data Sheet'!$C$9</c:f>
              <c:strCache>
                <c:ptCount val="1"/>
                <c:pt idx="0">
                  <c:v>Some Coll</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Sheet'!$D$5:$H$5</c:f>
              <c:numCache>
                <c:formatCode>General</c:formatCode>
                <c:ptCount val="5"/>
                <c:pt idx="0">
                  <c:v>2008</c:v>
                </c:pt>
                <c:pt idx="1">
                  <c:v>2009</c:v>
                </c:pt>
                <c:pt idx="2">
                  <c:v>2010</c:v>
                </c:pt>
                <c:pt idx="3">
                  <c:v>2011</c:v>
                </c:pt>
                <c:pt idx="4">
                  <c:v>2012</c:v>
                </c:pt>
              </c:numCache>
            </c:numRef>
          </c:xVal>
          <c:yVal>
            <c:numRef>
              <c:f>'Graph Data Sheet'!$D$9:$H$9</c:f>
              <c:numCache>
                <c:formatCode>0%</c:formatCode>
                <c:ptCount val="5"/>
                <c:pt idx="0">
                  <c:v>0.1152566</c:v>
                </c:pt>
                <c:pt idx="1">
                  <c:v>0.13068689999999999</c:v>
                </c:pt>
                <c:pt idx="2">
                  <c:v>0.14439879999999999</c:v>
                </c:pt>
                <c:pt idx="3">
                  <c:v>0.1476008</c:v>
                </c:pt>
                <c:pt idx="4">
                  <c:v>0.1577971</c:v>
                </c:pt>
              </c:numCache>
            </c:numRef>
          </c:yVal>
          <c:smooth val="0"/>
        </c:ser>
        <c:ser>
          <c:idx val="4"/>
          <c:order val="4"/>
          <c:tx>
            <c:strRef>
              <c:f>'Graph Data Sheet'!$C$10</c:f>
              <c:strCache>
                <c:ptCount val="1"/>
                <c:pt idx="0">
                  <c:v>BA or More</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Sheet'!$D$5:$H$5</c:f>
              <c:numCache>
                <c:formatCode>General</c:formatCode>
                <c:ptCount val="5"/>
                <c:pt idx="0">
                  <c:v>2008</c:v>
                </c:pt>
                <c:pt idx="1">
                  <c:v>2009</c:v>
                </c:pt>
                <c:pt idx="2">
                  <c:v>2010</c:v>
                </c:pt>
                <c:pt idx="3">
                  <c:v>2011</c:v>
                </c:pt>
                <c:pt idx="4">
                  <c:v>2012</c:v>
                </c:pt>
              </c:numCache>
            </c:numRef>
          </c:xVal>
          <c:yVal>
            <c:numRef>
              <c:f>'Graph Data Sheet'!$D$10:$H$10</c:f>
              <c:numCache>
                <c:formatCode>0%</c:formatCode>
                <c:ptCount val="5"/>
                <c:pt idx="0">
                  <c:v>5.2217899999999998E-2</c:v>
                </c:pt>
                <c:pt idx="1">
                  <c:v>5.0516400000000003E-2</c:v>
                </c:pt>
                <c:pt idx="2">
                  <c:v>5.8902599999999999E-2</c:v>
                </c:pt>
                <c:pt idx="3">
                  <c:v>5.4933099999999999E-2</c:v>
                </c:pt>
                <c:pt idx="4">
                  <c:v>6.9068500000000005E-2</c:v>
                </c:pt>
              </c:numCache>
            </c:numRef>
          </c:yVal>
          <c:smooth val="0"/>
        </c:ser>
        <c:dLbls>
          <c:showLegendKey val="0"/>
          <c:showVal val="0"/>
          <c:showCatName val="0"/>
          <c:showSerName val="0"/>
          <c:showPercent val="0"/>
          <c:showBubbleSize val="0"/>
        </c:dLbls>
        <c:axId val="98695424"/>
        <c:axId val="162340864"/>
      </c:scatterChart>
      <c:valAx>
        <c:axId val="98695424"/>
        <c:scaling>
          <c:orientation val="minMax"/>
          <c:max val="2012"/>
          <c:min val="2008"/>
        </c:scaling>
        <c:delete val="0"/>
        <c:axPos val="b"/>
        <c:numFmt formatCode="General" sourceLinked="1"/>
        <c:majorTickMark val="out"/>
        <c:minorTickMark val="none"/>
        <c:tickLblPos val="nextTo"/>
        <c:txPr>
          <a:bodyPr/>
          <a:lstStyle/>
          <a:p>
            <a:pPr>
              <a:defRPr sz="1400"/>
            </a:pPr>
            <a:endParaRPr lang="en-US"/>
          </a:p>
        </c:txPr>
        <c:crossAx val="162340864"/>
        <c:crosses val="autoZero"/>
        <c:crossBetween val="midCat"/>
        <c:majorUnit val="1"/>
      </c:valAx>
      <c:valAx>
        <c:axId val="162340864"/>
        <c:scaling>
          <c:orientation val="minMax"/>
        </c:scaling>
        <c:delete val="0"/>
        <c:axPos val="l"/>
        <c:majorGridlines>
          <c:spPr>
            <a:ln>
              <a:prstDash val="dash"/>
            </a:ln>
          </c:spPr>
        </c:majorGridlines>
        <c:numFmt formatCode="0%" sourceLinked="1"/>
        <c:majorTickMark val="out"/>
        <c:minorTickMark val="none"/>
        <c:tickLblPos val="nextTo"/>
        <c:txPr>
          <a:bodyPr/>
          <a:lstStyle/>
          <a:p>
            <a:pPr>
              <a:defRPr sz="1400"/>
            </a:pPr>
            <a:endParaRPr lang="en-US"/>
          </a:p>
        </c:txPr>
        <c:crossAx val="98695424"/>
        <c:crosses val="autoZero"/>
        <c:crossBetween val="midCat"/>
      </c:valAx>
    </c:plotArea>
    <c:legend>
      <c:legendPos val="b"/>
      <c:overlay val="0"/>
      <c:txPr>
        <a:bodyPr/>
        <a:lstStyle/>
        <a:p>
          <a:pPr>
            <a:defRPr sz="1400"/>
          </a:pPr>
          <a:endParaRPr lang="en-US"/>
        </a:p>
      </c:txPr>
    </c:legend>
    <c:plotVisOnly val="1"/>
    <c:dispBlanksAs val="gap"/>
    <c:showDLblsOverMax val="0"/>
  </c:chart>
  <c:spPr>
    <a:ln>
      <a:noFill/>
    </a:ln>
  </c:sp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Women's Poverty Rates, 2008 - 2012, by County</a:t>
            </a:r>
          </a:p>
        </c:rich>
      </c:tx>
      <c:overlay val="0"/>
    </c:title>
    <c:autoTitleDeleted val="0"/>
    <c:plotArea>
      <c:layout/>
      <c:scatterChart>
        <c:scatterStyle val="lineMarker"/>
        <c:varyColors val="0"/>
        <c:ser>
          <c:idx val="0"/>
          <c:order val="0"/>
          <c:tx>
            <c:strRef>
              <c:f>'Graph Data Sheet'!$C$14</c:f>
              <c:strCache>
                <c:ptCount val="1"/>
                <c:pt idx="0">
                  <c:v>Cook</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Sheet'!$D$13:$H$13</c:f>
              <c:numCache>
                <c:formatCode>General</c:formatCode>
                <c:ptCount val="5"/>
                <c:pt idx="0">
                  <c:v>2008</c:v>
                </c:pt>
                <c:pt idx="1">
                  <c:v>2009</c:v>
                </c:pt>
                <c:pt idx="2">
                  <c:v>2010</c:v>
                </c:pt>
                <c:pt idx="3">
                  <c:v>2011</c:v>
                </c:pt>
                <c:pt idx="4">
                  <c:v>2012</c:v>
                </c:pt>
              </c:numCache>
            </c:numRef>
          </c:xVal>
          <c:yVal>
            <c:numRef>
              <c:f>'Graph Data Sheet'!$D$14:$H$14</c:f>
              <c:numCache>
                <c:formatCode>0%</c:formatCode>
                <c:ptCount val="5"/>
                <c:pt idx="0">
                  <c:v>0.12937660000000001</c:v>
                </c:pt>
                <c:pt idx="1">
                  <c:v>0.1374851</c:v>
                </c:pt>
                <c:pt idx="2">
                  <c:v>0.14371690000000001</c:v>
                </c:pt>
                <c:pt idx="3">
                  <c:v>0.15121370000000001</c:v>
                </c:pt>
                <c:pt idx="4">
                  <c:v>0.1597124</c:v>
                </c:pt>
              </c:numCache>
            </c:numRef>
          </c:yVal>
          <c:smooth val="0"/>
        </c:ser>
        <c:ser>
          <c:idx val="1"/>
          <c:order val="1"/>
          <c:tx>
            <c:strRef>
              <c:f>'Graph Data Sheet'!$C$15</c:f>
              <c:strCache>
                <c:ptCount val="1"/>
                <c:pt idx="0">
                  <c:v>Will</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Sheet'!$D$13:$H$13</c:f>
              <c:numCache>
                <c:formatCode>General</c:formatCode>
                <c:ptCount val="5"/>
                <c:pt idx="0">
                  <c:v>2008</c:v>
                </c:pt>
                <c:pt idx="1">
                  <c:v>2009</c:v>
                </c:pt>
                <c:pt idx="2">
                  <c:v>2010</c:v>
                </c:pt>
                <c:pt idx="3">
                  <c:v>2011</c:v>
                </c:pt>
                <c:pt idx="4">
                  <c:v>2012</c:v>
                </c:pt>
              </c:numCache>
            </c:numRef>
          </c:xVal>
          <c:yVal>
            <c:numRef>
              <c:f>'Graph Data Sheet'!$D$15:$H$15</c:f>
              <c:numCache>
                <c:formatCode>0%</c:formatCode>
                <c:ptCount val="5"/>
                <c:pt idx="0">
                  <c:v>5.9624999999999997E-2</c:v>
                </c:pt>
                <c:pt idx="1">
                  <c:v>5.5226600000000001E-2</c:v>
                </c:pt>
                <c:pt idx="2">
                  <c:v>6.6401100000000005E-2</c:v>
                </c:pt>
                <c:pt idx="3">
                  <c:v>6.4371899999999996E-2</c:v>
                </c:pt>
                <c:pt idx="4">
                  <c:v>6.3405400000000001E-2</c:v>
                </c:pt>
              </c:numCache>
            </c:numRef>
          </c:yVal>
          <c:smooth val="0"/>
        </c:ser>
        <c:ser>
          <c:idx val="2"/>
          <c:order val="2"/>
          <c:tx>
            <c:strRef>
              <c:f>'Graph Data Sheet'!$C$16</c:f>
              <c:strCache>
                <c:ptCount val="1"/>
                <c:pt idx="0">
                  <c:v>Lake</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Sheet'!$D$13:$H$13</c:f>
              <c:numCache>
                <c:formatCode>General</c:formatCode>
                <c:ptCount val="5"/>
                <c:pt idx="0">
                  <c:v>2008</c:v>
                </c:pt>
                <c:pt idx="1">
                  <c:v>2009</c:v>
                </c:pt>
                <c:pt idx="2">
                  <c:v>2010</c:v>
                </c:pt>
                <c:pt idx="3">
                  <c:v>2011</c:v>
                </c:pt>
                <c:pt idx="4">
                  <c:v>2012</c:v>
                </c:pt>
              </c:numCache>
            </c:numRef>
          </c:xVal>
          <c:yVal>
            <c:numRef>
              <c:f>'Graph Data Sheet'!$D$16:$H$16</c:f>
              <c:numCache>
                <c:formatCode>0%</c:formatCode>
                <c:ptCount val="5"/>
                <c:pt idx="0">
                  <c:v>8.2435300000000003E-2</c:v>
                </c:pt>
                <c:pt idx="1">
                  <c:v>8.3083299999999999E-2</c:v>
                </c:pt>
                <c:pt idx="2">
                  <c:v>8.8311000000000001E-2</c:v>
                </c:pt>
                <c:pt idx="3">
                  <c:v>0.1152707</c:v>
                </c:pt>
                <c:pt idx="4">
                  <c:v>0.1016961</c:v>
                </c:pt>
              </c:numCache>
            </c:numRef>
          </c:yVal>
          <c:smooth val="0"/>
        </c:ser>
        <c:ser>
          <c:idx val="3"/>
          <c:order val="3"/>
          <c:tx>
            <c:strRef>
              <c:f>'Graph Data Sheet'!$C$17</c:f>
              <c:strCache>
                <c:ptCount val="1"/>
                <c:pt idx="0">
                  <c:v>Kane</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Sheet'!$D$13:$H$13</c:f>
              <c:numCache>
                <c:formatCode>General</c:formatCode>
                <c:ptCount val="5"/>
                <c:pt idx="0">
                  <c:v>2008</c:v>
                </c:pt>
                <c:pt idx="1">
                  <c:v>2009</c:v>
                </c:pt>
                <c:pt idx="2">
                  <c:v>2010</c:v>
                </c:pt>
                <c:pt idx="3">
                  <c:v>2011</c:v>
                </c:pt>
                <c:pt idx="4">
                  <c:v>2012</c:v>
                </c:pt>
              </c:numCache>
            </c:numRef>
          </c:xVal>
          <c:yVal>
            <c:numRef>
              <c:f>'Graph Data Sheet'!$D$17:$H$17</c:f>
              <c:numCache>
                <c:formatCode>0%</c:formatCode>
                <c:ptCount val="5"/>
                <c:pt idx="0">
                  <c:v>7.0863700000000002E-2</c:v>
                </c:pt>
                <c:pt idx="1">
                  <c:v>6.7096000000000003E-2</c:v>
                </c:pt>
                <c:pt idx="2">
                  <c:v>7.4795799999999996E-2</c:v>
                </c:pt>
                <c:pt idx="3">
                  <c:v>9.57403E-2</c:v>
                </c:pt>
                <c:pt idx="4">
                  <c:v>7.6471200000000003E-2</c:v>
                </c:pt>
              </c:numCache>
            </c:numRef>
          </c:yVal>
          <c:smooth val="0"/>
        </c:ser>
        <c:ser>
          <c:idx val="4"/>
          <c:order val="4"/>
          <c:tx>
            <c:strRef>
              <c:f>'Graph Data Sheet'!$C$18</c:f>
              <c:strCache>
                <c:ptCount val="1"/>
                <c:pt idx="0">
                  <c:v>McHenry</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Sheet'!$D$13:$H$13</c:f>
              <c:numCache>
                <c:formatCode>General</c:formatCode>
                <c:ptCount val="5"/>
                <c:pt idx="0">
                  <c:v>2008</c:v>
                </c:pt>
                <c:pt idx="1">
                  <c:v>2009</c:v>
                </c:pt>
                <c:pt idx="2">
                  <c:v>2010</c:v>
                </c:pt>
                <c:pt idx="3">
                  <c:v>2011</c:v>
                </c:pt>
                <c:pt idx="4">
                  <c:v>2012</c:v>
                </c:pt>
              </c:numCache>
            </c:numRef>
          </c:xVal>
          <c:yVal>
            <c:numRef>
              <c:f>'Graph Data Sheet'!$D$18:$H$18</c:f>
              <c:numCache>
                <c:formatCode>0%</c:formatCode>
                <c:ptCount val="5"/>
                <c:pt idx="0">
                  <c:v>4.6460000000000001E-2</c:v>
                </c:pt>
                <c:pt idx="1">
                  <c:v>6.2868099999999996E-2</c:v>
                </c:pt>
                <c:pt idx="2">
                  <c:v>7.4350299999999994E-2</c:v>
                </c:pt>
                <c:pt idx="3">
                  <c:v>8.0640100000000006E-2</c:v>
                </c:pt>
                <c:pt idx="4">
                  <c:v>6.0380700000000002E-2</c:v>
                </c:pt>
              </c:numCache>
            </c:numRef>
          </c:yVal>
          <c:smooth val="0"/>
        </c:ser>
        <c:ser>
          <c:idx val="5"/>
          <c:order val="5"/>
          <c:tx>
            <c:strRef>
              <c:f>'Graph Data Sheet'!$C$19</c:f>
              <c:strCache>
                <c:ptCount val="1"/>
                <c:pt idx="0">
                  <c:v>DuPage</c:v>
                </c:pt>
              </c:strCache>
            </c:strRef>
          </c:tx>
          <c:spPr>
            <a:ln w="38100"/>
          </c:spPr>
          <c:marker>
            <c:symbol val="none"/>
          </c:marker>
          <c:xVal>
            <c:numRef>
              <c:f>'Graph Data Sheet'!$D$13:$H$13</c:f>
              <c:numCache>
                <c:formatCode>General</c:formatCode>
                <c:ptCount val="5"/>
                <c:pt idx="0">
                  <c:v>2008</c:v>
                </c:pt>
                <c:pt idx="1">
                  <c:v>2009</c:v>
                </c:pt>
                <c:pt idx="2">
                  <c:v>2010</c:v>
                </c:pt>
                <c:pt idx="3">
                  <c:v>2011</c:v>
                </c:pt>
                <c:pt idx="4">
                  <c:v>2012</c:v>
                </c:pt>
              </c:numCache>
            </c:numRef>
          </c:xVal>
          <c:yVal>
            <c:numRef>
              <c:f>'Graph Data Sheet'!$D$19:$H$19</c:f>
              <c:numCache>
                <c:formatCode>0%</c:formatCode>
                <c:ptCount val="5"/>
                <c:pt idx="0">
                  <c:v>6.7570900000000003E-2</c:v>
                </c:pt>
                <c:pt idx="1">
                  <c:v>6.2472699999999999E-2</c:v>
                </c:pt>
                <c:pt idx="2">
                  <c:v>7.3797199999999993E-2</c:v>
                </c:pt>
                <c:pt idx="3">
                  <c:v>7.5147699999999998E-2</c:v>
                </c:pt>
                <c:pt idx="4">
                  <c:v>7.8425300000000003E-2</c:v>
                </c:pt>
              </c:numCache>
            </c:numRef>
          </c:yVal>
          <c:smooth val="0"/>
        </c:ser>
        <c:dLbls>
          <c:showLegendKey val="0"/>
          <c:showVal val="0"/>
          <c:showCatName val="0"/>
          <c:showSerName val="0"/>
          <c:showPercent val="0"/>
          <c:showBubbleSize val="0"/>
        </c:dLbls>
        <c:axId val="194955520"/>
        <c:axId val="194965504"/>
      </c:scatterChart>
      <c:valAx>
        <c:axId val="194955520"/>
        <c:scaling>
          <c:orientation val="minMax"/>
          <c:max val="2012"/>
          <c:min val="2008"/>
        </c:scaling>
        <c:delete val="0"/>
        <c:axPos val="b"/>
        <c:numFmt formatCode="General" sourceLinked="1"/>
        <c:majorTickMark val="out"/>
        <c:minorTickMark val="none"/>
        <c:tickLblPos val="nextTo"/>
        <c:txPr>
          <a:bodyPr/>
          <a:lstStyle/>
          <a:p>
            <a:pPr>
              <a:defRPr sz="1400"/>
            </a:pPr>
            <a:endParaRPr lang="en-US"/>
          </a:p>
        </c:txPr>
        <c:crossAx val="194965504"/>
        <c:crosses val="autoZero"/>
        <c:crossBetween val="midCat"/>
        <c:majorUnit val="1"/>
      </c:valAx>
      <c:valAx>
        <c:axId val="194965504"/>
        <c:scaling>
          <c:orientation val="minMax"/>
        </c:scaling>
        <c:delete val="0"/>
        <c:axPos val="l"/>
        <c:majorGridlines>
          <c:spPr>
            <a:ln>
              <a:prstDash val="dash"/>
            </a:ln>
          </c:spPr>
        </c:majorGridlines>
        <c:numFmt formatCode="0%" sourceLinked="1"/>
        <c:majorTickMark val="out"/>
        <c:minorTickMark val="none"/>
        <c:tickLblPos val="nextTo"/>
        <c:txPr>
          <a:bodyPr/>
          <a:lstStyle/>
          <a:p>
            <a:pPr>
              <a:defRPr sz="1400"/>
            </a:pPr>
            <a:endParaRPr lang="en-US"/>
          </a:p>
        </c:txPr>
        <c:crossAx val="194955520"/>
        <c:crosses val="autoZero"/>
        <c:crossBetween val="midCat"/>
      </c:valAx>
    </c:plotArea>
    <c:legend>
      <c:legendPos val="b"/>
      <c:overlay val="0"/>
      <c:txPr>
        <a:bodyPr/>
        <a:lstStyle/>
        <a:p>
          <a:pPr>
            <a:defRPr sz="1400"/>
          </a:pPr>
          <a:endParaRPr lang="en-US"/>
        </a:p>
      </c:txPr>
    </c:legend>
    <c:plotVisOnly val="1"/>
    <c:dispBlanksAs val="gap"/>
    <c:showDLblsOverMax val="0"/>
  </c:chart>
  <c:spPr>
    <a:ln>
      <a:noFill/>
    </a:ln>
  </c:sp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000"/>
              <a:t>% of</a:t>
            </a:r>
            <a:r>
              <a:rPr lang="en-US" sz="2000" baseline="0"/>
              <a:t> Households with Children, with Single Female Head</a:t>
            </a:r>
            <a:r>
              <a:rPr lang="en-US" sz="2000"/>
              <a:t>,</a:t>
            </a:r>
          </a:p>
          <a:p>
            <a:pPr>
              <a:defRPr sz="2400"/>
            </a:pPr>
            <a:r>
              <a:rPr lang="en-US" sz="2000"/>
              <a:t>2008 - 2012, by County</a:t>
            </a:r>
          </a:p>
        </c:rich>
      </c:tx>
      <c:overlay val="0"/>
    </c:title>
    <c:autoTitleDeleted val="0"/>
    <c:plotArea>
      <c:layout/>
      <c:scatterChart>
        <c:scatterStyle val="lineMarker"/>
        <c:varyColors val="0"/>
        <c:ser>
          <c:idx val="0"/>
          <c:order val="0"/>
          <c:tx>
            <c:strRef>
              <c:f>'Graph Data Sheet'!$C$22</c:f>
              <c:strCache>
                <c:ptCount val="1"/>
                <c:pt idx="0">
                  <c:v>Cook</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Sheet'!$D$21:$H$21</c:f>
              <c:numCache>
                <c:formatCode>General</c:formatCode>
                <c:ptCount val="5"/>
                <c:pt idx="0">
                  <c:v>2008</c:v>
                </c:pt>
                <c:pt idx="1">
                  <c:v>2009</c:v>
                </c:pt>
                <c:pt idx="2">
                  <c:v>2010</c:v>
                </c:pt>
                <c:pt idx="3">
                  <c:v>2011</c:v>
                </c:pt>
                <c:pt idx="4">
                  <c:v>2012</c:v>
                </c:pt>
              </c:numCache>
            </c:numRef>
          </c:xVal>
          <c:yVal>
            <c:numRef>
              <c:f>'Graph Data Sheet'!$D$22:$H$22</c:f>
              <c:numCache>
                <c:formatCode>0%</c:formatCode>
                <c:ptCount val="5"/>
                <c:pt idx="0">
                  <c:v>0.26795999999999998</c:v>
                </c:pt>
                <c:pt idx="1">
                  <c:v>0.27550180000000002</c:v>
                </c:pt>
                <c:pt idx="2">
                  <c:v>0.2756865</c:v>
                </c:pt>
                <c:pt idx="3">
                  <c:v>0.28182859999999998</c:v>
                </c:pt>
                <c:pt idx="4">
                  <c:v>0.28293299999999999</c:v>
                </c:pt>
              </c:numCache>
            </c:numRef>
          </c:yVal>
          <c:smooth val="0"/>
        </c:ser>
        <c:ser>
          <c:idx val="1"/>
          <c:order val="1"/>
          <c:tx>
            <c:strRef>
              <c:f>'Graph Data Sheet'!$C$23</c:f>
              <c:strCache>
                <c:ptCount val="1"/>
                <c:pt idx="0">
                  <c:v>Will</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Sheet'!$D$21:$H$21</c:f>
              <c:numCache>
                <c:formatCode>General</c:formatCode>
                <c:ptCount val="5"/>
                <c:pt idx="0">
                  <c:v>2008</c:v>
                </c:pt>
                <c:pt idx="1">
                  <c:v>2009</c:v>
                </c:pt>
                <c:pt idx="2">
                  <c:v>2010</c:v>
                </c:pt>
                <c:pt idx="3">
                  <c:v>2011</c:v>
                </c:pt>
                <c:pt idx="4">
                  <c:v>2012</c:v>
                </c:pt>
              </c:numCache>
            </c:numRef>
          </c:xVal>
          <c:yVal>
            <c:numRef>
              <c:f>'Graph Data Sheet'!$D$23:$H$23</c:f>
              <c:numCache>
                <c:formatCode>0%</c:formatCode>
                <c:ptCount val="5"/>
                <c:pt idx="0">
                  <c:v>0.1521537</c:v>
                </c:pt>
                <c:pt idx="1">
                  <c:v>0.15052489999999999</c:v>
                </c:pt>
                <c:pt idx="2">
                  <c:v>0.14603749999999999</c:v>
                </c:pt>
                <c:pt idx="3">
                  <c:v>0.1552955</c:v>
                </c:pt>
                <c:pt idx="4">
                  <c:v>0.14710790000000001</c:v>
                </c:pt>
              </c:numCache>
            </c:numRef>
          </c:yVal>
          <c:smooth val="0"/>
        </c:ser>
        <c:ser>
          <c:idx val="2"/>
          <c:order val="2"/>
          <c:tx>
            <c:strRef>
              <c:f>'Graph Data Sheet'!$C$24</c:f>
              <c:strCache>
                <c:ptCount val="1"/>
                <c:pt idx="0">
                  <c:v>Lake</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Sheet'!$D$21:$H$21</c:f>
              <c:numCache>
                <c:formatCode>General</c:formatCode>
                <c:ptCount val="5"/>
                <c:pt idx="0">
                  <c:v>2008</c:v>
                </c:pt>
                <c:pt idx="1">
                  <c:v>2009</c:v>
                </c:pt>
                <c:pt idx="2">
                  <c:v>2010</c:v>
                </c:pt>
                <c:pt idx="3">
                  <c:v>2011</c:v>
                </c:pt>
                <c:pt idx="4">
                  <c:v>2012</c:v>
                </c:pt>
              </c:numCache>
            </c:numRef>
          </c:xVal>
          <c:yVal>
            <c:numRef>
              <c:f>'Graph Data Sheet'!$D$24:$H$24</c:f>
              <c:numCache>
                <c:formatCode>0%</c:formatCode>
                <c:ptCount val="5"/>
                <c:pt idx="0">
                  <c:v>0.17515649999999999</c:v>
                </c:pt>
                <c:pt idx="1">
                  <c:v>0.15413389999999999</c:v>
                </c:pt>
                <c:pt idx="2">
                  <c:v>0.1798314</c:v>
                </c:pt>
                <c:pt idx="3">
                  <c:v>0.18931909999999999</c:v>
                </c:pt>
                <c:pt idx="4">
                  <c:v>0.1769792</c:v>
                </c:pt>
              </c:numCache>
            </c:numRef>
          </c:yVal>
          <c:smooth val="0"/>
        </c:ser>
        <c:ser>
          <c:idx val="3"/>
          <c:order val="3"/>
          <c:tx>
            <c:strRef>
              <c:f>'Graph Data Sheet'!$C$25</c:f>
              <c:strCache>
                <c:ptCount val="1"/>
                <c:pt idx="0">
                  <c:v>Kane</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Sheet'!$D$21:$H$21</c:f>
              <c:numCache>
                <c:formatCode>General</c:formatCode>
                <c:ptCount val="5"/>
                <c:pt idx="0">
                  <c:v>2008</c:v>
                </c:pt>
                <c:pt idx="1">
                  <c:v>2009</c:v>
                </c:pt>
                <c:pt idx="2">
                  <c:v>2010</c:v>
                </c:pt>
                <c:pt idx="3">
                  <c:v>2011</c:v>
                </c:pt>
                <c:pt idx="4">
                  <c:v>2012</c:v>
                </c:pt>
              </c:numCache>
            </c:numRef>
          </c:xVal>
          <c:yVal>
            <c:numRef>
              <c:f>'Graph Data Sheet'!$D$25:$H$25</c:f>
              <c:numCache>
                <c:formatCode>0%</c:formatCode>
                <c:ptCount val="5"/>
                <c:pt idx="0">
                  <c:v>0.15326210000000001</c:v>
                </c:pt>
                <c:pt idx="1">
                  <c:v>0.13961809999999999</c:v>
                </c:pt>
                <c:pt idx="2">
                  <c:v>0.16279170000000001</c:v>
                </c:pt>
                <c:pt idx="3">
                  <c:v>0.16756550000000001</c:v>
                </c:pt>
                <c:pt idx="4">
                  <c:v>0.1766549</c:v>
                </c:pt>
              </c:numCache>
            </c:numRef>
          </c:yVal>
          <c:smooth val="0"/>
        </c:ser>
        <c:ser>
          <c:idx val="4"/>
          <c:order val="4"/>
          <c:tx>
            <c:strRef>
              <c:f>'Graph Data Sheet'!$C$26</c:f>
              <c:strCache>
                <c:ptCount val="1"/>
                <c:pt idx="0">
                  <c:v>McHenry</c:v>
                </c:pt>
              </c:strCache>
            </c:strRef>
          </c:tx>
          <c:spPr>
            <a:ln w="38100"/>
          </c:spPr>
          <c:marker>
            <c:symbol val="none"/>
          </c:marker>
          <c:dLbls>
            <c:txPr>
              <a:bodyPr/>
              <a:lstStyle/>
              <a:p>
                <a:pPr>
                  <a:defRPr sz="1200"/>
                </a:pPr>
                <a:endParaRPr lang="en-US"/>
              </a:p>
            </c:txPr>
            <c:dLblPos val="t"/>
            <c:showLegendKey val="0"/>
            <c:showVal val="1"/>
            <c:showCatName val="0"/>
            <c:showSerName val="0"/>
            <c:showPercent val="0"/>
            <c:showBubbleSize val="0"/>
            <c:showLeaderLines val="0"/>
          </c:dLbls>
          <c:xVal>
            <c:numRef>
              <c:f>'Graph Data Sheet'!$D$21:$H$21</c:f>
              <c:numCache>
                <c:formatCode>General</c:formatCode>
                <c:ptCount val="5"/>
                <c:pt idx="0">
                  <c:v>2008</c:v>
                </c:pt>
                <c:pt idx="1">
                  <c:v>2009</c:v>
                </c:pt>
                <c:pt idx="2">
                  <c:v>2010</c:v>
                </c:pt>
                <c:pt idx="3">
                  <c:v>2011</c:v>
                </c:pt>
                <c:pt idx="4">
                  <c:v>2012</c:v>
                </c:pt>
              </c:numCache>
            </c:numRef>
          </c:xVal>
          <c:yVal>
            <c:numRef>
              <c:f>'Graph Data Sheet'!$D$26:$H$26</c:f>
              <c:numCache>
                <c:formatCode>0%</c:formatCode>
                <c:ptCount val="5"/>
                <c:pt idx="0">
                  <c:v>0.1045741</c:v>
                </c:pt>
                <c:pt idx="1">
                  <c:v>0.13985059999999999</c:v>
                </c:pt>
                <c:pt idx="2">
                  <c:v>0.14265330000000001</c:v>
                </c:pt>
                <c:pt idx="3">
                  <c:v>0.1534066</c:v>
                </c:pt>
                <c:pt idx="4">
                  <c:v>0.1438333</c:v>
                </c:pt>
              </c:numCache>
            </c:numRef>
          </c:yVal>
          <c:smooth val="0"/>
        </c:ser>
        <c:ser>
          <c:idx val="5"/>
          <c:order val="5"/>
          <c:tx>
            <c:strRef>
              <c:f>'Graph Data Sheet'!$C$27</c:f>
              <c:strCache>
                <c:ptCount val="1"/>
                <c:pt idx="0">
                  <c:v>DuPage</c:v>
                </c:pt>
              </c:strCache>
            </c:strRef>
          </c:tx>
          <c:spPr>
            <a:ln w="38100"/>
          </c:spPr>
          <c:marker>
            <c:symbol val="none"/>
          </c:marker>
          <c:xVal>
            <c:numRef>
              <c:f>'Graph Data Sheet'!$D$21:$H$21</c:f>
              <c:numCache>
                <c:formatCode>General</c:formatCode>
                <c:ptCount val="5"/>
                <c:pt idx="0">
                  <c:v>2008</c:v>
                </c:pt>
                <c:pt idx="1">
                  <c:v>2009</c:v>
                </c:pt>
                <c:pt idx="2">
                  <c:v>2010</c:v>
                </c:pt>
                <c:pt idx="3">
                  <c:v>2011</c:v>
                </c:pt>
                <c:pt idx="4">
                  <c:v>2012</c:v>
                </c:pt>
              </c:numCache>
            </c:numRef>
          </c:xVal>
          <c:yVal>
            <c:numRef>
              <c:f>'Graph Data Sheet'!$D$27:$H$27</c:f>
              <c:numCache>
                <c:formatCode>0%</c:formatCode>
                <c:ptCount val="5"/>
                <c:pt idx="0">
                  <c:v>0.17721210000000001</c:v>
                </c:pt>
                <c:pt idx="1">
                  <c:v>0.16504930000000001</c:v>
                </c:pt>
                <c:pt idx="2">
                  <c:v>0.14410619999999999</c:v>
                </c:pt>
                <c:pt idx="3">
                  <c:v>0.17069309999999999</c:v>
                </c:pt>
                <c:pt idx="4">
                  <c:v>0.15420229999999999</c:v>
                </c:pt>
              </c:numCache>
            </c:numRef>
          </c:yVal>
          <c:smooth val="0"/>
        </c:ser>
        <c:dLbls>
          <c:showLegendKey val="0"/>
          <c:showVal val="0"/>
          <c:showCatName val="0"/>
          <c:showSerName val="0"/>
          <c:showPercent val="0"/>
          <c:showBubbleSize val="0"/>
        </c:dLbls>
        <c:axId val="207612544"/>
        <c:axId val="194650496"/>
      </c:scatterChart>
      <c:valAx>
        <c:axId val="207612544"/>
        <c:scaling>
          <c:orientation val="minMax"/>
          <c:max val="2012"/>
          <c:min val="2008"/>
        </c:scaling>
        <c:delete val="0"/>
        <c:axPos val="b"/>
        <c:numFmt formatCode="General" sourceLinked="1"/>
        <c:majorTickMark val="out"/>
        <c:minorTickMark val="none"/>
        <c:tickLblPos val="nextTo"/>
        <c:txPr>
          <a:bodyPr/>
          <a:lstStyle/>
          <a:p>
            <a:pPr>
              <a:defRPr sz="1400"/>
            </a:pPr>
            <a:endParaRPr lang="en-US"/>
          </a:p>
        </c:txPr>
        <c:crossAx val="194650496"/>
        <c:crosses val="autoZero"/>
        <c:crossBetween val="midCat"/>
        <c:majorUnit val="1"/>
      </c:valAx>
      <c:valAx>
        <c:axId val="194650496"/>
        <c:scaling>
          <c:orientation val="minMax"/>
        </c:scaling>
        <c:delete val="0"/>
        <c:axPos val="l"/>
        <c:majorGridlines>
          <c:spPr>
            <a:ln>
              <a:prstDash val="dash"/>
            </a:ln>
          </c:spPr>
        </c:majorGridlines>
        <c:numFmt formatCode="0%" sourceLinked="1"/>
        <c:majorTickMark val="out"/>
        <c:minorTickMark val="none"/>
        <c:tickLblPos val="nextTo"/>
        <c:txPr>
          <a:bodyPr/>
          <a:lstStyle/>
          <a:p>
            <a:pPr>
              <a:defRPr sz="1400"/>
            </a:pPr>
            <a:endParaRPr lang="en-US"/>
          </a:p>
        </c:txPr>
        <c:crossAx val="207612544"/>
        <c:crosses val="autoZero"/>
        <c:crossBetween val="midCat"/>
      </c:valAx>
    </c:plotArea>
    <c:legend>
      <c:legendPos val="b"/>
      <c:overlay val="0"/>
      <c:txPr>
        <a:bodyPr/>
        <a:lstStyle/>
        <a:p>
          <a:pPr>
            <a:defRPr sz="1400"/>
          </a:pPr>
          <a:endParaRPr lang="en-US"/>
        </a:p>
      </c:txPr>
    </c:legend>
    <c:plotVisOnly val="1"/>
    <c:dispBlanksAs val="gap"/>
    <c:showDLblsOverMax val="0"/>
  </c:chart>
  <c:spPr>
    <a:ln>
      <a:noFill/>
    </a:ln>
  </c:sp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codeName="Chart5">
    <tabColor theme="5" tint="0.39997558519241921"/>
  </sheetPr>
  <sheetViews>
    <sheetView zoomScale="86"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6">
    <tabColor theme="5" tint="0.39997558519241921"/>
  </sheetPr>
  <sheetViews>
    <sheetView zoomScale="86"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sheetPr codeName="Chart7">
    <tabColor theme="5" tint="0.39997558519241921"/>
  </sheetPr>
  <sheetViews>
    <sheetView zoomScale="86"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List" dx="16" fmlaLink="$M$3" fmlaRange="$M$4:$M$8" noThreeD="1" sel="2" val="0"/>
</file>

<file path=xl/ctrlProps/ctrlProp7.xml><?xml version="1.0" encoding="utf-8"?>
<formControlPr xmlns="http://schemas.microsoft.com/office/spreadsheetml/2009/9/main" objectType="List" dx="16" fmlaLink="$L$2" fmlaRange="$L$3:$L$8" noThreeD="1" val="0"/>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276225</xdr:colOff>
          <xdr:row>2</xdr:row>
          <xdr:rowOff>152400</xdr:rowOff>
        </xdr:from>
        <xdr:to>
          <xdr:col>13</xdr:col>
          <xdr:colOff>361950</xdr:colOff>
          <xdr:row>5</xdr:row>
          <xdr:rowOff>38100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6</xdr:row>
          <xdr:rowOff>28575</xdr:rowOff>
        </xdr:from>
        <xdr:to>
          <xdr:col>13</xdr:col>
          <xdr:colOff>361950</xdr:colOff>
          <xdr:row>8</xdr:row>
          <xdr:rowOff>38100</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Run Hide/Unhide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9</xdr:row>
          <xdr:rowOff>38100</xdr:rowOff>
        </xdr:from>
        <xdr:to>
          <xdr:col>13</xdr:col>
          <xdr:colOff>361950</xdr:colOff>
          <xdr:row>11</xdr:row>
          <xdr:rowOff>66675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Refresh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276225</xdr:colOff>
          <xdr:row>12</xdr:row>
          <xdr:rowOff>66675</xdr:rowOff>
        </xdr:from>
        <xdr:to>
          <xdr:col>13</xdr:col>
          <xdr:colOff>361950</xdr:colOff>
          <xdr:row>14</xdr:row>
          <xdr:rowOff>66675</xdr:rowOff>
        </xdr:to>
        <xdr:sp macro="" textlink="">
          <xdr:nvSpPr>
            <xdr:cNvPr id="2057" name="Button 9" hidden="1">
              <a:extLst>
                <a:ext uri="{63B3BB69-23CF-44E3-9099-C40C66FF867C}">
                  <a14:compatExt spid="_x0000_s20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Go to Selected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295275</xdr:colOff>
          <xdr:row>15</xdr:row>
          <xdr:rowOff>66675</xdr:rowOff>
        </xdr:from>
        <xdr:to>
          <xdr:col>13</xdr:col>
          <xdr:colOff>371475</xdr:colOff>
          <xdr:row>17</xdr:row>
          <xdr:rowOff>76200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MS Sans Serif"/>
                </a:rPr>
                <a:t>Delete Broken Range 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342900</xdr:colOff>
          <xdr:row>3</xdr:row>
          <xdr:rowOff>9525</xdr:rowOff>
        </xdr:from>
        <xdr:to>
          <xdr:col>13</xdr:col>
          <xdr:colOff>47625</xdr:colOff>
          <xdr:row>6</xdr:row>
          <xdr:rowOff>142875</xdr:rowOff>
        </xdr:to>
        <xdr:sp macro="" textlink="">
          <xdr:nvSpPr>
            <xdr:cNvPr id="4097" name="List Box 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314325</xdr:colOff>
          <xdr:row>3</xdr:row>
          <xdr:rowOff>9525</xdr:rowOff>
        </xdr:from>
        <xdr:to>
          <xdr:col>13</xdr:col>
          <xdr:colOff>19050</xdr:colOff>
          <xdr:row>7</xdr:row>
          <xdr:rowOff>57150</xdr:rowOff>
        </xdr:to>
        <xdr:sp macro="" textlink="">
          <xdr:nvSpPr>
            <xdr:cNvPr id="7169" name="List Box 1"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72180" cy="630200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72180" cy="630200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72180" cy="6302006"/>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solidFill>
          <a:srgbClr val="FFFFFF">
            <a:alpha val="83000"/>
          </a:srgbClr>
        </a:solidFill>
        <a:ln w="9525" cap="flat" cmpd="sng" algn="ctr">
          <a:solidFill>
            <a:srgbClr val="000000"/>
          </a:solidFill>
          <a:prstDash val="solid"/>
          <a:round/>
          <a:headEnd type="none" w="med" len="med"/>
          <a:tailEnd type="none" w="med" len="med"/>
        </a:ln>
        <a:effectLst/>
      </a:spPr>
      <a:bodyPr vertOverflow="clip" wrap="square" lIns="18288" tIns="0" rIns="0" bIns="0" rtlCol="0" anchor="ctr" upright="1"/>
      <a:lstStyle>
        <a:defPPr algn="ctr">
          <a:defRPr sz="1100"/>
        </a:defPPr>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7030A0"/>
  </sheetPr>
  <dimension ref="A1:P120"/>
  <sheetViews>
    <sheetView workbookViewId="0">
      <selection activeCell="H14" sqref="H14"/>
    </sheetView>
  </sheetViews>
  <sheetFormatPr defaultRowHeight="12.75" zeroHeight="1" outlineLevelRow="1" x14ac:dyDescent="0.2"/>
  <cols>
    <col min="1" max="1" width="9.140625" style="98"/>
    <col min="2" max="2" width="10.85546875" style="98" customWidth="1"/>
    <col min="3" max="3" width="9.140625" style="98"/>
    <col min="4" max="4" width="12.7109375" style="98" customWidth="1"/>
    <col min="5" max="16384" width="9.140625" style="98"/>
  </cols>
  <sheetData>
    <row r="1" spans="1:11" s="112" customFormat="1" ht="25.5" x14ac:dyDescent="0.35">
      <c r="A1" s="111" t="s">
        <v>94</v>
      </c>
    </row>
    <row r="2" spans="1:11" s="35" customFormat="1" ht="15" x14ac:dyDescent="0.25">
      <c r="A2" s="33" t="s">
        <v>12</v>
      </c>
      <c r="B2" s="34"/>
      <c r="C2" s="34"/>
      <c r="D2" s="34"/>
    </row>
    <row r="3" spans="1:11" s="35" customFormat="1" x14ac:dyDescent="0.2">
      <c r="A3" s="36" t="s">
        <v>13</v>
      </c>
      <c r="B3" s="36" t="s">
        <v>14</v>
      </c>
      <c r="C3" s="36" t="s">
        <v>15</v>
      </c>
      <c r="D3" s="36" t="s">
        <v>16</v>
      </c>
    </row>
    <row r="4" spans="1:11" s="35" customFormat="1" x14ac:dyDescent="0.2">
      <c r="A4" s="37" t="s">
        <v>17</v>
      </c>
      <c r="B4" s="38" t="s">
        <v>18</v>
      </c>
      <c r="C4" s="38">
        <v>30</v>
      </c>
      <c r="D4" s="39" t="str">
        <f>A4&amp;"_"&amp;B4</f>
        <v>Nick_Test1</v>
      </c>
      <c r="H4" s="99" t="s">
        <v>19</v>
      </c>
    </row>
    <row r="5" spans="1:11" s="35" customFormat="1" x14ac:dyDescent="0.2">
      <c r="A5" s="37" t="s">
        <v>17</v>
      </c>
      <c r="B5" s="38" t="s">
        <v>20</v>
      </c>
      <c r="C5" s="38">
        <v>37</v>
      </c>
      <c r="D5" s="39" t="str">
        <f t="shared" ref="D5:D12" si="0">A5&amp;"_"&amp;B5</f>
        <v>Nick_Test2</v>
      </c>
      <c r="H5" s="100" t="s">
        <v>13</v>
      </c>
      <c r="I5" s="101" t="s">
        <v>18</v>
      </c>
      <c r="J5" s="101" t="s">
        <v>20</v>
      </c>
      <c r="K5" s="102" t="s">
        <v>21</v>
      </c>
    </row>
    <row r="6" spans="1:11" s="35" customFormat="1" x14ac:dyDescent="0.2">
      <c r="A6" s="37" t="s">
        <v>17</v>
      </c>
      <c r="B6" s="38" t="s">
        <v>21</v>
      </c>
      <c r="C6" s="38">
        <v>28</v>
      </c>
      <c r="D6" s="39" t="str">
        <f t="shared" si="0"/>
        <v>Nick_Test3</v>
      </c>
      <c r="H6" s="103" t="s">
        <v>22</v>
      </c>
      <c r="I6" s="41">
        <v>95</v>
      </c>
      <c r="J6" s="41">
        <v>100</v>
      </c>
      <c r="K6" s="104">
        <v>110</v>
      </c>
    </row>
    <row r="7" spans="1:11" s="35" customFormat="1" x14ac:dyDescent="0.2">
      <c r="A7" s="37" t="s">
        <v>23</v>
      </c>
      <c r="B7" s="38" t="str">
        <f t="shared" ref="B7:B12" si="1">B4</f>
        <v>Test1</v>
      </c>
      <c r="C7" s="38">
        <v>50</v>
      </c>
      <c r="D7" s="39" t="str">
        <f t="shared" si="0"/>
        <v>Wladimir_Test1</v>
      </c>
      <c r="H7" s="103" t="s">
        <v>17</v>
      </c>
      <c r="I7" s="41">
        <v>30</v>
      </c>
      <c r="J7" s="41">
        <v>37</v>
      </c>
      <c r="K7" s="104">
        <v>28</v>
      </c>
    </row>
    <row r="8" spans="1:11" s="35" customFormat="1" x14ac:dyDescent="0.2">
      <c r="A8" s="37" t="s">
        <v>23</v>
      </c>
      <c r="B8" s="38" t="str">
        <f t="shared" si="1"/>
        <v>Test2</v>
      </c>
      <c r="C8" s="38">
        <v>35</v>
      </c>
      <c r="D8" s="39" t="str">
        <f t="shared" si="0"/>
        <v>Wladimir_Test2</v>
      </c>
      <c r="H8" s="105" t="s">
        <v>23</v>
      </c>
      <c r="I8" s="40">
        <v>50</v>
      </c>
      <c r="J8" s="40">
        <v>35</v>
      </c>
      <c r="K8" s="106">
        <v>75</v>
      </c>
    </row>
    <row r="9" spans="1:11" s="35" customFormat="1" x14ac:dyDescent="0.2">
      <c r="A9" s="37" t="s">
        <v>23</v>
      </c>
      <c r="B9" s="38" t="str">
        <f t="shared" si="1"/>
        <v>Test3</v>
      </c>
      <c r="C9" s="38">
        <v>75</v>
      </c>
      <c r="D9" s="39" t="str">
        <f t="shared" si="0"/>
        <v>Wladimir_Test3</v>
      </c>
    </row>
    <row r="10" spans="1:11" s="35" customFormat="1" x14ac:dyDescent="0.2">
      <c r="A10" s="37" t="s">
        <v>22</v>
      </c>
      <c r="B10" s="38" t="str">
        <f t="shared" si="1"/>
        <v>Test1</v>
      </c>
      <c r="C10" s="38">
        <v>95</v>
      </c>
      <c r="D10" s="39" t="str">
        <f t="shared" si="0"/>
        <v>Bob_Test1</v>
      </c>
    </row>
    <row r="11" spans="1:11" s="35" customFormat="1" x14ac:dyDescent="0.2">
      <c r="A11" s="37" t="s">
        <v>22</v>
      </c>
      <c r="B11" s="38" t="str">
        <f t="shared" si="1"/>
        <v>Test2</v>
      </c>
      <c r="C11" s="38">
        <v>100</v>
      </c>
      <c r="D11" s="39" t="str">
        <f t="shared" si="0"/>
        <v>Bob_Test2</v>
      </c>
    </row>
    <row r="12" spans="1:11" s="35" customFormat="1" x14ac:dyDescent="0.2">
      <c r="A12" s="37" t="s">
        <v>22</v>
      </c>
      <c r="B12" s="38" t="str">
        <f t="shared" si="1"/>
        <v>Test3</v>
      </c>
      <c r="C12" s="38">
        <v>110</v>
      </c>
      <c r="D12" s="39" t="str">
        <f t="shared" si="0"/>
        <v>Bob_Test3</v>
      </c>
    </row>
    <row r="13" spans="1:11" s="42" customFormat="1" x14ac:dyDescent="0.2"/>
    <row r="14" spans="1:11" s="44" customFormat="1" ht="15" x14ac:dyDescent="0.25">
      <c r="A14" s="43" t="s">
        <v>24</v>
      </c>
    </row>
    <row r="15" spans="1:11" s="44" customFormat="1" x14ac:dyDescent="0.2">
      <c r="A15" s="45" t="s">
        <v>25</v>
      </c>
    </row>
    <row r="16" spans="1:11" s="44" customFormat="1" x14ac:dyDescent="0.2">
      <c r="A16" s="46">
        <f>INDEX(A3:C12, 5, 3)</f>
        <v>50</v>
      </c>
    </row>
    <row r="17" spans="1:8" s="44" customFormat="1" x14ac:dyDescent="0.2">
      <c r="A17" s="45"/>
    </row>
    <row r="18" spans="1:8" s="48" customFormat="1" ht="15" x14ac:dyDescent="0.25">
      <c r="A18" s="47" t="s">
        <v>26</v>
      </c>
    </row>
    <row r="19" spans="1:8" s="35" customFormat="1" x14ac:dyDescent="0.2">
      <c r="A19" s="49" t="str">
        <f>"In the example above, the first argument of the table is 'A"&amp;ROW(A3)&amp;":C"&amp;ROW(A12)&amp;"'. That makes sense, but has a few limitations. If you want to reference it from other sheets, you need to go to the source table and enter"</f>
        <v>In the example above, the first argument of the table is 'A3:C12'. That makes sense, but has a few limitations. If you want to reference it from other sheets, you need to go to the source table and enter</v>
      </c>
    </row>
    <row r="20" spans="1:8" s="35" customFormat="1" x14ac:dyDescent="0.2">
      <c r="A20" s="49" t="s">
        <v>27</v>
      </c>
    </row>
    <row r="21" spans="1:8" s="35" customFormat="1" x14ac:dyDescent="0.2">
      <c r="A21" s="49" t="s">
        <v>28</v>
      </c>
    </row>
    <row r="22" spans="1:8" s="35" customFormat="1" x14ac:dyDescent="0.2">
      <c r="A22" s="50">
        <f>INDEX(TestData, 5, 3)</f>
        <v>50</v>
      </c>
    </row>
    <row r="23" spans="1:8" s="35" customFormat="1" x14ac:dyDescent="0.2">
      <c r="A23" s="49"/>
    </row>
    <row r="24" spans="1:8" s="35" customFormat="1" x14ac:dyDescent="0.2">
      <c r="A24" s="49" t="str">
        <f>"A range name is just an alias for a cell. This cell is named 'A"&amp;ROW(A24)&amp;"', and if you have it selected, then you'll see a box reading 'A"&amp;ROW(A24)&amp;"' at the top left of your screen, below the File menu, just past the toolbars."</f>
        <v>A range name is just an alias for a cell. This cell is named 'A24', and if you have it selected, then you'll see a box reading 'A24' at the top left of your screen, below the File menu, just past the toolbars.</v>
      </c>
    </row>
    <row r="25" spans="1:8" s="35" customFormat="1" x14ac:dyDescent="0.2">
      <c r="A25" s="49" t="s">
        <v>29</v>
      </c>
    </row>
    <row r="26" spans="1:8" s="35" customFormat="1" x14ac:dyDescent="0.2"/>
    <row r="27" spans="1:8" s="35" customFormat="1" x14ac:dyDescent="0.2">
      <c r="B27" s="42" t="s">
        <v>30</v>
      </c>
      <c r="C27" s="42" t="s">
        <v>31</v>
      </c>
      <c r="E27" s="51">
        <f>5/9</f>
        <v>0.55555555555555558</v>
      </c>
      <c r="F27" s="52" t="s">
        <v>32</v>
      </c>
      <c r="G27" s="53"/>
      <c r="H27" s="54"/>
    </row>
    <row r="28" spans="1:8" s="35" customFormat="1" x14ac:dyDescent="0.2">
      <c r="B28" s="38">
        <v>85</v>
      </c>
      <c r="C28" s="55">
        <f>FtoC_conv*(B28-32)</f>
        <v>29.444444444444446</v>
      </c>
    </row>
    <row r="29" spans="1:8" s="35" customFormat="1" x14ac:dyDescent="0.2">
      <c r="B29" s="38">
        <v>40</v>
      </c>
      <c r="C29" s="55">
        <f>FtoC_conv*(B29-32)</f>
        <v>4.4444444444444446</v>
      </c>
    </row>
    <row r="30" spans="1:8" s="35" customFormat="1" x14ac:dyDescent="0.2">
      <c r="B30" s="38"/>
      <c r="C30" s="39"/>
    </row>
    <row r="31" spans="1:8" s="35" customFormat="1" x14ac:dyDescent="0.2">
      <c r="A31" s="49" t="s">
        <v>33</v>
      </c>
    </row>
    <row r="32" spans="1:8" s="42" customFormat="1" x14ac:dyDescent="0.2"/>
    <row r="33" spans="1:1" s="57" customFormat="1" ht="15" x14ac:dyDescent="0.25">
      <c r="A33" s="56" t="s">
        <v>34</v>
      </c>
    </row>
    <row r="34" spans="1:1" s="44" customFormat="1" x14ac:dyDescent="0.2">
      <c r="A34" s="46">
        <f>MATCH("Bob_Test3", TestData_ID, 0)</f>
        <v>10</v>
      </c>
    </row>
    <row r="35" spans="1:1" s="44" customFormat="1" x14ac:dyDescent="0.2">
      <c r="A35" s="45" t="s">
        <v>35</v>
      </c>
    </row>
    <row r="36" spans="1:1" s="44" customFormat="1" x14ac:dyDescent="0.2">
      <c r="A36" s="45" t="s">
        <v>36</v>
      </c>
    </row>
    <row r="37" spans="1:1" s="44" customFormat="1" x14ac:dyDescent="0.2"/>
    <row r="38" spans="1:1" s="48" customFormat="1" ht="15" x14ac:dyDescent="0.25">
      <c r="A38" s="47" t="s">
        <v>37</v>
      </c>
    </row>
    <row r="39" spans="1:1" s="35" customFormat="1" x14ac:dyDescent="0.2">
      <c r="A39" s="35" t="s">
        <v>38</v>
      </c>
    </row>
    <row r="40" spans="1:1" s="35" customFormat="1" x14ac:dyDescent="0.2">
      <c r="A40" s="58" t="str">
        <f>"Math"&amp;"Rulez"</f>
        <v>MathRulez</v>
      </c>
    </row>
    <row r="41" spans="1:1" s="35" customFormat="1" x14ac:dyDescent="0.2">
      <c r="A41" s="49" t="s">
        <v>39</v>
      </c>
    </row>
    <row r="42" spans="1:1" s="35" customFormat="1" x14ac:dyDescent="0.2">
      <c r="A42" s="58" t="e">
        <f>Math&amp;Rulez</f>
        <v>#NAME?</v>
      </c>
    </row>
    <row r="43" spans="1:1" s="42" customFormat="1" x14ac:dyDescent="0.2"/>
    <row r="44" spans="1:1" s="44" customFormat="1" ht="15" x14ac:dyDescent="0.25">
      <c r="A44" s="43" t="s">
        <v>40</v>
      </c>
    </row>
    <row r="45" spans="1:1" s="44" customFormat="1" x14ac:dyDescent="0.2">
      <c r="A45" s="45" t="str">
        <f>"If you reference a cell in a formula and then drag or copy that formula, Excel will move the reference over as well. For example, take a look at cell B"&amp;ROW($B$49)&amp;". I created that cell reference, and just copied it down."</f>
        <v>If you reference a cell in a formula and then drag or copy that formula, Excel will move the reference over as well. For example, take a look at cell B49. I created that cell reference, and just copied it down.</v>
      </c>
    </row>
    <row r="46" spans="1:1" s="44" customFormat="1" x14ac:dyDescent="0.2">
      <c r="A46" s="44" t="str">
        <f>"If, however, you don't want the reference to update, you can put a dollar sign in the name of the cell to freeze either the column, the row, or both. Below, I typed in cell A"&amp;ROW($A$49)&amp;", referenced it in cell B"&amp;ROW($B$49)&amp;", but froze the"</f>
        <v>If, however, you don't want the reference to update, you can put a dollar sign in the name of the cell to freeze either the column, the row, or both. Below, I typed in cell A49, referenced it in cell B49, but froze the</v>
      </c>
    </row>
    <row r="47" spans="1:1" s="44" customFormat="1" x14ac:dyDescent="0.2">
      <c r="A47" s="44" t="str">
        <f>"fact that the reference is to column "&amp;CHAR(34)&amp;"A"&amp;CHAR(34)&amp;". When I copied that formula to the right, it still references column A. However, when I copy it down to B"&amp;ROW($C$50)&amp;", it updates to "&amp;CHAR(34)&amp;"=$A"&amp;ROW($B$50)&amp;CHAR(34)&amp;" because the row isn't frozen."</f>
        <v>fact that the reference is to column "A". When I copied that formula to the right, it still references column A. However, when I copy it down to B50, it updates to "=$A50" because the row isn't frozen.</v>
      </c>
    </row>
    <row r="48" spans="1:1" s="44" customFormat="1" x14ac:dyDescent="0.2"/>
    <row r="49" spans="1:6" s="44" customFormat="1" x14ac:dyDescent="0.2">
      <c r="A49" s="44" t="s">
        <v>95</v>
      </c>
      <c r="B49" s="59" t="str">
        <f t="shared" ref="B49:D50" si="2">$A49</f>
        <v>One thing</v>
      </c>
      <c r="C49" s="59" t="str">
        <f t="shared" si="2"/>
        <v>One thing</v>
      </c>
      <c r="D49" s="59" t="str">
        <f t="shared" si="2"/>
        <v>One thing</v>
      </c>
      <c r="E49" s="59"/>
      <c r="F49" s="59"/>
    </row>
    <row r="50" spans="1:6" s="44" customFormat="1" x14ac:dyDescent="0.2">
      <c r="A50" s="44" t="s">
        <v>96</v>
      </c>
      <c r="B50" s="59" t="str">
        <f t="shared" si="2"/>
        <v>The other</v>
      </c>
      <c r="C50" s="59" t="str">
        <f t="shared" si="2"/>
        <v>The other</v>
      </c>
      <c r="D50" s="59" t="str">
        <f t="shared" si="2"/>
        <v>The other</v>
      </c>
      <c r="E50" s="59"/>
      <c r="F50" s="59"/>
    </row>
    <row r="51" spans="1:6" s="44" customFormat="1" x14ac:dyDescent="0.2"/>
    <row r="52" spans="1:6" s="48" customFormat="1" ht="15" x14ac:dyDescent="0.25">
      <c r="A52" s="47" t="s">
        <v>41</v>
      </c>
    </row>
    <row r="53" spans="1:6" s="35" customFormat="1" x14ac:dyDescent="0.2">
      <c r="A53" s="36" t="s">
        <v>13</v>
      </c>
      <c r="B53" s="36" t="s">
        <v>18</v>
      </c>
      <c r="C53" s="36" t="s">
        <v>20</v>
      </c>
      <c r="D53" s="36" t="s">
        <v>21</v>
      </c>
    </row>
    <row r="54" spans="1:6" s="35" customFormat="1" x14ac:dyDescent="0.2">
      <c r="A54" s="37" t="s">
        <v>23</v>
      </c>
      <c r="B54" s="60">
        <f t="shared" ref="B54:D56" si="3">INDEX(TestData, MATCH($A54&amp;"_"&amp;B$53, TestData_ID, 0), MATCH("Score", TestData_header, 0))</f>
        <v>50</v>
      </c>
      <c r="C54" s="60">
        <f t="shared" si="3"/>
        <v>35</v>
      </c>
      <c r="D54" s="60">
        <f t="shared" si="3"/>
        <v>75</v>
      </c>
    </row>
    <row r="55" spans="1:6" s="35" customFormat="1" x14ac:dyDescent="0.2">
      <c r="A55" s="37" t="s">
        <v>22</v>
      </c>
      <c r="B55" s="60">
        <f t="shared" si="3"/>
        <v>95</v>
      </c>
      <c r="C55" s="60">
        <f t="shared" si="3"/>
        <v>100</v>
      </c>
      <c r="D55" s="60">
        <f t="shared" si="3"/>
        <v>110</v>
      </c>
    </row>
    <row r="56" spans="1:6" s="35" customFormat="1" x14ac:dyDescent="0.2">
      <c r="A56" s="37" t="s">
        <v>17</v>
      </c>
      <c r="B56" s="60">
        <f t="shared" si="3"/>
        <v>30</v>
      </c>
      <c r="C56" s="60">
        <f t="shared" si="3"/>
        <v>37</v>
      </c>
      <c r="D56" s="60">
        <f t="shared" si="3"/>
        <v>28</v>
      </c>
    </row>
    <row r="57" spans="1:6" s="61" customFormat="1" x14ac:dyDescent="0.2"/>
    <row r="58" spans="1:6" s="35" customFormat="1" x14ac:dyDescent="0.2">
      <c r="A58" s="62" t="s">
        <v>42</v>
      </c>
    </row>
    <row r="59" spans="1:6" s="35" customFormat="1" x14ac:dyDescent="0.2">
      <c r="A59" s="62" t="str">
        <f>"By using the MATCH function, this formula becomes smart enough to use it's own context to know what to look for. I.e., cell C"&amp;ROW($C$56)&amp;" knows that it's in "&amp;CHAR(34)&amp;"Nick"&amp;CHAR(34)&amp;"'s row and the "&amp;CHAR(34)&amp;"Test2"&amp;CHAR(34)&amp;" column, so that's where it looks"</f>
        <v>By using the MATCH function, this formula becomes smart enough to use it's own context to know what to look for. I.e., cell C56 knows that it's in "Nick"'s row and the "Test2" column, so that's where it looks</v>
      </c>
    </row>
    <row r="60" spans="1:6" s="35" customFormat="1" x14ac:dyDescent="0.2">
      <c r="A60" s="63" t="s">
        <v>43</v>
      </c>
    </row>
    <row r="61" spans="1:6" s="35" customFormat="1" x14ac:dyDescent="0.2">
      <c r="A61" s="64" t="s">
        <v>44</v>
      </c>
    </row>
    <row r="62" spans="1:6" s="42" customFormat="1" x14ac:dyDescent="0.2">
      <c r="A62" s="65" t="s">
        <v>45</v>
      </c>
    </row>
    <row r="63" spans="1:6" s="67" customFormat="1" hidden="1" x14ac:dyDescent="0.2">
      <c r="A63" s="66" t="s">
        <v>46</v>
      </c>
    </row>
    <row r="64" spans="1:6" s="69" customFormat="1" ht="15" x14ac:dyDescent="0.25">
      <c r="A64" s="68" t="s">
        <v>47</v>
      </c>
    </row>
    <row r="65" spans="1:5" s="69" customFormat="1" x14ac:dyDescent="0.2">
      <c r="A65" s="70" t="s">
        <v>48</v>
      </c>
    </row>
    <row r="66" spans="1:5" s="72" customFormat="1" hidden="1" outlineLevel="1" x14ac:dyDescent="0.2">
      <c r="A66" s="71" t="s">
        <v>49</v>
      </c>
    </row>
    <row r="67" spans="1:5" s="69" customFormat="1" collapsed="1" x14ac:dyDescent="0.2">
      <c r="A67" s="70" t="s">
        <v>50</v>
      </c>
    </row>
    <row r="68" spans="1:5" s="69" customFormat="1" x14ac:dyDescent="0.2">
      <c r="A68" s="70" t="s">
        <v>51</v>
      </c>
    </row>
    <row r="69" spans="1:5" s="69" customFormat="1" x14ac:dyDescent="0.2">
      <c r="A69" s="70"/>
    </row>
    <row r="70" spans="1:5" s="69" customFormat="1" x14ac:dyDescent="0.2">
      <c r="A70" s="73" t="s">
        <v>87</v>
      </c>
    </row>
    <row r="71" spans="1:5" s="69" customFormat="1" x14ac:dyDescent="0.2">
      <c r="A71" s="73"/>
      <c r="C71" s="107" t="s">
        <v>18</v>
      </c>
      <c r="D71" s="107" t="s">
        <v>20</v>
      </c>
      <c r="E71" s="107" t="s">
        <v>21</v>
      </c>
    </row>
    <row r="72" spans="1:5" s="69" customFormat="1" x14ac:dyDescent="0.2">
      <c r="A72" s="73"/>
      <c r="B72" s="109" t="s">
        <v>13</v>
      </c>
      <c r="C72" s="75" t="s">
        <v>91</v>
      </c>
      <c r="D72" s="75" t="s">
        <v>92</v>
      </c>
      <c r="E72" s="75" t="s">
        <v>93</v>
      </c>
    </row>
    <row r="73" spans="1:5" s="69" customFormat="1" x14ac:dyDescent="0.2">
      <c r="A73" s="107" t="s">
        <v>23</v>
      </c>
      <c r="B73" s="110" t="s">
        <v>88</v>
      </c>
      <c r="C73" s="108">
        <f t="shared" ref="C73:E75" si="4">INDEX(TestData, MATCH($A73&amp;"_"&amp;C$71, TestData_ID, 0),MATCH("Score", TestData_header, 0))</f>
        <v>50</v>
      </c>
      <c r="D73" s="108">
        <f t="shared" si="4"/>
        <v>35</v>
      </c>
      <c r="E73" s="108">
        <f t="shared" si="4"/>
        <v>75</v>
      </c>
    </row>
    <row r="74" spans="1:5" s="69" customFormat="1" x14ac:dyDescent="0.2">
      <c r="A74" s="107" t="s">
        <v>22</v>
      </c>
      <c r="B74" s="110" t="s">
        <v>89</v>
      </c>
      <c r="C74" s="108">
        <f t="shared" si="4"/>
        <v>95</v>
      </c>
      <c r="D74" s="108">
        <f t="shared" si="4"/>
        <v>100</v>
      </c>
      <c r="E74" s="108">
        <f t="shared" si="4"/>
        <v>110</v>
      </c>
    </row>
    <row r="75" spans="1:5" s="69" customFormat="1" x14ac:dyDescent="0.2">
      <c r="A75" s="107" t="s">
        <v>17</v>
      </c>
      <c r="B75" s="110" t="s">
        <v>90</v>
      </c>
      <c r="C75" s="108">
        <f t="shared" si="4"/>
        <v>30</v>
      </c>
      <c r="D75" s="108">
        <f t="shared" si="4"/>
        <v>37</v>
      </c>
      <c r="E75" s="108">
        <f t="shared" si="4"/>
        <v>28</v>
      </c>
    </row>
    <row r="76" spans="1:5" s="69" customFormat="1" x14ac:dyDescent="0.2">
      <c r="A76" s="73"/>
    </row>
    <row r="77" spans="1:5" s="69" customFormat="1" x14ac:dyDescent="0.2">
      <c r="A77" s="73" t="s">
        <v>52</v>
      </c>
    </row>
    <row r="78" spans="1:5" s="69" customFormat="1" x14ac:dyDescent="0.2">
      <c r="A78" s="73" t="str">
        <f>"forget what's there. For example, you would probably never have realized that row "&amp;ROW(A63)&amp;" is hidden! You'd only notice if you already knew it was hidden, or were paying very close attention to the row numbers, in which case "</f>
        <v xml:space="preserve">forget what's there. For example, you would probably never have realized that row 63 is hidden! You'd only notice if you already knew it was hidden, or were paying very close attention to the row numbers, in which case </v>
      </c>
    </row>
    <row r="79" spans="1:5" s="69" customFormat="1" x14ac:dyDescent="0.2">
      <c r="A79" s="73" t="s">
        <v>53</v>
      </c>
    </row>
    <row r="80" spans="1:5" s="69" customFormat="1" x14ac:dyDescent="0.2">
      <c r="A80" s="73"/>
    </row>
    <row r="81" spans="1:16" s="69" customFormat="1" x14ac:dyDescent="0.2">
      <c r="A81" s="73" t="s">
        <v>54</v>
      </c>
    </row>
    <row r="82" spans="1:16" s="69" customFormat="1" x14ac:dyDescent="0.2">
      <c r="A82" s="73" t="s">
        <v>55</v>
      </c>
    </row>
    <row r="83" spans="1:16" s="69" customFormat="1" x14ac:dyDescent="0.2">
      <c r="A83" s="73" t="str">
        <f>"As you can clearly see, we've got a plus sign on row "&amp;ROW($A$66)&amp;"! Open it up! And, for a nice example of how it can be used, see the example on INDIRECT() below!"</f>
        <v>As you can clearly see, we've got a plus sign on row 66! Open it up! And, for a nice example of how it can be used, see the example on INDIRECT() below!</v>
      </c>
    </row>
    <row r="84" spans="1:16" s="75" customFormat="1" x14ac:dyDescent="0.2">
      <c r="A84" s="74"/>
    </row>
    <row r="85" spans="1:16" s="35" customFormat="1" ht="15" x14ac:dyDescent="0.25">
      <c r="A85" s="76" t="s">
        <v>56</v>
      </c>
    </row>
    <row r="86" spans="1:16" s="35" customFormat="1" x14ac:dyDescent="0.2">
      <c r="A86" s="62" t="s">
        <v>57</v>
      </c>
    </row>
    <row r="87" spans="1:16" s="35" customFormat="1" x14ac:dyDescent="0.2">
      <c r="A87" s="62" t="s">
        <v>58</v>
      </c>
    </row>
    <row r="88" spans="1:16" s="35" customFormat="1" x14ac:dyDescent="0.2">
      <c r="A88" s="62" t="s">
        <v>59</v>
      </c>
    </row>
    <row r="89" spans="1:16" s="35" customFormat="1" x14ac:dyDescent="0.2">
      <c r="A89" s="62" t="s">
        <v>60</v>
      </c>
    </row>
    <row r="90" spans="1:16" s="35" customFormat="1" x14ac:dyDescent="0.2">
      <c r="A90" s="62" t="s">
        <v>61</v>
      </c>
    </row>
    <row r="91" spans="1:16" s="35" customFormat="1" x14ac:dyDescent="0.2">
      <c r="A91" s="62"/>
    </row>
    <row r="92" spans="1:16" s="78" customFormat="1" x14ac:dyDescent="0.2">
      <c r="A92" s="77"/>
      <c r="C92" s="79"/>
      <c r="D92" s="80"/>
      <c r="E92" s="79"/>
      <c r="F92" s="81"/>
      <c r="G92" s="81"/>
      <c r="H92" s="82" t="s">
        <v>62</v>
      </c>
      <c r="I92" s="83"/>
      <c r="J92" s="82"/>
      <c r="K92" s="83"/>
      <c r="M92" s="82" t="s">
        <v>63</v>
      </c>
      <c r="N92" s="83"/>
      <c r="O92" s="82"/>
      <c r="P92" s="83"/>
    </row>
    <row r="93" spans="1:16" s="35" customFormat="1" x14ac:dyDescent="0.2">
      <c r="A93" s="62"/>
      <c r="B93" s="84" t="s">
        <v>64</v>
      </c>
      <c r="C93" s="85"/>
      <c r="D93" s="38"/>
      <c r="E93" s="37"/>
      <c r="F93" s="49"/>
      <c r="H93" s="86" t="s">
        <v>65</v>
      </c>
      <c r="I93" s="87" t="s">
        <v>66</v>
      </c>
      <c r="J93" s="87" t="s">
        <v>67</v>
      </c>
      <c r="K93" s="87" t="s">
        <v>68</v>
      </c>
      <c r="M93" s="86" t="s">
        <v>65</v>
      </c>
      <c r="N93" s="87" t="s">
        <v>66</v>
      </c>
      <c r="O93" s="87" t="s">
        <v>67</v>
      </c>
      <c r="P93" s="87" t="s">
        <v>68</v>
      </c>
    </row>
    <row r="94" spans="1:16" s="35" customFormat="1" x14ac:dyDescent="0.2">
      <c r="A94" s="42"/>
      <c r="B94" s="87" t="s">
        <v>69</v>
      </c>
      <c r="C94" s="87" t="s">
        <v>70</v>
      </c>
      <c r="D94" s="38"/>
      <c r="E94" s="37"/>
      <c r="F94" s="49"/>
      <c r="H94" s="49" t="s">
        <v>64</v>
      </c>
      <c r="I94" s="38" t="s">
        <v>97</v>
      </c>
      <c r="J94" s="37" t="s">
        <v>98</v>
      </c>
      <c r="K94" s="38" t="s">
        <v>99</v>
      </c>
      <c r="M94" s="49" t="s">
        <v>64</v>
      </c>
      <c r="N94" s="38" t="s">
        <v>100</v>
      </c>
      <c r="O94" s="37" t="s">
        <v>101</v>
      </c>
      <c r="P94" s="38" t="s">
        <v>102</v>
      </c>
    </row>
    <row r="95" spans="1:16" s="35" customFormat="1" hidden="1" outlineLevel="1" x14ac:dyDescent="0.2">
      <c r="A95" s="42"/>
      <c r="B95" s="88" t="s">
        <v>71</v>
      </c>
      <c r="C95" s="88" t="s">
        <v>72</v>
      </c>
      <c r="D95" s="38"/>
      <c r="E95" s="37"/>
      <c r="F95" s="49"/>
      <c r="H95" s="49"/>
      <c r="I95" s="38"/>
      <c r="J95" s="37"/>
      <c r="K95" s="38"/>
      <c r="M95" s="49"/>
      <c r="N95" s="38"/>
      <c r="O95" s="37"/>
      <c r="P95" s="38"/>
    </row>
    <row r="96" spans="1:16" s="35" customFormat="1" collapsed="1" x14ac:dyDescent="0.2">
      <c r="A96" s="62" t="s">
        <v>66</v>
      </c>
      <c r="B96" s="38" t="str">
        <f ca="1">INDEX(INDIRECT(B$95),
     MATCH($B$93, INDIRECT(B$95&amp;"_Color"), 0),
     MATCH($A96, INDIRECT(B$95&amp;"_H"), 0)
)</f>
        <v>ž</v>
      </c>
      <c r="C96" s="38" t="str">
        <f ca="1">INDEX(INDIRECT(C$95),
     MATCH($B$93, INDIRECT(C$95&amp;"_Color"), 0),
     MATCH($A96, INDIRECT(C$95&amp;"_H"), 0)
)</f>
        <v>t</v>
      </c>
      <c r="D96" s="38"/>
      <c r="E96" s="37"/>
      <c r="H96" s="49" t="s">
        <v>73</v>
      </c>
      <c r="I96" s="38" t="s">
        <v>103</v>
      </c>
      <c r="J96" s="38" t="s">
        <v>104</v>
      </c>
      <c r="K96" s="38" t="s">
        <v>105</v>
      </c>
      <c r="M96" s="49" t="s">
        <v>73</v>
      </c>
      <c r="N96" s="38" t="s">
        <v>106</v>
      </c>
      <c r="O96" s="38" t="s">
        <v>107</v>
      </c>
      <c r="P96" s="38" t="s">
        <v>108</v>
      </c>
    </row>
    <row r="97" spans="1:16" s="35" customFormat="1" x14ac:dyDescent="0.2">
      <c r="D97" s="38"/>
      <c r="E97" s="37"/>
      <c r="H97" s="49" t="s">
        <v>74</v>
      </c>
      <c r="I97" s="38" t="s">
        <v>109</v>
      </c>
      <c r="J97" s="38" t="s">
        <v>110</v>
      </c>
      <c r="K97" s="38" t="s">
        <v>111</v>
      </c>
      <c r="M97" s="49" t="s">
        <v>74</v>
      </c>
      <c r="N97" s="38" t="s">
        <v>112</v>
      </c>
      <c r="O97" s="38" t="s">
        <v>113</v>
      </c>
      <c r="P97" s="38" t="s">
        <v>114</v>
      </c>
    </row>
    <row r="98" spans="1:16" s="35" customFormat="1" x14ac:dyDescent="0.2">
      <c r="C98" s="37"/>
      <c r="D98" s="38"/>
      <c r="E98" s="37"/>
      <c r="H98" s="49" t="s">
        <v>75</v>
      </c>
      <c r="I98" s="38" t="s">
        <v>115</v>
      </c>
      <c r="J98" s="38" t="s">
        <v>116</v>
      </c>
      <c r="K98" s="38" t="s">
        <v>117</v>
      </c>
      <c r="M98" s="49" t="s">
        <v>75</v>
      </c>
      <c r="N98" s="38" t="s">
        <v>118</v>
      </c>
      <c r="O98" s="38" t="s">
        <v>119</v>
      </c>
      <c r="P98" s="38" t="s">
        <v>120</v>
      </c>
    </row>
    <row r="99" spans="1:16" s="35" customFormat="1" x14ac:dyDescent="0.2">
      <c r="A99" s="62"/>
      <c r="C99" s="37"/>
      <c r="D99" s="38"/>
      <c r="E99" s="37"/>
      <c r="H99" s="49" t="s">
        <v>76</v>
      </c>
      <c r="I99" s="38" t="s">
        <v>100</v>
      </c>
      <c r="J99" s="38" t="s">
        <v>121</v>
      </c>
      <c r="K99" s="38" t="s">
        <v>122</v>
      </c>
      <c r="M99" s="49" t="s">
        <v>76</v>
      </c>
      <c r="N99" s="38" t="s">
        <v>110</v>
      </c>
      <c r="O99" s="38" t="s">
        <v>123</v>
      </c>
      <c r="P99" s="38" t="s">
        <v>124</v>
      </c>
    </row>
    <row r="100" spans="1:16" s="35" customFormat="1" x14ac:dyDescent="0.2">
      <c r="A100" s="62"/>
      <c r="C100" s="37"/>
      <c r="D100" s="38"/>
      <c r="E100" s="37"/>
      <c r="H100" s="49" t="s">
        <v>77</v>
      </c>
      <c r="I100" s="38" t="s">
        <v>125</v>
      </c>
      <c r="J100" s="38" t="s">
        <v>98</v>
      </c>
      <c r="K100" s="38" t="s">
        <v>126</v>
      </c>
      <c r="M100" s="49" t="s">
        <v>77</v>
      </c>
      <c r="N100" s="38" t="s">
        <v>127</v>
      </c>
      <c r="O100" s="38" t="s">
        <v>128</v>
      </c>
      <c r="P100" s="38" t="s">
        <v>129</v>
      </c>
    </row>
    <row r="101" spans="1:16" s="35" customFormat="1" x14ac:dyDescent="0.2">
      <c r="A101" s="62"/>
      <c r="C101" s="37"/>
      <c r="D101" s="38"/>
      <c r="E101" s="37"/>
    </row>
    <row r="102" spans="1:16" s="35" customFormat="1" x14ac:dyDescent="0.2">
      <c r="A102" s="62" t="s">
        <v>78</v>
      </c>
      <c r="C102" s="37"/>
      <c r="D102" s="38"/>
      <c r="E102" s="37"/>
    </row>
    <row r="103" spans="1:16" s="35" customFormat="1" x14ac:dyDescent="0.2">
      <c r="A103" s="64"/>
    </row>
    <row r="104" spans="1:16" s="90" customFormat="1" ht="15" x14ac:dyDescent="0.25">
      <c r="A104" s="89" t="s">
        <v>79</v>
      </c>
    </row>
    <row r="105" spans="1:16" s="69" customFormat="1" x14ac:dyDescent="0.2">
      <c r="A105" s="91" t="s">
        <v>80</v>
      </c>
    </row>
    <row r="106" spans="1:16" s="69" customFormat="1" x14ac:dyDescent="0.2">
      <c r="A106" s="91" t="s">
        <v>81</v>
      </c>
    </row>
    <row r="107" spans="1:16" s="69" customFormat="1" x14ac:dyDescent="0.2">
      <c r="A107" s="92"/>
      <c r="B107" s="69" t="s">
        <v>82</v>
      </c>
    </row>
    <row r="108" spans="1:16" s="69" customFormat="1" x14ac:dyDescent="0.2">
      <c r="A108" s="93"/>
      <c r="B108" s="69" t="s">
        <v>83</v>
      </c>
    </row>
    <row r="109" spans="1:16" s="69" customFormat="1" x14ac:dyDescent="0.2">
      <c r="A109" s="94"/>
      <c r="B109" s="69" t="s">
        <v>84</v>
      </c>
    </row>
    <row r="110" spans="1:16" s="69" customFormat="1" x14ac:dyDescent="0.2">
      <c r="A110" s="95"/>
      <c r="B110" s="69" t="s">
        <v>85</v>
      </c>
    </row>
    <row r="111" spans="1:16" s="75" customFormat="1" x14ac:dyDescent="0.2">
      <c r="A111" s="96"/>
      <c r="B111" s="75" t="s">
        <v>86</v>
      </c>
    </row>
    <row r="112" spans="1:16" s="97" customFormat="1" hidden="1" x14ac:dyDescent="0.2"/>
    <row r="113" s="97" customFormat="1" hidden="1" x14ac:dyDescent="0.2"/>
    <row r="114" s="97" customFormat="1" hidden="1" x14ac:dyDescent="0.2"/>
    <row r="115" s="97" customFormat="1" hidden="1" x14ac:dyDescent="0.2"/>
    <row r="116" hidden="1" x14ac:dyDescent="0.2"/>
    <row r="117" hidden="1" x14ac:dyDescent="0.2"/>
    <row r="118" hidden="1" x14ac:dyDescent="0.2"/>
    <row r="119" hidden="1" x14ac:dyDescent="0.2"/>
    <row r="120" s="113" customFormat="1" x14ac:dyDescent="0.2"/>
  </sheetData>
  <pageMargins left="0.75" right="0.75" top="1" bottom="1" header="0.5" footer="0.5"/>
  <pageSetup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theme="3"/>
    <pageSetUpPr fitToPage="1"/>
  </sheetPr>
  <dimension ref="A1:R87"/>
  <sheetViews>
    <sheetView zoomScale="78" zoomScaleNormal="78" workbookViewId="0">
      <pane ySplit="1" topLeftCell="A2" activePane="bottomLeft" state="frozen"/>
      <selection pane="bottomLeft" activeCell="J2" sqref="J2"/>
    </sheetView>
  </sheetViews>
  <sheetFormatPr defaultColWidth="8" defaultRowHeight="12.75" outlineLevelCol="1" x14ac:dyDescent="0.2"/>
  <cols>
    <col min="1" max="1" width="56.42578125" style="1" customWidth="1"/>
    <col min="2" max="2" width="45" style="1" customWidth="1"/>
    <col min="3" max="3" width="22.42578125" style="1" customWidth="1" outlineLevel="1"/>
    <col min="4" max="4" width="24.28515625" style="13" bestFit="1" customWidth="1"/>
    <col min="5" max="5" width="9.140625" style="15" bestFit="1" customWidth="1"/>
    <col min="6" max="6" width="5.28515625" style="1" bestFit="1" customWidth="1"/>
    <col min="7" max="7" width="7.85546875" style="1" customWidth="1"/>
    <col min="8" max="8" width="9.140625" style="1" bestFit="1" customWidth="1"/>
    <col min="9" max="9" width="12.5703125" style="1" customWidth="1"/>
    <col min="10" max="10" width="6.5703125" style="1" customWidth="1"/>
    <col min="11" max="11" width="8.85546875" style="1" bestFit="1" customWidth="1"/>
    <col min="12" max="16384" width="8" style="1"/>
  </cols>
  <sheetData>
    <row r="1" spans="1:18" s="6" customFormat="1" ht="25.5" x14ac:dyDescent="0.2">
      <c r="A1" s="8" t="s">
        <v>0</v>
      </c>
      <c r="B1" s="8" t="s">
        <v>1</v>
      </c>
      <c r="C1" s="9" t="s">
        <v>2</v>
      </c>
      <c r="D1" s="12" t="s">
        <v>4</v>
      </c>
      <c r="E1" s="9" t="s">
        <v>11</v>
      </c>
      <c r="F1" s="9" t="s">
        <v>8</v>
      </c>
      <c r="G1" s="9" t="s">
        <v>6</v>
      </c>
      <c r="H1" s="9" t="s">
        <v>9</v>
      </c>
      <c r="I1" s="9" t="s">
        <v>10</v>
      </c>
      <c r="J1" s="10" t="s">
        <v>5</v>
      </c>
      <c r="R1" s="7"/>
    </row>
    <row r="2" spans="1:18" s="25" customFormat="1" ht="25.5" x14ac:dyDescent="0.2">
      <c r="A2" s="21" t="s">
        <v>572</v>
      </c>
      <c r="B2" s="21" t="s">
        <v>573</v>
      </c>
      <c r="C2" s="22"/>
      <c r="D2" s="23"/>
      <c r="E2" s="22" t="str">
        <f>IF(C2="", "", IF(D2&lt;&gt;"",LEN(D2),LEN(B2)))</f>
        <v/>
      </c>
      <c r="F2" s="24" t="s">
        <v>7</v>
      </c>
      <c r="G2" s="24" t="s">
        <v>3</v>
      </c>
      <c r="H2" s="24" t="s">
        <v>3</v>
      </c>
      <c r="I2" s="24" t="s">
        <v>534</v>
      </c>
      <c r="J2" s="24" t="s">
        <v>3</v>
      </c>
    </row>
    <row r="3" spans="1:18" x14ac:dyDescent="0.2">
      <c r="A3" s="17"/>
      <c r="B3" s="17"/>
      <c r="C3" s="18"/>
      <c r="D3" s="19"/>
      <c r="E3" s="18" t="str">
        <f t="shared" ref="E3:E39" si="0">IF(C3="", "", IF(D3&lt;&gt;"",LEN(D3),LEN(B3)))</f>
        <v/>
      </c>
      <c r="F3" s="18"/>
      <c r="G3" s="20"/>
      <c r="H3" s="20"/>
      <c r="I3" s="20"/>
      <c r="J3" s="20"/>
    </row>
    <row r="4" spans="1:18" x14ac:dyDescent="0.2">
      <c r="A4" s="17"/>
      <c r="B4" s="17"/>
      <c r="C4" s="18"/>
      <c r="D4" s="19"/>
      <c r="E4" s="18" t="str">
        <f t="shared" si="0"/>
        <v/>
      </c>
      <c r="F4" s="18"/>
      <c r="G4" s="20"/>
      <c r="H4" s="20"/>
      <c r="I4" s="20"/>
      <c r="J4" s="20"/>
    </row>
    <row r="5" spans="1:18" x14ac:dyDescent="0.2">
      <c r="A5" s="26"/>
      <c r="B5" s="17"/>
      <c r="C5" s="18"/>
      <c r="D5" s="19"/>
      <c r="E5" s="18" t="str">
        <f t="shared" si="0"/>
        <v/>
      </c>
      <c r="F5" s="18"/>
      <c r="G5" s="20"/>
      <c r="H5" s="20"/>
      <c r="I5" s="20"/>
      <c r="J5" s="20"/>
    </row>
    <row r="6" spans="1:18" x14ac:dyDescent="0.2">
      <c r="A6" s="17"/>
      <c r="B6" s="17"/>
      <c r="C6" s="18"/>
      <c r="D6" s="19"/>
      <c r="E6" s="18" t="str">
        <f t="shared" si="0"/>
        <v/>
      </c>
      <c r="F6" s="27"/>
      <c r="G6" s="20"/>
      <c r="H6" s="20"/>
      <c r="I6" s="20"/>
      <c r="J6" s="20"/>
    </row>
    <row r="7" spans="1:18" x14ac:dyDescent="0.2">
      <c r="A7" s="17"/>
      <c r="B7" s="17"/>
      <c r="C7" s="18"/>
      <c r="D7" s="19"/>
      <c r="E7" s="18" t="str">
        <f t="shared" si="0"/>
        <v/>
      </c>
      <c r="F7" s="27"/>
      <c r="G7" s="20"/>
      <c r="H7" s="20"/>
      <c r="I7" s="20"/>
      <c r="J7" s="20"/>
    </row>
    <row r="8" spans="1:18" x14ac:dyDescent="0.2">
      <c r="A8" s="26"/>
      <c r="B8" s="17"/>
      <c r="C8" s="18"/>
      <c r="D8" s="19"/>
      <c r="E8" s="18" t="str">
        <f t="shared" si="0"/>
        <v/>
      </c>
      <c r="F8" s="18"/>
      <c r="G8" s="20"/>
      <c r="H8" s="20"/>
      <c r="I8" s="20"/>
      <c r="J8" s="20"/>
    </row>
    <row r="9" spans="1:18" x14ac:dyDescent="0.2">
      <c r="A9" s="26"/>
      <c r="B9" s="17"/>
      <c r="C9" s="18"/>
      <c r="D9" s="17"/>
      <c r="E9" s="18" t="str">
        <f t="shared" si="0"/>
        <v/>
      </c>
      <c r="F9" s="18"/>
      <c r="G9" s="20"/>
      <c r="H9" s="20"/>
      <c r="I9" s="20"/>
      <c r="J9" s="20"/>
    </row>
    <row r="10" spans="1:18" x14ac:dyDescent="0.2">
      <c r="A10" s="26"/>
      <c r="B10" s="17"/>
      <c r="C10" s="18"/>
      <c r="D10" s="17"/>
      <c r="E10" s="18" t="str">
        <f t="shared" si="0"/>
        <v/>
      </c>
      <c r="F10" s="18"/>
      <c r="G10" s="20"/>
      <c r="H10" s="20"/>
      <c r="I10" s="20"/>
      <c r="J10" s="20"/>
    </row>
    <row r="11" spans="1:18" x14ac:dyDescent="0.2">
      <c r="A11" s="26"/>
      <c r="B11" s="17"/>
      <c r="C11" s="18"/>
      <c r="D11" s="17"/>
      <c r="E11" s="18" t="str">
        <f t="shared" si="0"/>
        <v/>
      </c>
      <c r="F11" s="18"/>
      <c r="G11" s="20"/>
      <c r="H11" s="20"/>
      <c r="I11" s="20"/>
      <c r="J11" s="20"/>
    </row>
    <row r="12" spans="1:18" x14ac:dyDescent="0.2">
      <c r="A12" s="26"/>
      <c r="B12" s="17"/>
      <c r="C12" s="18"/>
      <c r="D12" s="17"/>
      <c r="E12" s="18" t="str">
        <f t="shared" si="0"/>
        <v/>
      </c>
      <c r="F12" s="18"/>
      <c r="G12" s="20"/>
      <c r="H12" s="20"/>
      <c r="I12" s="20"/>
      <c r="J12" s="20"/>
    </row>
    <row r="13" spans="1:18" x14ac:dyDescent="0.2">
      <c r="A13" s="26"/>
      <c r="B13" s="17"/>
      <c r="C13" s="18"/>
      <c r="D13" s="19"/>
      <c r="E13" s="18" t="str">
        <f t="shared" si="0"/>
        <v/>
      </c>
      <c r="F13" s="20"/>
      <c r="G13" s="20"/>
      <c r="H13" s="20"/>
      <c r="I13" s="28"/>
      <c r="J13" s="20"/>
    </row>
    <row r="14" spans="1:18" x14ac:dyDescent="0.2">
      <c r="A14" s="26"/>
      <c r="B14" s="17"/>
      <c r="C14" s="18"/>
      <c r="D14" s="17"/>
      <c r="E14" s="18" t="str">
        <f t="shared" si="0"/>
        <v/>
      </c>
      <c r="F14" s="20"/>
      <c r="G14" s="20"/>
      <c r="H14" s="20"/>
      <c r="I14" s="28"/>
      <c r="J14" s="20"/>
    </row>
    <row r="15" spans="1:18" x14ac:dyDescent="0.2">
      <c r="A15" s="26"/>
      <c r="B15" s="17"/>
      <c r="C15" s="18"/>
      <c r="D15" s="17"/>
      <c r="E15" s="18" t="str">
        <f t="shared" si="0"/>
        <v/>
      </c>
      <c r="F15" s="20"/>
      <c r="G15" s="20"/>
      <c r="H15" s="20"/>
      <c r="I15" s="28"/>
      <c r="J15" s="20"/>
    </row>
    <row r="16" spans="1:18" x14ac:dyDescent="0.2">
      <c r="A16" s="26"/>
      <c r="B16" s="17"/>
      <c r="C16" s="18"/>
      <c r="D16" s="17"/>
      <c r="E16" s="18" t="str">
        <f t="shared" si="0"/>
        <v/>
      </c>
      <c r="F16" s="20"/>
      <c r="G16" s="20"/>
      <c r="H16" s="20"/>
      <c r="I16" s="28"/>
      <c r="J16" s="20"/>
    </row>
    <row r="17" spans="1:13" x14ac:dyDescent="0.2">
      <c r="A17" s="26"/>
      <c r="B17" s="17"/>
      <c r="C17" s="18"/>
      <c r="D17" s="17"/>
      <c r="E17" s="18" t="str">
        <f t="shared" si="0"/>
        <v/>
      </c>
      <c r="F17" s="20"/>
      <c r="G17" s="20"/>
      <c r="H17" s="20"/>
      <c r="I17" s="28"/>
      <c r="J17" s="20"/>
    </row>
    <row r="18" spans="1:13" x14ac:dyDescent="0.2">
      <c r="A18" s="17"/>
      <c r="B18" s="26"/>
      <c r="C18" s="20"/>
      <c r="D18" s="19"/>
      <c r="E18" s="18" t="str">
        <f t="shared" si="0"/>
        <v/>
      </c>
      <c r="F18" s="18"/>
      <c r="G18" s="20"/>
      <c r="H18" s="20"/>
      <c r="I18" s="20"/>
      <c r="J18" s="20"/>
    </row>
    <row r="19" spans="1:13" x14ac:dyDescent="0.2">
      <c r="A19" s="17"/>
      <c r="B19" s="26"/>
      <c r="C19" s="20"/>
      <c r="D19" s="19"/>
      <c r="E19" s="18" t="str">
        <f t="shared" si="0"/>
        <v/>
      </c>
      <c r="F19" s="18"/>
      <c r="G19" s="20"/>
      <c r="H19" s="20"/>
      <c r="I19" s="20"/>
      <c r="J19" s="20"/>
      <c r="M19" s="2"/>
    </row>
    <row r="20" spans="1:13" x14ac:dyDescent="0.2">
      <c r="A20" s="17"/>
      <c r="B20" s="26"/>
      <c r="C20" s="20"/>
      <c r="D20" s="19"/>
      <c r="E20" s="18" t="str">
        <f t="shared" si="0"/>
        <v/>
      </c>
      <c r="F20" s="18"/>
      <c r="G20" s="20"/>
      <c r="H20" s="20"/>
      <c r="I20" s="20"/>
      <c r="J20" s="20"/>
      <c r="M20" s="2"/>
    </row>
    <row r="21" spans="1:13" x14ac:dyDescent="0.2">
      <c r="A21" s="17"/>
      <c r="B21" s="26"/>
      <c r="C21" s="20"/>
      <c r="D21" s="19"/>
      <c r="E21" s="18" t="str">
        <f t="shared" si="0"/>
        <v/>
      </c>
      <c r="F21" s="18"/>
      <c r="G21" s="20"/>
      <c r="H21" s="20"/>
      <c r="I21" s="20"/>
      <c r="J21" s="20"/>
      <c r="M21" s="2"/>
    </row>
    <row r="22" spans="1:13" x14ac:dyDescent="0.2">
      <c r="A22" s="17"/>
      <c r="B22" s="17"/>
      <c r="C22" s="18"/>
      <c r="D22" s="19"/>
      <c r="E22" s="18" t="str">
        <f t="shared" si="0"/>
        <v/>
      </c>
      <c r="F22" s="18"/>
      <c r="G22" s="20"/>
      <c r="H22" s="20"/>
      <c r="I22" s="20"/>
      <c r="J22" s="20"/>
      <c r="M22" s="2"/>
    </row>
    <row r="23" spans="1:13" x14ac:dyDescent="0.2">
      <c r="A23" s="26"/>
      <c r="B23" s="17"/>
      <c r="C23" s="18"/>
      <c r="D23" s="19"/>
      <c r="E23" s="18" t="str">
        <f t="shared" si="0"/>
        <v/>
      </c>
      <c r="F23" s="20"/>
      <c r="G23" s="20"/>
      <c r="H23" s="20"/>
      <c r="I23" s="20"/>
      <c r="J23" s="20"/>
      <c r="M23" s="2"/>
    </row>
    <row r="24" spans="1:13" x14ac:dyDescent="0.2">
      <c r="A24" s="17"/>
      <c r="B24" s="17"/>
      <c r="C24" s="18"/>
      <c r="D24" s="19"/>
      <c r="E24" s="18" t="str">
        <f t="shared" si="0"/>
        <v/>
      </c>
      <c r="F24" s="18"/>
      <c r="G24" s="20"/>
      <c r="H24" s="20"/>
      <c r="I24" s="20"/>
      <c r="J24" s="20"/>
    </row>
    <row r="25" spans="1:13" x14ac:dyDescent="0.2">
      <c r="A25" s="26"/>
      <c r="B25" s="26"/>
      <c r="C25" s="20"/>
      <c r="D25" s="26"/>
      <c r="E25" s="18" t="str">
        <f t="shared" si="0"/>
        <v/>
      </c>
      <c r="F25" s="18"/>
      <c r="G25" s="20"/>
      <c r="H25" s="20"/>
      <c r="I25" s="20"/>
      <c r="J25" s="20"/>
    </row>
    <row r="26" spans="1:13" x14ac:dyDescent="0.2">
      <c r="A26" s="17"/>
      <c r="B26" s="26"/>
      <c r="C26" s="20"/>
      <c r="D26" s="26"/>
      <c r="E26" s="18" t="str">
        <f t="shared" si="0"/>
        <v/>
      </c>
      <c r="F26" s="18"/>
      <c r="G26" s="20"/>
      <c r="H26" s="20"/>
      <c r="I26" s="20"/>
      <c r="J26" s="20"/>
    </row>
    <row r="27" spans="1:13" x14ac:dyDescent="0.2">
      <c r="A27" s="26"/>
      <c r="B27" s="26"/>
      <c r="C27" s="20"/>
      <c r="D27" s="26"/>
      <c r="E27" s="18" t="str">
        <f t="shared" si="0"/>
        <v/>
      </c>
      <c r="F27" s="18"/>
      <c r="G27" s="20"/>
      <c r="H27" s="20"/>
      <c r="I27" s="20"/>
      <c r="J27" s="20"/>
    </row>
    <row r="28" spans="1:13" x14ac:dyDescent="0.2">
      <c r="A28" s="26"/>
      <c r="B28" s="26"/>
      <c r="C28" s="20"/>
      <c r="D28" s="26"/>
      <c r="E28" s="18" t="str">
        <f t="shared" si="0"/>
        <v/>
      </c>
      <c r="F28" s="18"/>
      <c r="G28" s="20"/>
      <c r="H28" s="20"/>
      <c r="I28" s="20"/>
      <c r="J28" s="20"/>
    </row>
    <row r="29" spans="1:13" x14ac:dyDescent="0.2">
      <c r="A29" s="17"/>
      <c r="B29" s="26"/>
      <c r="C29" s="20"/>
      <c r="D29" s="26"/>
      <c r="E29" s="18" t="str">
        <f t="shared" si="0"/>
        <v/>
      </c>
      <c r="F29" s="18"/>
      <c r="G29" s="20"/>
      <c r="H29" s="20"/>
      <c r="I29" s="20"/>
      <c r="J29" s="20"/>
    </row>
    <row r="30" spans="1:13" x14ac:dyDescent="0.2">
      <c r="A30" s="17"/>
      <c r="B30" s="26"/>
      <c r="C30" s="20"/>
      <c r="D30" s="26"/>
      <c r="E30" s="18" t="str">
        <f t="shared" si="0"/>
        <v/>
      </c>
      <c r="F30" s="18"/>
      <c r="G30" s="20"/>
      <c r="H30" s="20"/>
      <c r="I30" s="20"/>
      <c r="J30" s="20"/>
    </row>
    <row r="31" spans="1:13" x14ac:dyDescent="0.2">
      <c r="A31" s="17"/>
      <c r="B31" s="26"/>
      <c r="C31" s="20"/>
      <c r="D31" s="26"/>
      <c r="E31" s="18" t="str">
        <f t="shared" si="0"/>
        <v/>
      </c>
      <c r="F31" s="18"/>
      <c r="G31" s="20"/>
      <c r="H31" s="20"/>
      <c r="I31" s="20"/>
      <c r="J31" s="20"/>
    </row>
    <row r="32" spans="1:13" x14ac:dyDescent="0.2">
      <c r="A32" s="17"/>
      <c r="B32" s="26"/>
      <c r="C32" s="20"/>
      <c r="D32" s="26"/>
      <c r="E32" s="18" t="str">
        <f t="shared" si="0"/>
        <v/>
      </c>
      <c r="F32" s="18"/>
      <c r="G32" s="20"/>
      <c r="H32" s="20"/>
      <c r="I32" s="20"/>
      <c r="J32" s="20"/>
    </row>
    <row r="33" spans="1:13" x14ac:dyDescent="0.2">
      <c r="A33" s="26"/>
      <c r="B33" s="26"/>
      <c r="C33" s="20"/>
      <c r="D33" s="26"/>
      <c r="E33" s="18" t="str">
        <f t="shared" si="0"/>
        <v/>
      </c>
      <c r="F33" s="18"/>
      <c r="G33" s="20"/>
      <c r="H33" s="20"/>
      <c r="I33" s="20"/>
      <c r="J33" s="20"/>
    </row>
    <row r="34" spans="1:13" x14ac:dyDescent="0.2">
      <c r="A34" s="17"/>
      <c r="B34" s="26"/>
      <c r="C34" s="20"/>
      <c r="D34" s="26"/>
      <c r="E34" s="18" t="str">
        <f t="shared" si="0"/>
        <v/>
      </c>
      <c r="F34" s="18"/>
      <c r="G34" s="20"/>
      <c r="H34" s="20"/>
      <c r="I34" s="20"/>
      <c r="J34" s="20"/>
    </row>
    <row r="35" spans="1:13" x14ac:dyDescent="0.2">
      <c r="A35" s="26"/>
      <c r="B35" s="26"/>
      <c r="C35" s="20"/>
      <c r="D35" s="19"/>
      <c r="E35" s="18" t="str">
        <f t="shared" si="0"/>
        <v/>
      </c>
      <c r="F35" s="18"/>
      <c r="G35" s="20"/>
      <c r="H35" s="20"/>
      <c r="I35" s="20"/>
      <c r="J35" s="20"/>
      <c r="M35" s="2"/>
    </row>
    <row r="36" spans="1:13" x14ac:dyDescent="0.2">
      <c r="A36" s="17"/>
      <c r="B36" s="17"/>
      <c r="C36" s="18"/>
      <c r="D36" s="19"/>
      <c r="E36" s="18" t="str">
        <f t="shared" si="0"/>
        <v/>
      </c>
      <c r="F36" s="27"/>
      <c r="G36" s="20"/>
      <c r="H36" s="20"/>
      <c r="I36" s="20"/>
      <c r="J36" s="20"/>
      <c r="M36" s="2"/>
    </row>
    <row r="37" spans="1:13" x14ac:dyDescent="0.2">
      <c r="A37" s="17"/>
      <c r="B37" s="17"/>
      <c r="C37" s="18"/>
      <c r="D37" s="19"/>
      <c r="E37" s="18" t="str">
        <f t="shared" si="0"/>
        <v/>
      </c>
      <c r="F37" s="27"/>
      <c r="G37" s="20"/>
      <c r="H37" s="20"/>
      <c r="I37" s="20"/>
      <c r="J37" s="20"/>
      <c r="M37" s="2"/>
    </row>
    <row r="38" spans="1:13" x14ac:dyDescent="0.2">
      <c r="A38" s="17"/>
      <c r="B38" s="17"/>
      <c r="C38" s="18"/>
      <c r="D38" s="19"/>
      <c r="E38" s="18" t="str">
        <f t="shared" si="0"/>
        <v/>
      </c>
      <c r="F38" s="27"/>
      <c r="G38" s="20"/>
      <c r="H38" s="20"/>
      <c r="I38" s="20"/>
      <c r="J38" s="20"/>
      <c r="M38" s="2"/>
    </row>
    <row r="39" spans="1:13" x14ac:dyDescent="0.2">
      <c r="A39" s="29"/>
      <c r="B39" s="29"/>
      <c r="C39" s="30"/>
      <c r="D39" s="31"/>
      <c r="E39" s="30" t="str">
        <f t="shared" si="0"/>
        <v/>
      </c>
      <c r="F39" s="30"/>
      <c r="G39" s="32"/>
      <c r="H39" s="32"/>
      <c r="I39" s="32"/>
      <c r="J39" s="30"/>
      <c r="M39" s="2"/>
    </row>
    <row r="40" spans="1:13" x14ac:dyDescent="0.2">
      <c r="M40" s="2"/>
    </row>
    <row r="41" spans="1:13" x14ac:dyDescent="0.2">
      <c r="M41" s="2"/>
    </row>
    <row r="42" spans="1:13" x14ac:dyDescent="0.2">
      <c r="M42" s="2"/>
    </row>
    <row r="43" spans="1:13" x14ac:dyDescent="0.2">
      <c r="C43" s="11"/>
      <c r="M43" s="2"/>
    </row>
    <row r="44" spans="1:13" x14ac:dyDescent="0.2">
      <c r="M44" s="2"/>
    </row>
    <row r="45" spans="1:13" x14ac:dyDescent="0.2">
      <c r="B45" s="4"/>
      <c r="M45" s="2"/>
    </row>
    <row r="46" spans="1:13" x14ac:dyDescent="0.2">
      <c r="A46" s="4"/>
      <c r="B46" s="4"/>
      <c r="M46" s="2"/>
    </row>
    <row r="47" spans="1:13" x14ac:dyDescent="0.2">
      <c r="A47" s="4"/>
      <c r="B47" s="4"/>
      <c r="M47" s="2"/>
    </row>
    <row r="48" spans="1:13" x14ac:dyDescent="0.2">
      <c r="A48" s="4"/>
      <c r="B48" s="4"/>
      <c r="M48" s="2"/>
    </row>
    <row r="49" spans="2:13" x14ac:dyDescent="0.2">
      <c r="B49" s="4"/>
      <c r="M49" s="2"/>
    </row>
    <row r="50" spans="2:13" x14ac:dyDescent="0.2">
      <c r="B50" s="4"/>
      <c r="M50" s="2"/>
    </row>
    <row r="51" spans="2:13" x14ac:dyDescent="0.2">
      <c r="B51" s="4"/>
      <c r="M51" s="2"/>
    </row>
    <row r="52" spans="2:13" x14ac:dyDescent="0.2">
      <c r="B52" s="4"/>
      <c r="M52" s="2"/>
    </row>
    <row r="53" spans="2:13" x14ac:dyDescent="0.2">
      <c r="B53" s="4"/>
      <c r="M53" s="2"/>
    </row>
    <row r="54" spans="2:13" x14ac:dyDescent="0.2">
      <c r="B54" s="4"/>
      <c r="M54" s="2"/>
    </row>
    <row r="55" spans="2:13" x14ac:dyDescent="0.2">
      <c r="B55" s="4"/>
      <c r="M55" s="2"/>
    </row>
    <row r="56" spans="2:13" x14ac:dyDescent="0.2">
      <c r="B56" s="4"/>
      <c r="M56" s="2"/>
    </row>
    <row r="57" spans="2:13" x14ac:dyDescent="0.2">
      <c r="B57" s="4"/>
      <c r="C57" s="5"/>
      <c r="D57" s="14"/>
      <c r="E57" s="16"/>
      <c r="H57" s="5"/>
      <c r="I57" s="5"/>
      <c r="M57" s="2"/>
    </row>
    <row r="58" spans="2:13" x14ac:dyDescent="0.2">
      <c r="B58" s="4"/>
      <c r="M58" s="2"/>
    </row>
    <row r="59" spans="2:13" x14ac:dyDescent="0.2">
      <c r="B59" s="4"/>
      <c r="M59" s="2"/>
    </row>
    <row r="60" spans="2:13" x14ac:dyDescent="0.2">
      <c r="B60" s="4"/>
      <c r="M60" s="2"/>
    </row>
    <row r="61" spans="2:13" x14ac:dyDescent="0.2">
      <c r="B61" s="4"/>
      <c r="M61" s="2"/>
    </row>
    <row r="62" spans="2:13" x14ac:dyDescent="0.2">
      <c r="B62" s="4"/>
      <c r="M62" s="2"/>
    </row>
    <row r="63" spans="2:13" x14ac:dyDescent="0.2">
      <c r="B63" s="4"/>
      <c r="M63" s="2"/>
    </row>
    <row r="64" spans="2:13" x14ac:dyDescent="0.2">
      <c r="B64" s="4"/>
      <c r="M64" s="2"/>
    </row>
    <row r="65" spans="2:13" x14ac:dyDescent="0.2">
      <c r="B65" s="4"/>
      <c r="M65" s="2"/>
    </row>
    <row r="66" spans="2:13" x14ac:dyDescent="0.2">
      <c r="B66" s="4"/>
      <c r="M66" s="2"/>
    </row>
    <row r="67" spans="2:13" x14ac:dyDescent="0.2">
      <c r="B67" s="4"/>
      <c r="M67" s="2"/>
    </row>
    <row r="68" spans="2:13" x14ac:dyDescent="0.2">
      <c r="B68" s="4"/>
      <c r="M68" s="2"/>
    </row>
    <row r="69" spans="2:13" x14ac:dyDescent="0.2">
      <c r="B69" s="4"/>
      <c r="M69" s="2"/>
    </row>
    <row r="70" spans="2:13" x14ac:dyDescent="0.2">
      <c r="B70" s="4"/>
      <c r="M70" s="2"/>
    </row>
    <row r="71" spans="2:13" x14ac:dyDescent="0.2">
      <c r="M71" s="2"/>
    </row>
    <row r="72" spans="2:13" x14ac:dyDescent="0.2">
      <c r="M72" s="2"/>
    </row>
    <row r="73" spans="2:13" x14ac:dyDescent="0.2">
      <c r="M73" s="2"/>
    </row>
    <row r="74" spans="2:13" x14ac:dyDescent="0.2">
      <c r="M74" s="2"/>
    </row>
    <row r="75" spans="2:13" x14ac:dyDescent="0.2">
      <c r="M75" s="2"/>
    </row>
    <row r="76" spans="2:13" x14ac:dyDescent="0.2">
      <c r="M76" s="2"/>
    </row>
    <row r="77" spans="2:13" x14ac:dyDescent="0.2">
      <c r="M77" s="2"/>
    </row>
    <row r="78" spans="2:13" x14ac:dyDescent="0.2">
      <c r="M78" s="2"/>
    </row>
    <row r="79" spans="2:13" x14ac:dyDescent="0.2">
      <c r="M79" s="2"/>
    </row>
    <row r="80" spans="2:13" x14ac:dyDescent="0.2">
      <c r="M80" s="2"/>
    </row>
    <row r="81" spans="13:13" x14ac:dyDescent="0.2">
      <c r="M81" s="2"/>
    </row>
    <row r="82" spans="13:13" x14ac:dyDescent="0.2">
      <c r="M82" s="2"/>
    </row>
    <row r="83" spans="13:13" x14ac:dyDescent="0.2">
      <c r="M83" s="2"/>
    </row>
    <row r="84" spans="13:13" x14ac:dyDescent="0.2">
      <c r="M84" s="2"/>
    </row>
    <row r="85" spans="13:13" x14ac:dyDescent="0.2">
      <c r="M85" s="3"/>
    </row>
    <row r="87" spans="13:13" x14ac:dyDescent="0.2">
      <c r="M87" s="2"/>
    </row>
  </sheetData>
  <phoneticPr fontId="29" type="noConversion"/>
  <conditionalFormatting sqref="E2:E1048576">
    <cfRule type="cellIs" dxfId="0" priority="1" operator="greaterThan">
      <formula>31</formula>
    </cfRule>
  </conditionalFormatting>
  <pageMargins left="0.75" right="0.75" top="1" bottom="1" header="0.5" footer="0.5"/>
  <pageSetup scale="34"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GetFiles.GetFiles">
                <anchor>
                  <from>
                    <xdr:col>10</xdr:col>
                    <xdr:colOff>276225</xdr:colOff>
                    <xdr:row>2</xdr:row>
                    <xdr:rowOff>152400</xdr:rowOff>
                  </from>
                  <to>
                    <xdr:col>13</xdr:col>
                    <xdr:colOff>361950</xdr:colOff>
                    <xdr:row>5</xdr:row>
                    <xdr:rowOff>38100</xdr:rowOff>
                  </to>
                </anchor>
              </controlPr>
            </control>
          </mc:Choice>
        </mc:AlternateContent>
        <mc:AlternateContent xmlns:mc="http://schemas.openxmlformats.org/markup-compatibility/2006">
          <mc:Choice Requires="x14">
            <control shapeId="2055" r:id="rId5" name="Button 7">
              <controlPr defaultSize="0" print="0" autoFill="0" autoPict="0" macro="[0]!HideTables.HideTables">
                <anchor>
                  <from>
                    <xdr:col>10</xdr:col>
                    <xdr:colOff>276225</xdr:colOff>
                    <xdr:row>6</xdr:row>
                    <xdr:rowOff>28575</xdr:rowOff>
                  </from>
                  <to>
                    <xdr:col>13</xdr:col>
                    <xdr:colOff>361950</xdr:colOff>
                    <xdr:row>8</xdr:row>
                    <xdr:rowOff>38100</xdr:rowOff>
                  </to>
                </anchor>
              </controlPr>
            </control>
          </mc:Choice>
        </mc:AlternateContent>
        <mc:AlternateContent xmlns:mc="http://schemas.openxmlformats.org/markup-compatibility/2006">
          <mc:Choice Requires="x14">
            <control shapeId="2056" r:id="rId6" name="Button 8">
              <controlPr defaultSize="0" print="0" autoFill="0" autoPict="0" macro="[0]!RefreshRangeNames.RefreshRangeNames">
                <anchor>
                  <from>
                    <xdr:col>10</xdr:col>
                    <xdr:colOff>276225</xdr:colOff>
                    <xdr:row>9</xdr:row>
                    <xdr:rowOff>38100</xdr:rowOff>
                  </from>
                  <to>
                    <xdr:col>13</xdr:col>
                    <xdr:colOff>361950</xdr:colOff>
                    <xdr:row>11</xdr:row>
                    <xdr:rowOff>66675</xdr:rowOff>
                  </to>
                </anchor>
              </controlPr>
            </control>
          </mc:Choice>
        </mc:AlternateContent>
        <mc:AlternateContent xmlns:mc="http://schemas.openxmlformats.org/markup-compatibility/2006">
          <mc:Choice Requires="x14">
            <control shapeId="2057" r:id="rId7" name="Button 9">
              <controlPr defaultSize="0" print="0" autoFill="0" autoPict="0" macro="[0]!GotoSelectedSheet">
                <anchor>
                  <from>
                    <xdr:col>10</xdr:col>
                    <xdr:colOff>276225</xdr:colOff>
                    <xdr:row>12</xdr:row>
                    <xdr:rowOff>66675</xdr:rowOff>
                  </from>
                  <to>
                    <xdr:col>13</xdr:col>
                    <xdr:colOff>361950</xdr:colOff>
                    <xdr:row>14</xdr:row>
                    <xdr:rowOff>66675</xdr:rowOff>
                  </to>
                </anchor>
              </controlPr>
            </control>
          </mc:Choice>
        </mc:AlternateContent>
        <mc:AlternateContent xmlns:mc="http://schemas.openxmlformats.org/markup-compatibility/2006">
          <mc:Choice Requires="x14">
            <control shapeId="2065" r:id="rId8" name="Button 17">
              <controlPr defaultSize="0" print="0" autoFill="0" autoPict="0" macro="[0]!DeleteBrokenRangeNames">
                <anchor>
                  <from>
                    <xdr:col>10</xdr:col>
                    <xdr:colOff>295275</xdr:colOff>
                    <xdr:row>15</xdr:row>
                    <xdr:rowOff>66675</xdr:rowOff>
                  </from>
                  <to>
                    <xdr:col>13</xdr:col>
                    <xdr:colOff>371475</xdr:colOff>
                    <xdr:row>17</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3"/>
  <sheetViews>
    <sheetView tabSelected="1" workbookViewId="0">
      <selection activeCell="A16" sqref="A16"/>
    </sheetView>
  </sheetViews>
  <sheetFormatPr defaultRowHeight="12.75" x14ac:dyDescent="0.2"/>
  <cols>
    <col min="1" max="1" width="92.28515625" bestFit="1" customWidth="1"/>
  </cols>
  <sheetData>
    <row r="1" spans="1:1" x14ac:dyDescent="0.2">
      <c r="A1" s="141" t="s">
        <v>1749</v>
      </c>
    </row>
    <row r="2" spans="1:1" x14ac:dyDescent="0.2">
      <c r="A2" s="141" t="s">
        <v>1750</v>
      </c>
    </row>
    <row r="3" spans="1:1" x14ac:dyDescent="0.2">
      <c r="A3" s="141" t="s">
        <v>1751</v>
      </c>
    </row>
    <row r="4" spans="1:1" x14ac:dyDescent="0.2">
      <c r="A4" s="141" t="s">
        <v>1752</v>
      </c>
    </row>
    <row r="5" spans="1:1" x14ac:dyDescent="0.2">
      <c r="A5" s="156" t="s">
        <v>1757</v>
      </c>
    </row>
    <row r="6" spans="1:1" x14ac:dyDescent="0.2">
      <c r="A6" s="141" t="s">
        <v>1756</v>
      </c>
    </row>
    <row r="7" spans="1:1" x14ac:dyDescent="0.2">
      <c r="A7" s="141" t="s">
        <v>1753</v>
      </c>
    </row>
    <row r="8" spans="1:1" x14ac:dyDescent="0.2">
      <c r="A8" s="156" t="s">
        <v>1754</v>
      </c>
    </row>
    <row r="9" spans="1:1" x14ac:dyDescent="0.2">
      <c r="A9" s="156" t="s">
        <v>1755</v>
      </c>
    </row>
    <row r="10" spans="1:1" x14ac:dyDescent="0.2">
      <c r="A10" s="157" t="s">
        <v>1758</v>
      </c>
    </row>
    <row r="11" spans="1:1" x14ac:dyDescent="0.2">
      <c r="A11" s="141" t="s">
        <v>1759</v>
      </c>
    </row>
    <row r="12" spans="1:1" x14ac:dyDescent="0.2">
      <c r="A12" s="141" t="s">
        <v>1760</v>
      </c>
    </row>
    <row r="13" spans="1:1" x14ac:dyDescent="0.2">
      <c r="A13" s="141" t="s">
        <v>1761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249977111117893"/>
  </sheetPr>
  <dimension ref="B1:R20"/>
  <sheetViews>
    <sheetView workbookViewId="0">
      <selection activeCell="H20" sqref="H20"/>
    </sheetView>
  </sheetViews>
  <sheetFormatPr defaultRowHeight="12.75" outlineLevelCol="1" x14ac:dyDescent="0.2"/>
  <cols>
    <col min="2" max="2" width="32.42578125" customWidth="1"/>
    <col min="3" max="3" width="28" style="116" hidden="1" customWidth="1" outlineLevel="1"/>
    <col min="4" max="4" width="6.28515625" style="116" hidden="1" customWidth="1" outlineLevel="1"/>
    <col min="5" max="5" width="9.140625" collapsed="1"/>
    <col min="13" max="13" width="9.140625" style="125" customWidth="1" outlineLevel="1"/>
  </cols>
  <sheetData>
    <row r="1" spans="2:18" ht="19.5" x14ac:dyDescent="0.3">
      <c r="B1" s="153" t="s">
        <v>1748</v>
      </c>
      <c r="C1" s="154"/>
      <c r="D1" s="154"/>
      <c r="E1" s="154"/>
      <c r="F1" s="154"/>
      <c r="G1" s="154"/>
      <c r="H1" s="154"/>
      <c r="I1" s="154"/>
      <c r="J1" s="154"/>
    </row>
    <row r="2" spans="2:18" x14ac:dyDescent="0.2">
      <c r="M2" s="123">
        <f>INDEX($M$4:$M$8, M3)</f>
        <v>2009</v>
      </c>
    </row>
    <row r="3" spans="2:18" ht="17.25" x14ac:dyDescent="0.3">
      <c r="B3" s="131" t="str">
        <f>"Poverty, Employment, and Householder Statistics by County: "&amp;myYear</f>
        <v>Poverty, Employment, and Householder Statistics by County: 2009</v>
      </c>
      <c r="C3" s="132"/>
      <c r="D3" s="132"/>
      <c r="E3" s="133"/>
      <c r="F3" s="133"/>
      <c r="G3" s="133"/>
      <c r="H3" s="133"/>
      <c r="I3" s="133"/>
      <c r="J3" s="133"/>
      <c r="M3" s="124">
        <v>2</v>
      </c>
    </row>
    <row r="4" spans="2:18" ht="15" x14ac:dyDescent="0.25">
      <c r="B4" s="118"/>
      <c r="C4" s="119"/>
      <c r="D4" s="119"/>
      <c r="E4" s="120" t="s">
        <v>130</v>
      </c>
      <c r="F4" s="121"/>
      <c r="G4" s="121"/>
      <c r="H4" s="121"/>
      <c r="I4" s="121"/>
      <c r="J4" s="121"/>
      <c r="M4" s="125">
        <v>2008</v>
      </c>
    </row>
    <row r="5" spans="2:18" ht="15" x14ac:dyDescent="0.25">
      <c r="B5" s="126"/>
      <c r="C5" s="127" t="s">
        <v>533</v>
      </c>
      <c r="D5" s="127" t="s">
        <v>532</v>
      </c>
      <c r="E5" s="128" t="s">
        <v>523</v>
      </c>
      <c r="F5" s="128" t="s">
        <v>524</v>
      </c>
      <c r="G5" s="128" t="s">
        <v>525</v>
      </c>
      <c r="H5" s="128" t="s">
        <v>526</v>
      </c>
      <c r="I5" s="128" t="s">
        <v>527</v>
      </c>
      <c r="J5" s="128" t="s">
        <v>528</v>
      </c>
      <c r="M5" s="125">
        <v>2009</v>
      </c>
    </row>
    <row r="6" spans="2:18" ht="15" x14ac:dyDescent="0.25">
      <c r="B6" s="117" t="s">
        <v>529</v>
      </c>
      <c r="C6" s="119" t="s">
        <v>1226</v>
      </c>
      <c r="D6" s="119"/>
      <c r="E6" s="148">
        <f t="shared" ref="E6:J18" si="0">INDEX(ACS_1YR_MasterData, MATCH(E$5&amp;" County_"&amp;myYear, ACS_1YR_MasterData_County_Year, 0), MATCH($C6, ACS_1YR_MasterData_H, 0))</f>
        <v>0.1374851</v>
      </c>
      <c r="F6" s="148">
        <f t="shared" si="0"/>
        <v>5.5226600000000001E-2</v>
      </c>
      <c r="G6" s="148">
        <f t="shared" si="0"/>
        <v>8.3083299999999999E-2</v>
      </c>
      <c r="H6" s="148">
        <f t="shared" si="0"/>
        <v>6.7096000000000003E-2</v>
      </c>
      <c r="I6" s="148">
        <f t="shared" si="0"/>
        <v>6.2868099999999996E-2</v>
      </c>
      <c r="J6" s="148">
        <f t="shared" si="0"/>
        <v>6.2472699999999999E-2</v>
      </c>
      <c r="M6" s="125">
        <v>2010</v>
      </c>
    </row>
    <row r="7" spans="2:18" ht="15" x14ac:dyDescent="0.25">
      <c r="B7" s="118" t="s">
        <v>566</v>
      </c>
      <c r="C7" s="119" t="s">
        <v>1216</v>
      </c>
      <c r="D7" s="119"/>
      <c r="E7" s="148">
        <f t="shared" si="0"/>
        <v>0.28228249999999999</v>
      </c>
      <c r="F7" s="148">
        <f t="shared" si="0"/>
        <v>0.20153850000000001</v>
      </c>
      <c r="G7" s="148">
        <f t="shared" si="0"/>
        <v>0.25515579999999999</v>
      </c>
      <c r="H7" s="148">
        <f t="shared" si="0"/>
        <v>0.1973927</v>
      </c>
      <c r="I7" s="148">
        <f t="shared" si="0"/>
        <v>0.12851499999999999</v>
      </c>
      <c r="J7" s="148">
        <f t="shared" si="0"/>
        <v>0.12384199999999999</v>
      </c>
      <c r="M7" s="125">
        <v>2011</v>
      </c>
    </row>
    <row r="8" spans="2:18" ht="15" x14ac:dyDescent="0.25">
      <c r="B8" s="118" t="s">
        <v>530</v>
      </c>
      <c r="C8" s="119" t="s">
        <v>1214</v>
      </c>
      <c r="D8" s="119"/>
      <c r="E8" s="148">
        <f t="shared" si="0"/>
        <v>0.1743886</v>
      </c>
      <c r="F8" s="148">
        <f t="shared" si="0"/>
        <v>7.0391599999999999E-2</v>
      </c>
      <c r="G8" s="148">
        <f t="shared" si="0"/>
        <v>9.6795500000000007E-2</v>
      </c>
      <c r="H8" s="148">
        <f t="shared" si="0"/>
        <v>8.7624400000000005E-2</v>
      </c>
      <c r="I8" s="148">
        <f t="shared" si="0"/>
        <v>8.4268200000000001E-2</v>
      </c>
      <c r="J8" s="148">
        <f t="shared" si="0"/>
        <v>0.101379</v>
      </c>
      <c r="M8" s="125">
        <v>2012</v>
      </c>
    </row>
    <row r="9" spans="2:18" ht="15" x14ac:dyDescent="0.25">
      <c r="B9" s="118" t="s">
        <v>531</v>
      </c>
      <c r="C9" s="119" t="s">
        <v>1212</v>
      </c>
      <c r="D9" s="119"/>
      <c r="E9" s="148">
        <f t="shared" si="0"/>
        <v>0.13068689999999999</v>
      </c>
      <c r="F9" s="148">
        <f t="shared" si="0"/>
        <v>5.8208900000000001E-2</v>
      </c>
      <c r="G9" s="148">
        <f t="shared" si="0"/>
        <v>4.5868399999999997E-2</v>
      </c>
      <c r="H9" s="148">
        <f t="shared" si="0"/>
        <v>5.49539E-2</v>
      </c>
      <c r="I9" s="148">
        <f t="shared" si="0"/>
        <v>6.2773200000000001E-2</v>
      </c>
      <c r="J9" s="148">
        <f t="shared" si="0"/>
        <v>5.0768099999999997E-2</v>
      </c>
    </row>
    <row r="10" spans="2:18" ht="15" x14ac:dyDescent="0.25">
      <c r="B10" s="126" t="s">
        <v>565</v>
      </c>
      <c r="C10" s="127" t="s">
        <v>1210</v>
      </c>
      <c r="D10" s="127"/>
      <c r="E10" s="149">
        <f t="shared" si="0"/>
        <v>5.0516400000000003E-2</v>
      </c>
      <c r="F10" s="149">
        <f t="shared" si="0"/>
        <v>2.1176899999999999E-2</v>
      </c>
      <c r="G10" s="149">
        <f t="shared" si="0"/>
        <v>1.6737999999999999E-2</v>
      </c>
      <c r="H10" s="149">
        <f t="shared" si="0"/>
        <v>2.8538299999999999E-2</v>
      </c>
      <c r="I10" s="149">
        <f t="shared" si="0"/>
        <v>2.6497E-2</v>
      </c>
      <c r="J10" s="149">
        <f t="shared" si="0"/>
        <v>2.07215E-2</v>
      </c>
    </row>
    <row r="11" spans="2:18" ht="15" x14ac:dyDescent="0.25">
      <c r="B11" s="142" t="s">
        <v>1227</v>
      </c>
      <c r="C11" s="119" t="s">
        <v>1182</v>
      </c>
      <c r="D11" s="119"/>
      <c r="E11" s="148">
        <f t="shared" si="0"/>
        <v>0.10073890000000001</v>
      </c>
      <c r="F11" s="148">
        <f t="shared" si="0"/>
        <v>8.5693800000000001E-2</v>
      </c>
      <c r="G11" s="148">
        <f t="shared" si="0"/>
        <v>7.7910300000000002E-2</v>
      </c>
      <c r="H11" s="148">
        <f t="shared" si="0"/>
        <v>7.3056700000000002E-2</v>
      </c>
      <c r="I11" s="148">
        <f t="shared" si="0"/>
        <v>7.7147300000000002E-2</v>
      </c>
      <c r="J11" s="148">
        <f t="shared" si="0"/>
        <v>7.4193300000000004E-2</v>
      </c>
    </row>
    <row r="12" spans="2:18" ht="15" x14ac:dyDescent="0.25">
      <c r="B12" s="142" t="s">
        <v>1228</v>
      </c>
      <c r="C12" s="119" t="s">
        <v>1140</v>
      </c>
      <c r="D12" s="119"/>
      <c r="E12" s="148">
        <f t="shared" si="0"/>
        <v>0.14660390000000001</v>
      </c>
      <c r="F12" s="148">
        <f t="shared" si="0"/>
        <v>8.5121299999999997E-2</v>
      </c>
      <c r="G12" s="148">
        <f t="shared" si="0"/>
        <v>5.7758999999999998E-2</v>
      </c>
      <c r="H12" s="148">
        <f t="shared" si="0"/>
        <v>3.9289299999999999E-2</v>
      </c>
      <c r="I12" s="148">
        <f t="shared" si="0"/>
        <v>4.3698300000000002E-2</v>
      </c>
      <c r="J12" s="148">
        <f t="shared" si="0"/>
        <v>9.1351000000000002E-2</v>
      </c>
      <c r="P12">
        <f>SUM(MyData)</f>
        <v>9.2910141921206364</v>
      </c>
      <c r="Q12">
        <f>SUM(O14:R17)</f>
        <v>9.2910141921206364</v>
      </c>
    </row>
    <row r="13" spans="2:18" ht="15" x14ac:dyDescent="0.25">
      <c r="B13" s="142" t="s">
        <v>1229</v>
      </c>
      <c r="C13" s="119" t="s">
        <v>1134</v>
      </c>
      <c r="D13" s="119"/>
      <c r="E13" s="148">
        <f t="shared" si="0"/>
        <v>0.10428709999999999</v>
      </c>
      <c r="F13" s="148">
        <f t="shared" si="0"/>
        <v>0.1181285</v>
      </c>
      <c r="G13" s="148">
        <f t="shared" si="0"/>
        <v>5.4775400000000002E-2</v>
      </c>
      <c r="H13" s="148">
        <f t="shared" si="0"/>
        <v>6.7063399999999995E-2</v>
      </c>
      <c r="I13" s="148">
        <f t="shared" si="0"/>
        <v>6.2472800000000002E-2</v>
      </c>
      <c r="J13" s="148">
        <f t="shared" si="0"/>
        <v>0.1026301</v>
      </c>
    </row>
    <row r="14" spans="2:18" ht="15" x14ac:dyDescent="0.25">
      <c r="B14" s="142" t="s">
        <v>1230</v>
      </c>
      <c r="C14" s="119" t="s">
        <v>1128</v>
      </c>
      <c r="D14" s="119"/>
      <c r="E14" s="148">
        <f t="shared" si="0"/>
        <v>8.9716099999999993E-2</v>
      </c>
      <c r="F14" s="148">
        <f t="shared" si="0"/>
        <v>8.6057800000000004E-2</v>
      </c>
      <c r="G14" s="148">
        <f t="shared" si="0"/>
        <v>7.7350500000000003E-2</v>
      </c>
      <c r="H14" s="148">
        <f t="shared" si="0"/>
        <v>6.1978199999999997E-2</v>
      </c>
      <c r="I14" s="148">
        <f t="shared" si="0"/>
        <v>5.4321000000000001E-2</v>
      </c>
      <c r="J14" s="148">
        <f t="shared" si="0"/>
        <v>9.1085600000000003E-2</v>
      </c>
      <c r="O14">
        <v>0.73068859586199841</v>
      </c>
      <c r="P14">
        <v>0.99084722336534825</v>
      </c>
      <c r="Q14">
        <v>0.88951165335265114</v>
      </c>
      <c r="R14">
        <v>0.91614720459821331</v>
      </c>
    </row>
    <row r="15" spans="2:18" ht="15" x14ac:dyDescent="0.25">
      <c r="B15" s="142" t="s">
        <v>1231</v>
      </c>
      <c r="C15" s="119" t="s">
        <v>1122</v>
      </c>
      <c r="D15" s="119"/>
      <c r="E15" s="148">
        <f t="shared" si="0"/>
        <v>0.10151010000000001</v>
      </c>
      <c r="F15" s="148">
        <f t="shared" si="0"/>
        <v>0.1047415</v>
      </c>
      <c r="G15" s="148">
        <f t="shared" si="0"/>
        <v>9.8974900000000005E-2</v>
      </c>
      <c r="H15" s="148">
        <f t="shared" si="0"/>
        <v>8.2885200000000006E-2</v>
      </c>
      <c r="I15" s="148">
        <f t="shared" si="0"/>
        <v>0.1040167</v>
      </c>
      <c r="J15" s="148">
        <f t="shared" si="0"/>
        <v>5.6463199999999998E-2</v>
      </c>
      <c r="O15">
        <v>0.65720096491587143</v>
      </c>
      <c r="P15">
        <v>0.41096203853983537</v>
      </c>
      <c r="Q15">
        <v>0.61446279598504683</v>
      </c>
      <c r="R15">
        <v>0.36771791040336388</v>
      </c>
    </row>
    <row r="16" spans="2:18" ht="15" x14ac:dyDescent="0.25">
      <c r="B16" s="142" t="s">
        <v>1232</v>
      </c>
      <c r="C16" s="119" t="s">
        <v>1116</v>
      </c>
      <c r="D16" s="119"/>
      <c r="E16" s="148">
        <f t="shared" si="0"/>
        <v>9.9063899999999996E-2</v>
      </c>
      <c r="F16" s="148">
        <f t="shared" si="0"/>
        <v>6.1837700000000002E-2</v>
      </c>
      <c r="G16" s="148">
        <f t="shared" si="0"/>
        <v>7.2739600000000001E-2</v>
      </c>
      <c r="H16" s="148">
        <f t="shared" si="0"/>
        <v>7.2643799999999994E-2</v>
      </c>
      <c r="I16" s="148">
        <f t="shared" si="0"/>
        <v>7.6283100000000006E-2</v>
      </c>
      <c r="J16" s="148">
        <f t="shared" si="0"/>
        <v>6.6199099999999997E-2</v>
      </c>
      <c r="O16">
        <v>2.3680645146917922E-2</v>
      </c>
      <c r="P16">
        <v>0.94074154056292758</v>
      </c>
      <c r="Q16">
        <v>0.55317824400471605</v>
      </c>
      <c r="R16">
        <v>0.46347472387554345</v>
      </c>
    </row>
    <row r="17" spans="2:18" ht="15" x14ac:dyDescent="0.25">
      <c r="B17" s="143" t="s">
        <v>1233</v>
      </c>
      <c r="C17" s="127" t="s">
        <v>1110</v>
      </c>
      <c r="D17" s="127"/>
      <c r="E17" s="149">
        <f t="shared" si="0"/>
        <v>7.9039300000000007E-2</v>
      </c>
      <c r="F17" s="149">
        <f t="shared" si="0"/>
        <v>7.4662500000000007E-2</v>
      </c>
      <c r="G17" s="149">
        <f t="shared" si="0"/>
        <v>7.9904100000000006E-2</v>
      </c>
      <c r="H17" s="149">
        <f t="shared" si="0"/>
        <v>8.7582300000000002E-2</v>
      </c>
      <c r="I17" s="149">
        <f t="shared" si="0"/>
        <v>6.4816299999999993E-2</v>
      </c>
      <c r="J17" s="149">
        <f t="shared" si="0"/>
        <v>8.2595100000000005E-2</v>
      </c>
      <c r="O17">
        <v>0.14835101444017706</v>
      </c>
      <c r="P17">
        <v>0.67977763696335558</v>
      </c>
      <c r="Q17">
        <v>0.53579894361132818</v>
      </c>
      <c r="R17">
        <v>0.36847305649334283</v>
      </c>
    </row>
    <row r="18" spans="2:18" s="145" customFormat="1" ht="30" x14ac:dyDescent="0.2">
      <c r="B18" s="147" t="s">
        <v>1747</v>
      </c>
      <c r="C18" s="144" t="s">
        <v>1518</v>
      </c>
      <c r="D18" s="144"/>
      <c r="E18" s="151">
        <f t="shared" si="0"/>
        <v>0.27550180000000002</v>
      </c>
      <c r="F18" s="151">
        <f t="shared" si="0"/>
        <v>0.15052489999999999</v>
      </c>
      <c r="G18" s="151">
        <f t="shared" si="0"/>
        <v>0.15413389999999999</v>
      </c>
      <c r="H18" s="151">
        <f t="shared" si="0"/>
        <v>0.13961809999999999</v>
      </c>
      <c r="I18" s="151">
        <f t="shared" si="0"/>
        <v>0.13985059999999999</v>
      </c>
      <c r="J18" s="151">
        <f t="shared" si="0"/>
        <v>0.16504930000000001</v>
      </c>
      <c r="M18" s="146"/>
    </row>
    <row r="19" spans="2:18" ht="15" x14ac:dyDescent="0.25">
      <c r="B19" s="118"/>
      <c r="C19" s="119"/>
      <c r="D19" s="119"/>
      <c r="E19" s="118"/>
      <c r="F19" s="118"/>
      <c r="G19" s="118"/>
      <c r="H19" s="118"/>
      <c r="I19" s="118"/>
      <c r="J19" s="118"/>
    </row>
    <row r="20" spans="2:18" ht="15" x14ac:dyDescent="0.25">
      <c r="B20" s="118"/>
      <c r="C20" s="119"/>
      <c r="D20" s="119"/>
      <c r="E20" s="118"/>
      <c r="F20" s="118"/>
      <c r="G20" s="118"/>
      <c r="H20" s="118"/>
      <c r="I20" s="118"/>
      <c r="J20" s="11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List Box 1">
              <controlPr defaultSize="0" autoLine="0" autoPict="0">
                <anchor moveWithCells="1">
                  <from>
                    <xdr:col>10</xdr:col>
                    <xdr:colOff>342900</xdr:colOff>
                    <xdr:row>3</xdr:row>
                    <xdr:rowOff>9525</xdr:rowOff>
                  </from>
                  <to>
                    <xdr:col>13</xdr:col>
                    <xdr:colOff>47625</xdr:colOff>
                    <xdr:row>6</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5" tint="-0.249977111117893"/>
  </sheetPr>
  <dimension ref="B1:M18"/>
  <sheetViews>
    <sheetView workbookViewId="0">
      <selection activeCell="I12" sqref="I12"/>
    </sheetView>
  </sheetViews>
  <sheetFormatPr defaultRowHeight="12.75" outlineLevelCol="1" x14ac:dyDescent="0.2"/>
  <cols>
    <col min="2" max="2" width="32.42578125" customWidth="1"/>
    <col min="3" max="3" width="28" style="116" hidden="1" customWidth="1" outlineLevel="1"/>
    <col min="4" max="4" width="6.28515625" style="116" hidden="1" customWidth="1" outlineLevel="1"/>
    <col min="5" max="5" width="9.140625" collapsed="1"/>
    <col min="12" max="12" width="9.140625" style="125" hidden="1" customWidth="1" outlineLevel="1"/>
    <col min="13" max="13" width="9.140625" collapsed="1"/>
  </cols>
  <sheetData>
    <row r="1" spans="2:12" ht="19.5" x14ac:dyDescent="0.3">
      <c r="B1" s="153" t="s">
        <v>1748</v>
      </c>
      <c r="C1" s="154"/>
      <c r="D1" s="154"/>
      <c r="E1" s="154"/>
      <c r="F1" s="154"/>
      <c r="G1" s="154"/>
      <c r="H1" s="154"/>
      <c r="I1" s="154"/>
      <c r="J1" s="155"/>
      <c r="L1" s="123" t="str">
        <f>INDEX($L$3:$L$8, L2)</f>
        <v>Cook</v>
      </c>
    </row>
    <row r="2" spans="2:12" x14ac:dyDescent="0.2">
      <c r="L2" s="124">
        <v>1</v>
      </c>
    </row>
    <row r="3" spans="2:12" ht="17.25" x14ac:dyDescent="0.3">
      <c r="B3" s="131" t="str">
        <f>"Poverty, Employment, and Householder Statistics by Year: "&amp;myCounty&amp;" County"</f>
        <v>Poverty, Employment, and Householder Statistics by Year: Cook County</v>
      </c>
      <c r="C3" s="132"/>
      <c r="D3" s="132"/>
      <c r="E3" s="133"/>
      <c r="F3" s="133"/>
      <c r="G3" s="133"/>
      <c r="H3" s="133"/>
      <c r="I3" s="133"/>
      <c r="L3" s="125" t="s">
        <v>523</v>
      </c>
    </row>
    <row r="4" spans="2:12" ht="15" x14ac:dyDescent="0.25">
      <c r="B4" s="118"/>
      <c r="C4" s="119"/>
      <c r="D4" s="119"/>
      <c r="E4" s="120" t="s">
        <v>522</v>
      </c>
      <c r="F4" s="121"/>
      <c r="G4" s="121"/>
      <c r="H4" s="121"/>
      <c r="I4" s="121"/>
      <c r="L4" s="125" t="s">
        <v>524</v>
      </c>
    </row>
    <row r="5" spans="2:12" ht="15" x14ac:dyDescent="0.25">
      <c r="B5" s="126"/>
      <c r="C5" s="127" t="s">
        <v>533</v>
      </c>
      <c r="D5" s="127" t="s">
        <v>532</v>
      </c>
      <c r="E5" s="128">
        <v>2008</v>
      </c>
      <c r="F5" s="128">
        <v>2009</v>
      </c>
      <c r="G5" s="128">
        <v>2010</v>
      </c>
      <c r="H5" s="128">
        <v>2011</v>
      </c>
      <c r="I5" s="128">
        <v>2012</v>
      </c>
      <c r="L5" s="125" t="s">
        <v>525</v>
      </c>
    </row>
    <row r="6" spans="2:12" ht="15" x14ac:dyDescent="0.25">
      <c r="B6" s="117" t="s">
        <v>529</v>
      </c>
      <c r="C6" s="119" t="s">
        <v>1226</v>
      </c>
      <c r="D6" s="119"/>
      <c r="E6" s="148">
        <f t="shared" ref="E6:I18" si="0">INDEX(ACS_1YR_MasterData, MATCH(myCounty&amp;" County_"&amp;E$5, ACS_1YR_MasterData_County_Year, 0), MATCH($C6, ACS_1YR_MasterData_H, 0))</f>
        <v>0.12937660000000001</v>
      </c>
      <c r="F6" s="148">
        <f t="shared" si="0"/>
        <v>0.1374851</v>
      </c>
      <c r="G6" s="148">
        <f t="shared" si="0"/>
        <v>0.14371690000000001</v>
      </c>
      <c r="H6" s="148">
        <f t="shared" si="0"/>
        <v>0.15121370000000001</v>
      </c>
      <c r="I6" s="148">
        <f t="shared" si="0"/>
        <v>0.1597124</v>
      </c>
      <c r="L6" s="125" t="s">
        <v>526</v>
      </c>
    </row>
    <row r="7" spans="2:12" ht="15" x14ac:dyDescent="0.25">
      <c r="B7" s="118" t="s">
        <v>566</v>
      </c>
      <c r="C7" s="119" t="s">
        <v>1216</v>
      </c>
      <c r="D7" s="119"/>
      <c r="E7" s="148">
        <f t="shared" si="0"/>
        <v>0.2705206</v>
      </c>
      <c r="F7" s="148">
        <f t="shared" si="0"/>
        <v>0.28228249999999999</v>
      </c>
      <c r="G7" s="148">
        <f t="shared" si="0"/>
        <v>0.28164220000000001</v>
      </c>
      <c r="H7" s="148">
        <f t="shared" si="0"/>
        <v>0.30566700000000002</v>
      </c>
      <c r="I7" s="148">
        <f t="shared" si="0"/>
        <v>0.32016339999999999</v>
      </c>
      <c r="L7" s="125" t="s">
        <v>527</v>
      </c>
    </row>
    <row r="8" spans="2:12" ht="15" x14ac:dyDescent="0.25">
      <c r="B8" s="118" t="s">
        <v>530</v>
      </c>
      <c r="C8" s="119" t="s">
        <v>1214</v>
      </c>
      <c r="D8" s="119"/>
      <c r="E8" s="148">
        <f t="shared" si="0"/>
        <v>0.1542838</v>
      </c>
      <c r="F8" s="148">
        <f t="shared" si="0"/>
        <v>0.1743886</v>
      </c>
      <c r="G8" s="148">
        <f t="shared" si="0"/>
        <v>0.17664840000000001</v>
      </c>
      <c r="H8" s="148">
        <f t="shared" si="0"/>
        <v>0.19818649999999999</v>
      </c>
      <c r="I8" s="148">
        <f t="shared" si="0"/>
        <v>0.20075799999999999</v>
      </c>
      <c r="L8" s="125" t="s">
        <v>528</v>
      </c>
    </row>
    <row r="9" spans="2:12" ht="15" x14ac:dyDescent="0.25">
      <c r="B9" s="118" t="s">
        <v>531</v>
      </c>
      <c r="C9" s="119" t="s">
        <v>1212</v>
      </c>
      <c r="D9" s="119"/>
      <c r="E9" s="148">
        <f t="shared" si="0"/>
        <v>0.1152566</v>
      </c>
      <c r="F9" s="148">
        <f t="shared" si="0"/>
        <v>0.13068689999999999</v>
      </c>
      <c r="G9" s="148">
        <f t="shared" si="0"/>
        <v>0.14439879999999999</v>
      </c>
      <c r="H9" s="148">
        <f t="shared" si="0"/>
        <v>0.1476008</v>
      </c>
      <c r="I9" s="148">
        <f t="shared" si="0"/>
        <v>0.1577971</v>
      </c>
    </row>
    <row r="10" spans="2:12" ht="15" x14ac:dyDescent="0.25">
      <c r="B10" s="126" t="s">
        <v>565</v>
      </c>
      <c r="C10" s="127" t="s">
        <v>1210</v>
      </c>
      <c r="D10" s="127"/>
      <c r="E10" s="149">
        <f t="shared" si="0"/>
        <v>5.2217899999999998E-2</v>
      </c>
      <c r="F10" s="149">
        <f t="shared" si="0"/>
        <v>5.0516400000000003E-2</v>
      </c>
      <c r="G10" s="149">
        <f t="shared" si="0"/>
        <v>5.8902599999999999E-2</v>
      </c>
      <c r="H10" s="149">
        <f t="shared" si="0"/>
        <v>5.4933099999999999E-2</v>
      </c>
      <c r="I10" s="149">
        <f t="shared" si="0"/>
        <v>6.9068500000000005E-2</v>
      </c>
    </row>
    <row r="11" spans="2:12" ht="15" x14ac:dyDescent="0.25">
      <c r="B11" s="142" t="s">
        <v>1227</v>
      </c>
      <c r="C11" s="119" t="s">
        <v>1182</v>
      </c>
      <c r="D11" s="119"/>
      <c r="E11" s="148">
        <f t="shared" si="0"/>
        <v>6.7628499999999994E-2</v>
      </c>
      <c r="F11" s="148">
        <f t="shared" si="0"/>
        <v>0.10073890000000001</v>
      </c>
      <c r="G11" s="148">
        <f t="shared" si="0"/>
        <v>0.1119613</v>
      </c>
      <c r="H11" s="148">
        <f t="shared" si="0"/>
        <v>0.11302130000000001</v>
      </c>
      <c r="I11" s="148">
        <f t="shared" si="0"/>
        <v>0.10919280000000001</v>
      </c>
      <c r="J11" s="135"/>
    </row>
    <row r="12" spans="2:12" ht="15" x14ac:dyDescent="0.25">
      <c r="B12" s="142" t="s">
        <v>1228</v>
      </c>
      <c r="C12" s="119" t="s">
        <v>1140</v>
      </c>
      <c r="D12" s="119"/>
      <c r="E12" s="148">
        <f t="shared" si="0"/>
        <v>0.1104333</v>
      </c>
      <c r="F12" s="148">
        <f t="shared" si="0"/>
        <v>0.14660390000000001</v>
      </c>
      <c r="G12" s="148">
        <f t="shared" si="0"/>
        <v>0.14116799999999999</v>
      </c>
      <c r="H12" s="148">
        <f t="shared" si="0"/>
        <v>0.16786590000000001</v>
      </c>
      <c r="I12" s="148">
        <f t="shared" si="0"/>
        <v>0.15109829999999999</v>
      </c>
      <c r="J12" s="135"/>
    </row>
    <row r="13" spans="2:12" ht="15" x14ac:dyDescent="0.25">
      <c r="B13" s="142" t="s">
        <v>1229</v>
      </c>
      <c r="C13" s="119" t="s">
        <v>1134</v>
      </c>
      <c r="D13" s="119"/>
      <c r="E13" s="148">
        <f t="shared" si="0"/>
        <v>8.4441500000000003E-2</v>
      </c>
      <c r="F13" s="148">
        <f t="shared" si="0"/>
        <v>0.10428709999999999</v>
      </c>
      <c r="G13" s="148">
        <f t="shared" si="0"/>
        <v>0.111127</v>
      </c>
      <c r="H13" s="148">
        <f t="shared" si="0"/>
        <v>0.11612550000000001</v>
      </c>
      <c r="I13" s="148">
        <f t="shared" si="0"/>
        <v>0.1123231</v>
      </c>
      <c r="J13" s="135"/>
    </row>
    <row r="14" spans="2:12" ht="15" x14ac:dyDescent="0.25">
      <c r="B14" s="142" t="s">
        <v>1230</v>
      </c>
      <c r="C14" s="119" t="s">
        <v>1128</v>
      </c>
      <c r="D14" s="119"/>
      <c r="E14" s="148">
        <f t="shared" si="0"/>
        <v>6.9761799999999999E-2</v>
      </c>
      <c r="F14" s="148">
        <f t="shared" si="0"/>
        <v>8.9716099999999993E-2</v>
      </c>
      <c r="G14" s="148">
        <f t="shared" si="0"/>
        <v>0.1104028</v>
      </c>
      <c r="H14" s="148">
        <f t="shared" si="0"/>
        <v>0.10879560000000001</v>
      </c>
      <c r="I14" s="148">
        <f t="shared" si="0"/>
        <v>0.1149818</v>
      </c>
      <c r="J14" s="135"/>
    </row>
    <row r="15" spans="2:12" ht="15" x14ac:dyDescent="0.25">
      <c r="B15" s="142" t="s">
        <v>1231</v>
      </c>
      <c r="C15" s="119" t="s">
        <v>1122</v>
      </c>
      <c r="D15" s="119"/>
      <c r="E15" s="148">
        <f t="shared" si="0"/>
        <v>5.9512000000000002E-2</v>
      </c>
      <c r="F15" s="148">
        <f t="shared" si="0"/>
        <v>0.10151010000000001</v>
      </c>
      <c r="G15" s="148">
        <f t="shared" si="0"/>
        <v>0.1102402</v>
      </c>
      <c r="H15" s="148">
        <f t="shared" si="0"/>
        <v>0.1142866</v>
      </c>
      <c r="I15" s="148">
        <f t="shared" si="0"/>
        <v>0.1072095</v>
      </c>
      <c r="J15" s="135"/>
    </row>
    <row r="16" spans="2:12" ht="15" x14ac:dyDescent="0.25">
      <c r="B16" s="142" t="s">
        <v>1232</v>
      </c>
      <c r="C16" s="119" t="s">
        <v>1116</v>
      </c>
      <c r="D16" s="119"/>
      <c r="E16" s="148">
        <f t="shared" si="0"/>
        <v>5.6946299999999998E-2</v>
      </c>
      <c r="F16" s="148">
        <f t="shared" si="0"/>
        <v>9.9063899999999996E-2</v>
      </c>
      <c r="G16" s="148">
        <f t="shared" si="0"/>
        <v>0.11224870000000001</v>
      </c>
      <c r="H16" s="148">
        <f t="shared" si="0"/>
        <v>0.10192320000000001</v>
      </c>
      <c r="I16" s="148">
        <f t="shared" si="0"/>
        <v>0.1028816</v>
      </c>
      <c r="J16" s="135"/>
    </row>
    <row r="17" spans="2:10" s="145" customFormat="1" ht="15" x14ac:dyDescent="0.25">
      <c r="B17" s="143" t="s">
        <v>1233</v>
      </c>
      <c r="C17" s="127" t="s">
        <v>1110</v>
      </c>
      <c r="D17" s="127"/>
      <c r="E17" s="149">
        <f t="shared" si="0"/>
        <v>6.2125300000000001E-2</v>
      </c>
      <c r="F17" s="149">
        <f t="shared" si="0"/>
        <v>7.9039300000000007E-2</v>
      </c>
      <c r="G17" s="149">
        <f t="shared" si="0"/>
        <v>9.6600699999999998E-2</v>
      </c>
      <c r="H17" s="149">
        <f t="shared" si="0"/>
        <v>9.5496899999999996E-2</v>
      </c>
      <c r="I17" s="149">
        <f t="shared" si="0"/>
        <v>8.41393E-2</v>
      </c>
      <c r="J17" s="135"/>
    </row>
    <row r="18" spans="2:10" ht="30" x14ac:dyDescent="0.2">
      <c r="B18" s="147" t="s">
        <v>1747</v>
      </c>
      <c r="C18" s="152" t="s">
        <v>1518</v>
      </c>
      <c r="D18" s="152"/>
      <c r="E18" s="150">
        <f t="shared" si="0"/>
        <v>0.26795999999999998</v>
      </c>
      <c r="F18" s="150">
        <f t="shared" si="0"/>
        <v>0.27550180000000002</v>
      </c>
      <c r="G18" s="150">
        <f t="shared" si="0"/>
        <v>0.2756865</v>
      </c>
      <c r="H18" s="150">
        <f t="shared" si="0"/>
        <v>0.28182859999999998</v>
      </c>
      <c r="I18" s="150">
        <f t="shared" si="0"/>
        <v>0.28293299999999999</v>
      </c>
      <c r="J18" s="14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List Box 1">
              <controlPr defaultSize="0" autoLine="0" autoPict="0">
                <anchor moveWithCells="1">
                  <from>
                    <xdr:col>9</xdr:col>
                    <xdr:colOff>314325</xdr:colOff>
                    <xdr:row>3</xdr:row>
                    <xdr:rowOff>9525</xdr:rowOff>
                  </from>
                  <to>
                    <xdr:col>13</xdr:col>
                    <xdr:colOff>19050</xdr:colOff>
                    <xdr:row>7</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39997558519241921"/>
  </sheetPr>
  <dimension ref="A3:I27"/>
  <sheetViews>
    <sheetView workbookViewId="0">
      <selection activeCell="B22" sqref="B22:B27"/>
    </sheetView>
  </sheetViews>
  <sheetFormatPr defaultRowHeight="12.75" x14ac:dyDescent="0.2"/>
  <cols>
    <col min="2" max="2" width="55.42578125" bestFit="1" customWidth="1"/>
  </cols>
  <sheetData>
    <row r="3" spans="1:9" x14ac:dyDescent="0.2">
      <c r="B3" t="str">
        <f>"Poverty Rate for Women in "&amp;myCounty&amp;" County,
by Educational Level"</f>
        <v>Poverty Rate for Women in Cook County,
by Educational Level</v>
      </c>
    </row>
    <row r="5" spans="1:9" ht="15" x14ac:dyDescent="0.25">
      <c r="B5" s="127" t="s">
        <v>533</v>
      </c>
      <c r="C5" s="126"/>
      <c r="D5" s="128">
        <v>2008</v>
      </c>
      <c r="E5" s="128">
        <v>2009</v>
      </c>
      <c r="F5" s="128">
        <v>2010</v>
      </c>
      <c r="G5" s="128">
        <v>2011</v>
      </c>
      <c r="H5" s="128">
        <v>2012</v>
      </c>
    </row>
    <row r="6" spans="1:9" ht="15" x14ac:dyDescent="0.25">
      <c r="A6" t="s">
        <v>1224</v>
      </c>
      <c r="B6" s="119" t="s">
        <v>1226</v>
      </c>
      <c r="C6" s="138" t="s">
        <v>567</v>
      </c>
      <c r="D6" s="122">
        <f t="shared" ref="D6:H10" si="0">INDEX(ACS_1YR_MasterData, MATCH(myCounty&amp;" County_"&amp;D$5, ACS_1YR_MasterData_County_Year, 0), MATCH($B6, ACS_1YR_MasterData_H, 0))</f>
        <v>0.12937660000000001</v>
      </c>
      <c r="E6" s="122">
        <f t="shared" si="0"/>
        <v>0.1374851</v>
      </c>
      <c r="F6" s="122">
        <f t="shared" si="0"/>
        <v>0.14371690000000001</v>
      </c>
      <c r="G6" s="122">
        <f t="shared" si="0"/>
        <v>0.15121370000000001</v>
      </c>
      <c r="H6" s="122">
        <f t="shared" si="0"/>
        <v>0.1597124</v>
      </c>
      <c r="I6" s="122"/>
    </row>
    <row r="7" spans="1:9" ht="15" x14ac:dyDescent="0.25">
      <c r="B7" s="119" t="s">
        <v>1216</v>
      </c>
      <c r="C7" s="118" t="s">
        <v>568</v>
      </c>
      <c r="D7" s="122">
        <f t="shared" si="0"/>
        <v>0.2705206</v>
      </c>
      <c r="E7" s="122">
        <f t="shared" si="0"/>
        <v>0.28228249999999999</v>
      </c>
      <c r="F7" s="122">
        <f t="shared" si="0"/>
        <v>0.28164220000000001</v>
      </c>
      <c r="G7" s="122">
        <f t="shared" si="0"/>
        <v>0.30566700000000002</v>
      </c>
      <c r="H7" s="122">
        <f t="shared" si="0"/>
        <v>0.32016339999999999</v>
      </c>
      <c r="I7" s="122"/>
    </row>
    <row r="8" spans="1:9" ht="15" x14ac:dyDescent="0.25">
      <c r="B8" s="119" t="s">
        <v>1214</v>
      </c>
      <c r="C8" s="118" t="s">
        <v>569</v>
      </c>
      <c r="D8" s="122">
        <f t="shared" si="0"/>
        <v>0.1542838</v>
      </c>
      <c r="E8" s="122">
        <f t="shared" si="0"/>
        <v>0.1743886</v>
      </c>
      <c r="F8" s="122">
        <f t="shared" si="0"/>
        <v>0.17664840000000001</v>
      </c>
      <c r="G8" s="122">
        <f t="shared" si="0"/>
        <v>0.19818649999999999</v>
      </c>
      <c r="H8" s="122">
        <f t="shared" si="0"/>
        <v>0.20075799999999999</v>
      </c>
      <c r="I8" s="122"/>
    </row>
    <row r="9" spans="1:9" ht="15" x14ac:dyDescent="0.25">
      <c r="B9" s="119" t="s">
        <v>1212</v>
      </c>
      <c r="C9" s="118" t="s">
        <v>570</v>
      </c>
      <c r="D9" s="122">
        <f t="shared" si="0"/>
        <v>0.1152566</v>
      </c>
      <c r="E9" s="122">
        <f t="shared" si="0"/>
        <v>0.13068689999999999</v>
      </c>
      <c r="F9" s="122">
        <f t="shared" si="0"/>
        <v>0.14439879999999999</v>
      </c>
      <c r="G9" s="122">
        <f t="shared" si="0"/>
        <v>0.1476008</v>
      </c>
      <c r="H9" s="122">
        <f t="shared" si="0"/>
        <v>0.1577971</v>
      </c>
      <c r="I9" s="122"/>
    </row>
    <row r="10" spans="1:9" ht="15" x14ac:dyDescent="0.25">
      <c r="B10" s="127" t="s">
        <v>1210</v>
      </c>
      <c r="C10" s="126" t="s">
        <v>571</v>
      </c>
      <c r="D10" s="130">
        <f t="shared" si="0"/>
        <v>5.2217899999999998E-2</v>
      </c>
      <c r="E10" s="130">
        <f t="shared" si="0"/>
        <v>5.0516400000000003E-2</v>
      </c>
      <c r="F10" s="130">
        <f t="shared" si="0"/>
        <v>5.8902599999999999E-2</v>
      </c>
      <c r="G10" s="130">
        <f t="shared" si="0"/>
        <v>5.4933099999999999E-2</v>
      </c>
      <c r="H10" s="130">
        <f t="shared" si="0"/>
        <v>6.9068500000000005E-2</v>
      </c>
      <c r="I10" s="122"/>
    </row>
    <row r="13" spans="1:9" ht="15" x14ac:dyDescent="0.25">
      <c r="B13" s="127" t="s">
        <v>533</v>
      </c>
      <c r="C13" s="126"/>
      <c r="D13" s="128">
        <v>2008</v>
      </c>
      <c r="E13" s="128">
        <v>2009</v>
      </c>
      <c r="F13" s="128">
        <v>2010</v>
      </c>
      <c r="G13" s="128">
        <v>2011</v>
      </c>
      <c r="H13" s="128">
        <v>2012</v>
      </c>
      <c r="I13" s="134"/>
    </row>
    <row r="14" spans="1:9" ht="15" x14ac:dyDescent="0.25">
      <c r="B14" s="119" t="s">
        <v>1226</v>
      </c>
      <c r="C14" s="117" t="s">
        <v>523</v>
      </c>
      <c r="D14" s="122">
        <f t="shared" ref="D14:H19" si="1">INDEX(ACS_1YR_MasterData, MATCH($C14&amp;" County_"&amp;D$5, ACS_1YR_MasterData_County_Year, 0), MATCH($B14, ACS_1YR_MasterData_H, 0))</f>
        <v>0.12937660000000001</v>
      </c>
      <c r="E14" s="122">
        <f t="shared" si="1"/>
        <v>0.1374851</v>
      </c>
      <c r="F14" s="122">
        <f t="shared" si="1"/>
        <v>0.14371690000000001</v>
      </c>
      <c r="G14" s="122">
        <f t="shared" si="1"/>
        <v>0.15121370000000001</v>
      </c>
      <c r="H14" s="122">
        <f t="shared" si="1"/>
        <v>0.1597124</v>
      </c>
      <c r="I14" s="122"/>
    </row>
    <row r="15" spans="1:9" ht="15" x14ac:dyDescent="0.25">
      <c r="B15" s="119" t="s">
        <v>1226</v>
      </c>
      <c r="C15" s="118" t="s">
        <v>524</v>
      </c>
      <c r="D15" s="122">
        <f t="shared" si="1"/>
        <v>5.9624999999999997E-2</v>
      </c>
      <c r="E15" s="122">
        <f t="shared" si="1"/>
        <v>5.5226600000000001E-2</v>
      </c>
      <c r="F15" s="122">
        <f t="shared" si="1"/>
        <v>6.6401100000000005E-2</v>
      </c>
      <c r="G15" s="122">
        <f t="shared" si="1"/>
        <v>6.4371899999999996E-2</v>
      </c>
      <c r="H15" s="122">
        <f t="shared" si="1"/>
        <v>6.3405400000000001E-2</v>
      </c>
      <c r="I15" s="122"/>
    </row>
    <row r="16" spans="1:9" ht="15" x14ac:dyDescent="0.25">
      <c r="B16" s="119" t="s">
        <v>1226</v>
      </c>
      <c r="C16" s="118" t="s">
        <v>525</v>
      </c>
      <c r="D16" s="122">
        <f t="shared" si="1"/>
        <v>8.2435300000000003E-2</v>
      </c>
      <c r="E16" s="122">
        <f t="shared" si="1"/>
        <v>8.3083299999999999E-2</v>
      </c>
      <c r="F16" s="122">
        <f t="shared" si="1"/>
        <v>8.8311000000000001E-2</v>
      </c>
      <c r="G16" s="122">
        <f t="shared" si="1"/>
        <v>0.1152707</v>
      </c>
      <c r="H16" s="122">
        <f t="shared" si="1"/>
        <v>0.1016961</v>
      </c>
      <c r="I16" s="122"/>
    </row>
    <row r="17" spans="2:9" ht="15" x14ac:dyDescent="0.25">
      <c r="B17" s="119" t="s">
        <v>1226</v>
      </c>
      <c r="C17" s="118" t="s">
        <v>526</v>
      </c>
      <c r="D17" s="122">
        <f t="shared" si="1"/>
        <v>7.0863700000000002E-2</v>
      </c>
      <c r="E17" s="122">
        <f t="shared" si="1"/>
        <v>6.7096000000000003E-2</v>
      </c>
      <c r="F17" s="122">
        <f t="shared" si="1"/>
        <v>7.4795799999999996E-2</v>
      </c>
      <c r="G17" s="122">
        <f t="shared" si="1"/>
        <v>9.57403E-2</v>
      </c>
      <c r="H17" s="122">
        <f t="shared" si="1"/>
        <v>7.6471200000000003E-2</v>
      </c>
      <c r="I17" s="122"/>
    </row>
    <row r="18" spans="2:9" ht="15" x14ac:dyDescent="0.25">
      <c r="B18" s="119" t="s">
        <v>1226</v>
      </c>
      <c r="C18" s="136" t="s">
        <v>527</v>
      </c>
      <c r="D18" s="122">
        <f t="shared" si="1"/>
        <v>4.6460000000000001E-2</v>
      </c>
      <c r="E18" s="122">
        <f t="shared" si="1"/>
        <v>6.2868099999999996E-2</v>
      </c>
      <c r="F18" s="122">
        <f t="shared" si="1"/>
        <v>7.4350299999999994E-2</v>
      </c>
      <c r="G18" s="122">
        <f t="shared" si="1"/>
        <v>8.0640100000000006E-2</v>
      </c>
      <c r="H18" s="122">
        <f t="shared" si="1"/>
        <v>6.0380700000000002E-2</v>
      </c>
      <c r="I18" s="122"/>
    </row>
    <row r="19" spans="2:9" ht="15" x14ac:dyDescent="0.25">
      <c r="B19" s="127" t="s">
        <v>1226</v>
      </c>
      <c r="C19" s="137" t="s">
        <v>528</v>
      </c>
      <c r="D19" s="130">
        <f t="shared" si="1"/>
        <v>6.7570900000000003E-2</v>
      </c>
      <c r="E19" s="130">
        <f t="shared" si="1"/>
        <v>6.2472699999999999E-2</v>
      </c>
      <c r="F19" s="130">
        <f t="shared" si="1"/>
        <v>7.3797199999999993E-2</v>
      </c>
      <c r="G19" s="130">
        <f t="shared" si="1"/>
        <v>7.5147699999999998E-2</v>
      </c>
      <c r="H19" s="130">
        <f t="shared" si="1"/>
        <v>7.8425300000000003E-2</v>
      </c>
      <c r="I19" s="122"/>
    </row>
    <row r="21" spans="2:9" ht="15" x14ac:dyDescent="0.25">
      <c r="B21" s="127" t="s">
        <v>533</v>
      </c>
      <c r="C21" s="126"/>
      <c r="D21" s="128">
        <v>2008</v>
      </c>
      <c r="E21" s="128">
        <v>2009</v>
      </c>
      <c r="F21" s="128">
        <v>2010</v>
      </c>
      <c r="G21" s="128">
        <v>2011</v>
      </c>
      <c r="H21" s="128">
        <v>2012</v>
      </c>
    </row>
    <row r="22" spans="2:9" ht="15" x14ac:dyDescent="0.25">
      <c r="B22" s="119" t="s">
        <v>1518</v>
      </c>
      <c r="C22" s="117" t="s">
        <v>523</v>
      </c>
      <c r="D22" s="122">
        <f t="shared" ref="D22:H27" si="2">INDEX(ACS_1YR_MasterData, MATCH($C22&amp;" County_"&amp;D$5, ACS_1YR_MasterData_County_Year, 0), MATCH($B22, ACS_1YR_MasterData_H, 0))</f>
        <v>0.26795999999999998</v>
      </c>
      <c r="E22" s="122">
        <f t="shared" si="2"/>
        <v>0.27550180000000002</v>
      </c>
      <c r="F22" s="122">
        <f t="shared" si="2"/>
        <v>0.2756865</v>
      </c>
      <c r="G22" s="122">
        <f t="shared" si="2"/>
        <v>0.28182859999999998</v>
      </c>
      <c r="H22" s="122">
        <f t="shared" si="2"/>
        <v>0.28293299999999999</v>
      </c>
    </row>
    <row r="23" spans="2:9" ht="15" x14ac:dyDescent="0.25">
      <c r="B23" s="119" t="s">
        <v>1518</v>
      </c>
      <c r="C23" s="118" t="s">
        <v>524</v>
      </c>
      <c r="D23" s="122">
        <f t="shared" si="2"/>
        <v>0.1521537</v>
      </c>
      <c r="E23" s="122">
        <f t="shared" si="2"/>
        <v>0.15052489999999999</v>
      </c>
      <c r="F23" s="122">
        <f t="shared" si="2"/>
        <v>0.14603749999999999</v>
      </c>
      <c r="G23" s="122">
        <f t="shared" si="2"/>
        <v>0.1552955</v>
      </c>
      <c r="H23" s="122">
        <f t="shared" si="2"/>
        <v>0.14710790000000001</v>
      </c>
    </row>
    <row r="24" spans="2:9" ht="15" x14ac:dyDescent="0.25">
      <c r="B24" s="119" t="s">
        <v>1518</v>
      </c>
      <c r="C24" s="118" t="s">
        <v>525</v>
      </c>
      <c r="D24" s="122">
        <f t="shared" si="2"/>
        <v>0.17515649999999999</v>
      </c>
      <c r="E24" s="122">
        <f t="shared" si="2"/>
        <v>0.15413389999999999</v>
      </c>
      <c r="F24" s="122">
        <f t="shared" si="2"/>
        <v>0.1798314</v>
      </c>
      <c r="G24" s="122">
        <f t="shared" si="2"/>
        <v>0.18931909999999999</v>
      </c>
      <c r="H24" s="122">
        <f t="shared" si="2"/>
        <v>0.1769792</v>
      </c>
    </row>
    <row r="25" spans="2:9" ht="15" x14ac:dyDescent="0.25">
      <c r="B25" s="119" t="s">
        <v>1518</v>
      </c>
      <c r="C25" s="118" t="s">
        <v>526</v>
      </c>
      <c r="D25" s="122">
        <f t="shared" si="2"/>
        <v>0.15326210000000001</v>
      </c>
      <c r="E25" s="122">
        <f t="shared" si="2"/>
        <v>0.13961809999999999</v>
      </c>
      <c r="F25" s="122">
        <f t="shared" si="2"/>
        <v>0.16279170000000001</v>
      </c>
      <c r="G25" s="122">
        <f t="shared" si="2"/>
        <v>0.16756550000000001</v>
      </c>
      <c r="H25" s="122">
        <f t="shared" si="2"/>
        <v>0.1766549</v>
      </c>
    </row>
    <row r="26" spans="2:9" ht="15" x14ac:dyDescent="0.25">
      <c r="B26" s="119" t="s">
        <v>1518</v>
      </c>
      <c r="C26" s="136" t="s">
        <v>527</v>
      </c>
      <c r="D26" s="122">
        <f t="shared" si="2"/>
        <v>0.1045741</v>
      </c>
      <c r="E26" s="122">
        <f t="shared" si="2"/>
        <v>0.13985059999999999</v>
      </c>
      <c r="F26" s="122">
        <f t="shared" si="2"/>
        <v>0.14265330000000001</v>
      </c>
      <c r="G26" s="122">
        <f t="shared" si="2"/>
        <v>0.1534066</v>
      </c>
      <c r="H26" s="122">
        <f t="shared" si="2"/>
        <v>0.1438333</v>
      </c>
    </row>
    <row r="27" spans="2:9" ht="15" x14ac:dyDescent="0.25">
      <c r="B27" s="127" t="s">
        <v>1518</v>
      </c>
      <c r="C27" s="137" t="s">
        <v>528</v>
      </c>
      <c r="D27" s="130">
        <f t="shared" si="2"/>
        <v>0.17721210000000001</v>
      </c>
      <c r="E27" s="130">
        <f t="shared" si="2"/>
        <v>0.16504930000000001</v>
      </c>
      <c r="F27" s="130">
        <f t="shared" si="2"/>
        <v>0.14410619999999999</v>
      </c>
      <c r="G27" s="130">
        <f t="shared" si="2"/>
        <v>0.17069309999999999</v>
      </c>
      <c r="H27" s="130">
        <f t="shared" si="2"/>
        <v>0.15420229999999999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GT31"/>
  <sheetViews>
    <sheetView zoomScale="65" zoomScaleNormal="65" workbookViewId="0">
      <pane xSplit="1" ySplit="1" topLeftCell="B2" activePane="bottomRight" state="frozen"/>
      <selection pane="topRight" activeCell="B1" sqref="B1"/>
      <selection pane="bottomLeft" activeCell="A2" sqref="A2"/>
      <selection pane="bottomRight" activeCell="D1" sqref="D1:D31"/>
    </sheetView>
  </sheetViews>
  <sheetFormatPr defaultRowHeight="15" x14ac:dyDescent="0.25"/>
  <cols>
    <col min="1" max="1" width="30.7109375" style="139" customWidth="1"/>
    <col min="2" max="16384" width="9.140625" style="139"/>
  </cols>
  <sheetData>
    <row r="1" spans="1:1554" s="140" customFormat="1" ht="64.5" x14ac:dyDescent="0.25">
      <c r="A1" s="129" t="s">
        <v>130</v>
      </c>
      <c r="B1" s="129" t="s">
        <v>522</v>
      </c>
      <c r="C1" s="129" t="s">
        <v>521</v>
      </c>
      <c r="D1" s="129" t="s">
        <v>534</v>
      </c>
      <c r="E1" s="129" t="s">
        <v>520</v>
      </c>
      <c r="F1" s="129" t="s">
        <v>519</v>
      </c>
      <c r="G1" s="129" t="s">
        <v>518</v>
      </c>
      <c r="H1" s="129" t="s">
        <v>517</v>
      </c>
      <c r="I1" s="129" t="s">
        <v>516</v>
      </c>
      <c r="J1" s="129" t="s">
        <v>515</v>
      </c>
      <c r="K1" s="129" t="s">
        <v>514</v>
      </c>
      <c r="L1" s="129" t="s">
        <v>513</v>
      </c>
      <c r="M1" s="129" t="s">
        <v>512</v>
      </c>
      <c r="N1" s="129" t="s">
        <v>511</v>
      </c>
      <c r="O1" s="129" t="s">
        <v>510</v>
      </c>
      <c r="P1" s="129" t="s">
        <v>509</v>
      </c>
      <c r="Q1" s="129" t="s">
        <v>508</v>
      </c>
      <c r="R1" s="129" t="s">
        <v>507</v>
      </c>
      <c r="S1" s="129" t="s">
        <v>506</v>
      </c>
      <c r="T1" s="129" t="s">
        <v>505</v>
      </c>
      <c r="U1" s="129" t="s">
        <v>504</v>
      </c>
      <c r="V1" s="129" t="s">
        <v>503</v>
      </c>
      <c r="W1" s="129" t="s">
        <v>502</v>
      </c>
      <c r="X1" s="129" t="s">
        <v>501</v>
      </c>
      <c r="Y1" s="129" t="s">
        <v>500</v>
      </c>
      <c r="Z1" s="129" t="s">
        <v>499</v>
      </c>
      <c r="AA1" s="129" t="s">
        <v>498</v>
      </c>
      <c r="AB1" s="129" t="s">
        <v>497</v>
      </c>
      <c r="AC1" s="129" t="s">
        <v>496</v>
      </c>
      <c r="AD1" s="129" t="s">
        <v>495</v>
      </c>
      <c r="AE1" s="129" t="s">
        <v>494</v>
      </c>
      <c r="AF1" s="129" t="s">
        <v>493</v>
      </c>
      <c r="AG1" s="129" t="s">
        <v>492</v>
      </c>
      <c r="AH1" s="129" t="s">
        <v>491</v>
      </c>
      <c r="AI1" s="129" t="s">
        <v>490</v>
      </c>
      <c r="AJ1" s="129" t="s">
        <v>489</v>
      </c>
      <c r="AK1" s="129" t="s">
        <v>488</v>
      </c>
      <c r="AL1" s="129" t="s">
        <v>487</v>
      </c>
      <c r="AM1" s="129" t="s">
        <v>486</v>
      </c>
      <c r="AN1" s="129" t="s">
        <v>485</v>
      </c>
      <c r="AO1" s="129" t="s">
        <v>484</v>
      </c>
      <c r="AP1" s="129" t="s">
        <v>483</v>
      </c>
      <c r="AQ1" s="129" t="s">
        <v>482</v>
      </c>
      <c r="AR1" s="129" t="s">
        <v>481</v>
      </c>
      <c r="AS1" s="129" t="s">
        <v>480</v>
      </c>
      <c r="AT1" s="129" t="s">
        <v>479</v>
      </c>
      <c r="AU1" s="129" t="s">
        <v>478</v>
      </c>
      <c r="AV1" s="129" t="s">
        <v>477</v>
      </c>
      <c r="AW1" s="129" t="s">
        <v>476</v>
      </c>
      <c r="AX1" s="129" t="s">
        <v>475</v>
      </c>
      <c r="AY1" s="129" t="s">
        <v>474</v>
      </c>
      <c r="AZ1" s="129" t="s">
        <v>473</v>
      </c>
      <c r="BA1" s="129" t="s">
        <v>472</v>
      </c>
      <c r="BB1" s="129" t="s">
        <v>471</v>
      </c>
      <c r="BC1" s="129" t="s">
        <v>470</v>
      </c>
      <c r="BD1" s="129" t="s">
        <v>469</v>
      </c>
      <c r="BE1" s="129" t="s">
        <v>468</v>
      </c>
      <c r="BF1" s="129" t="s">
        <v>467</v>
      </c>
      <c r="BG1" s="129" t="s">
        <v>466</v>
      </c>
      <c r="BH1" s="129" t="s">
        <v>465</v>
      </c>
      <c r="BI1" s="129" t="s">
        <v>464</v>
      </c>
      <c r="BJ1" s="129" t="s">
        <v>463</v>
      </c>
      <c r="BK1" s="129" t="s">
        <v>462</v>
      </c>
      <c r="BL1" s="129" t="s">
        <v>461</v>
      </c>
      <c r="BM1" s="129" t="s">
        <v>460</v>
      </c>
      <c r="BN1" s="129" t="s">
        <v>459</v>
      </c>
      <c r="BO1" s="129" t="s">
        <v>458</v>
      </c>
      <c r="BP1" s="129" t="s">
        <v>457</v>
      </c>
      <c r="BQ1" s="129" t="s">
        <v>456</v>
      </c>
      <c r="BR1" s="129" t="s">
        <v>455</v>
      </c>
      <c r="BS1" s="129" t="s">
        <v>454</v>
      </c>
      <c r="BT1" s="129" t="s">
        <v>453</v>
      </c>
      <c r="BU1" s="129" t="s">
        <v>452</v>
      </c>
      <c r="BV1" s="129" t="s">
        <v>451</v>
      </c>
      <c r="BW1" s="129" t="s">
        <v>450</v>
      </c>
      <c r="BX1" s="129" t="s">
        <v>449</v>
      </c>
      <c r="BY1" s="129" t="s">
        <v>448</v>
      </c>
      <c r="BZ1" s="129" t="s">
        <v>447</v>
      </c>
      <c r="CA1" s="129" t="s">
        <v>446</v>
      </c>
      <c r="CB1" s="129" t="s">
        <v>445</v>
      </c>
      <c r="CC1" s="129" t="s">
        <v>444</v>
      </c>
      <c r="CD1" s="129" t="s">
        <v>443</v>
      </c>
      <c r="CE1" s="129" t="s">
        <v>442</v>
      </c>
      <c r="CF1" s="129" t="s">
        <v>441</v>
      </c>
      <c r="CG1" s="129" t="s">
        <v>440</v>
      </c>
      <c r="CH1" s="129" t="s">
        <v>439</v>
      </c>
      <c r="CI1" s="129" t="s">
        <v>438</v>
      </c>
      <c r="CJ1" s="129" t="s">
        <v>437</v>
      </c>
      <c r="CK1" s="129" t="s">
        <v>436</v>
      </c>
      <c r="CL1" s="129" t="s">
        <v>435</v>
      </c>
      <c r="CM1" s="129" t="s">
        <v>434</v>
      </c>
      <c r="CN1" s="129" t="s">
        <v>433</v>
      </c>
      <c r="CO1" s="129" t="s">
        <v>432</v>
      </c>
      <c r="CP1" s="129" t="s">
        <v>431</v>
      </c>
      <c r="CQ1" s="129" t="s">
        <v>430</v>
      </c>
      <c r="CR1" s="129" t="s">
        <v>429</v>
      </c>
      <c r="CS1" s="129" t="s">
        <v>428</v>
      </c>
      <c r="CT1" s="129" t="s">
        <v>427</v>
      </c>
      <c r="CU1" s="129" t="s">
        <v>426</v>
      </c>
      <c r="CV1" s="129" t="s">
        <v>425</v>
      </c>
      <c r="CW1" s="129" t="s">
        <v>424</v>
      </c>
      <c r="CX1" s="129" t="s">
        <v>423</v>
      </c>
      <c r="CY1" s="129" t="s">
        <v>422</v>
      </c>
      <c r="CZ1" s="129" t="s">
        <v>421</v>
      </c>
      <c r="DA1" s="129" t="s">
        <v>420</v>
      </c>
      <c r="DB1" s="129" t="s">
        <v>419</v>
      </c>
      <c r="DC1" s="129" t="s">
        <v>418</v>
      </c>
      <c r="DD1" s="129" t="s">
        <v>417</v>
      </c>
      <c r="DE1" s="129" t="s">
        <v>416</v>
      </c>
      <c r="DF1" s="129" t="s">
        <v>415</v>
      </c>
      <c r="DG1" s="129" t="s">
        <v>414</v>
      </c>
      <c r="DH1" s="129" t="s">
        <v>413</v>
      </c>
      <c r="DI1" s="129" t="s">
        <v>412</v>
      </c>
      <c r="DJ1" s="129" t="s">
        <v>411</v>
      </c>
      <c r="DK1" s="129" t="s">
        <v>410</v>
      </c>
      <c r="DL1" s="129" t="s">
        <v>409</v>
      </c>
      <c r="DM1" s="129" t="s">
        <v>408</v>
      </c>
      <c r="DN1" s="129" t="s">
        <v>407</v>
      </c>
      <c r="DO1" s="129" t="s">
        <v>406</v>
      </c>
      <c r="DP1" s="129" t="s">
        <v>405</v>
      </c>
      <c r="DQ1" s="129" t="s">
        <v>1234</v>
      </c>
      <c r="DR1" s="129" t="s">
        <v>1235</v>
      </c>
      <c r="DS1" s="129" t="s">
        <v>404</v>
      </c>
      <c r="DT1" s="129" t="s">
        <v>403</v>
      </c>
      <c r="DU1" s="129" t="s">
        <v>1225</v>
      </c>
      <c r="DV1" s="129" t="s">
        <v>1224</v>
      </c>
      <c r="DW1" s="129" t="s">
        <v>402</v>
      </c>
      <c r="DX1" s="129" t="s">
        <v>401</v>
      </c>
      <c r="DY1" s="129" t="s">
        <v>1223</v>
      </c>
      <c r="DZ1" s="129" t="s">
        <v>1222</v>
      </c>
      <c r="EA1" s="129" t="s">
        <v>400</v>
      </c>
      <c r="EB1" s="129" t="s">
        <v>399</v>
      </c>
      <c r="EC1" s="129" t="s">
        <v>1221</v>
      </c>
      <c r="ED1" s="129" t="s">
        <v>1220</v>
      </c>
      <c r="EE1" s="129" t="s">
        <v>398</v>
      </c>
      <c r="EF1" s="129" t="s">
        <v>397</v>
      </c>
      <c r="EG1" s="129" t="s">
        <v>1219</v>
      </c>
      <c r="EH1" s="129" t="s">
        <v>1218</v>
      </c>
      <c r="EI1" s="129" t="s">
        <v>396</v>
      </c>
      <c r="EJ1" s="129" t="s">
        <v>395</v>
      </c>
      <c r="EK1" s="129" t="s">
        <v>1236</v>
      </c>
      <c r="EL1" s="129" t="s">
        <v>1226</v>
      </c>
      <c r="EM1" s="129" t="s">
        <v>394</v>
      </c>
      <c r="EN1" s="129" t="s">
        <v>393</v>
      </c>
      <c r="EO1" s="129" t="s">
        <v>1217</v>
      </c>
      <c r="EP1" s="129" t="s">
        <v>1216</v>
      </c>
      <c r="EQ1" s="129" t="s">
        <v>392</v>
      </c>
      <c r="ER1" s="129" t="s">
        <v>391</v>
      </c>
      <c r="ES1" s="129" t="s">
        <v>1215</v>
      </c>
      <c r="ET1" s="129" t="s">
        <v>1214</v>
      </c>
      <c r="EU1" s="129" t="s">
        <v>390</v>
      </c>
      <c r="EV1" s="129" t="s">
        <v>389</v>
      </c>
      <c r="EW1" s="129" t="s">
        <v>1213</v>
      </c>
      <c r="EX1" s="129" t="s">
        <v>1212</v>
      </c>
      <c r="EY1" s="129" t="s">
        <v>388</v>
      </c>
      <c r="EZ1" s="129" t="s">
        <v>387</v>
      </c>
      <c r="FA1" s="129" t="s">
        <v>1211</v>
      </c>
      <c r="FB1" s="129" t="s">
        <v>1210</v>
      </c>
      <c r="FC1" s="129" t="s">
        <v>386</v>
      </c>
      <c r="FD1" s="129" t="s">
        <v>385</v>
      </c>
      <c r="FE1" s="129" t="s">
        <v>384</v>
      </c>
      <c r="FF1" s="129" t="s">
        <v>383</v>
      </c>
      <c r="FG1" s="129" t="s">
        <v>1237</v>
      </c>
      <c r="FH1" s="129" t="s">
        <v>1238</v>
      </c>
      <c r="FI1" s="129" t="s">
        <v>382</v>
      </c>
      <c r="FJ1" s="129" t="s">
        <v>381</v>
      </c>
      <c r="FK1" s="129" t="s">
        <v>1209</v>
      </c>
      <c r="FL1" s="129" t="s">
        <v>1208</v>
      </c>
      <c r="FM1" s="129" t="s">
        <v>380</v>
      </c>
      <c r="FN1" s="129" t="s">
        <v>379</v>
      </c>
      <c r="FO1" s="129" t="s">
        <v>1207</v>
      </c>
      <c r="FP1" s="129" t="s">
        <v>1206</v>
      </c>
      <c r="FQ1" s="129" t="s">
        <v>378</v>
      </c>
      <c r="FR1" s="129" t="s">
        <v>377</v>
      </c>
      <c r="FS1" s="129" t="s">
        <v>1205</v>
      </c>
      <c r="FT1" s="129" t="s">
        <v>1204</v>
      </c>
      <c r="FU1" s="129" t="s">
        <v>376</v>
      </c>
      <c r="FV1" s="129" t="s">
        <v>375</v>
      </c>
      <c r="FW1" s="129" t="s">
        <v>1203</v>
      </c>
      <c r="FX1" s="129" t="s">
        <v>1202</v>
      </c>
      <c r="FY1" s="129" t="s">
        <v>374</v>
      </c>
      <c r="FZ1" s="129" t="s">
        <v>373</v>
      </c>
      <c r="GA1" s="129" t="s">
        <v>1239</v>
      </c>
      <c r="GB1" s="129" t="s">
        <v>1240</v>
      </c>
      <c r="GC1" s="129" t="s">
        <v>372</v>
      </c>
      <c r="GD1" s="129" t="s">
        <v>371</v>
      </c>
      <c r="GE1" s="129" t="s">
        <v>1201</v>
      </c>
      <c r="GF1" s="129" t="s">
        <v>1200</v>
      </c>
      <c r="GG1" s="129" t="s">
        <v>370</v>
      </c>
      <c r="GH1" s="129" t="s">
        <v>369</v>
      </c>
      <c r="GI1" s="129" t="s">
        <v>1199</v>
      </c>
      <c r="GJ1" s="129" t="s">
        <v>1198</v>
      </c>
      <c r="GK1" s="129" t="s">
        <v>368</v>
      </c>
      <c r="GL1" s="129" t="s">
        <v>367</v>
      </c>
      <c r="GM1" s="129" t="s">
        <v>1197</v>
      </c>
      <c r="GN1" s="129" t="s">
        <v>1196</v>
      </c>
      <c r="GO1" s="129" t="s">
        <v>366</v>
      </c>
      <c r="GP1" s="129" t="s">
        <v>365</v>
      </c>
      <c r="GQ1" s="129" t="s">
        <v>1195</v>
      </c>
      <c r="GR1" s="129" t="s">
        <v>1194</v>
      </c>
      <c r="GS1" s="129" t="s">
        <v>364</v>
      </c>
      <c r="GT1" s="129" t="s">
        <v>363</v>
      </c>
      <c r="GU1" s="129" t="s">
        <v>362</v>
      </c>
      <c r="GV1" s="129" t="s">
        <v>361</v>
      </c>
      <c r="GW1" s="129" t="s">
        <v>360</v>
      </c>
      <c r="GX1" s="129" t="s">
        <v>359</v>
      </c>
      <c r="GY1" s="129" t="s">
        <v>358</v>
      </c>
      <c r="GZ1" s="129" t="s">
        <v>357</v>
      </c>
      <c r="HA1" s="129" t="s">
        <v>356</v>
      </c>
      <c r="HB1" s="129" t="s">
        <v>355</v>
      </c>
      <c r="HC1" s="129" t="s">
        <v>354</v>
      </c>
      <c r="HD1" s="129" t="s">
        <v>353</v>
      </c>
      <c r="HE1" s="129" t="s">
        <v>352</v>
      </c>
      <c r="HF1" s="129" t="s">
        <v>351</v>
      </c>
      <c r="HG1" s="129" t="s">
        <v>350</v>
      </c>
      <c r="HH1" s="129" t="s">
        <v>349</v>
      </c>
      <c r="HI1" s="129" t="s">
        <v>348</v>
      </c>
      <c r="HJ1" s="129" t="s">
        <v>347</v>
      </c>
      <c r="HK1" s="129" t="s">
        <v>346</v>
      </c>
      <c r="HL1" s="129" t="s">
        <v>345</v>
      </c>
      <c r="HM1" s="129" t="s">
        <v>344</v>
      </c>
      <c r="HN1" s="129" t="s">
        <v>343</v>
      </c>
      <c r="HO1" s="129" t="s">
        <v>342</v>
      </c>
      <c r="HP1" s="129" t="s">
        <v>341</v>
      </c>
      <c r="HQ1" s="129" t="s">
        <v>340</v>
      </c>
      <c r="HR1" s="129" t="s">
        <v>339</v>
      </c>
      <c r="HS1" s="129" t="s">
        <v>338</v>
      </c>
      <c r="HT1" s="129" t="s">
        <v>337</v>
      </c>
      <c r="HU1" s="129" t="s">
        <v>336</v>
      </c>
      <c r="HV1" s="129" t="s">
        <v>335</v>
      </c>
      <c r="HW1" s="129" t="s">
        <v>334</v>
      </c>
      <c r="HX1" s="129" t="s">
        <v>333</v>
      </c>
      <c r="HY1" s="129" t="s">
        <v>332</v>
      </c>
      <c r="HZ1" s="129" t="s">
        <v>331</v>
      </c>
      <c r="IA1" s="129" t="s">
        <v>330</v>
      </c>
      <c r="IB1" s="129" t="s">
        <v>329</v>
      </c>
      <c r="IC1" s="129" t="s">
        <v>328</v>
      </c>
      <c r="ID1" s="129" t="s">
        <v>327</v>
      </c>
      <c r="IE1" s="129" t="s">
        <v>326</v>
      </c>
      <c r="IF1" s="129" t="s">
        <v>325</v>
      </c>
      <c r="IG1" s="129" t="s">
        <v>324</v>
      </c>
      <c r="IH1" s="129" t="s">
        <v>323</v>
      </c>
      <c r="II1" s="129" t="s">
        <v>322</v>
      </c>
      <c r="IJ1" s="129" t="s">
        <v>321</v>
      </c>
      <c r="IK1" s="129" t="s">
        <v>320</v>
      </c>
      <c r="IL1" s="129" t="s">
        <v>319</v>
      </c>
      <c r="IM1" s="129" t="s">
        <v>318</v>
      </c>
      <c r="IN1" s="129" t="s">
        <v>317</v>
      </c>
      <c r="IO1" s="129" t="s">
        <v>316</v>
      </c>
      <c r="IP1" s="129" t="s">
        <v>315</v>
      </c>
      <c r="IQ1" s="129" t="s">
        <v>314</v>
      </c>
      <c r="IR1" s="129" t="s">
        <v>313</v>
      </c>
      <c r="IS1" s="129" t="s">
        <v>312</v>
      </c>
      <c r="IT1" s="129" t="s">
        <v>311</v>
      </c>
      <c r="IU1" s="129" t="s">
        <v>310</v>
      </c>
      <c r="IV1" s="129" t="s">
        <v>309</v>
      </c>
      <c r="IW1" s="129" t="s">
        <v>308</v>
      </c>
      <c r="IX1" s="129" t="s">
        <v>307</v>
      </c>
      <c r="IY1" s="129" t="s">
        <v>306</v>
      </c>
      <c r="IZ1" s="129" t="s">
        <v>305</v>
      </c>
      <c r="JA1" s="129" t="s">
        <v>304</v>
      </c>
      <c r="JB1" s="129" t="s">
        <v>303</v>
      </c>
      <c r="JC1" s="129" t="s">
        <v>302</v>
      </c>
      <c r="JD1" s="129" t="s">
        <v>301</v>
      </c>
      <c r="JE1" s="129" t="s">
        <v>300</v>
      </c>
      <c r="JF1" s="129" t="s">
        <v>299</v>
      </c>
      <c r="JG1" s="129" t="s">
        <v>298</v>
      </c>
      <c r="JH1" s="129" t="s">
        <v>297</v>
      </c>
      <c r="JI1" s="129" t="s">
        <v>296</v>
      </c>
      <c r="JJ1" s="129" t="s">
        <v>295</v>
      </c>
      <c r="JK1" s="129" t="s">
        <v>294</v>
      </c>
      <c r="JL1" s="129" t="s">
        <v>293</v>
      </c>
      <c r="JM1" s="129" t="s">
        <v>292</v>
      </c>
      <c r="JN1" s="129" t="s">
        <v>291</v>
      </c>
      <c r="JO1" s="129" t="s">
        <v>290</v>
      </c>
      <c r="JP1" s="129" t="s">
        <v>289</v>
      </c>
      <c r="JQ1" s="129" t="s">
        <v>288</v>
      </c>
      <c r="JR1" s="129" t="s">
        <v>287</v>
      </c>
      <c r="JS1" s="129" t="s">
        <v>286</v>
      </c>
      <c r="JT1" s="129" t="s">
        <v>285</v>
      </c>
      <c r="JU1" s="129" t="s">
        <v>284</v>
      </c>
      <c r="JV1" s="129" t="s">
        <v>283</v>
      </c>
      <c r="JW1" s="129" t="s">
        <v>282</v>
      </c>
      <c r="JX1" s="129" t="s">
        <v>281</v>
      </c>
      <c r="JY1" s="129" t="s">
        <v>280</v>
      </c>
      <c r="JZ1" s="129" t="s">
        <v>279</v>
      </c>
      <c r="KA1" s="129" t="s">
        <v>278</v>
      </c>
      <c r="KB1" s="129" t="s">
        <v>277</v>
      </c>
      <c r="KC1" s="129" t="s">
        <v>276</v>
      </c>
      <c r="KD1" s="129" t="s">
        <v>275</v>
      </c>
      <c r="KE1" s="129" t="s">
        <v>274</v>
      </c>
      <c r="KF1" s="129" t="s">
        <v>273</v>
      </c>
      <c r="KG1" s="129" t="s">
        <v>272</v>
      </c>
      <c r="KH1" s="129" t="s">
        <v>271</v>
      </c>
      <c r="KI1" s="129" t="s">
        <v>270</v>
      </c>
      <c r="KJ1" s="129" t="s">
        <v>269</v>
      </c>
      <c r="KK1" s="129" t="s">
        <v>268</v>
      </c>
      <c r="KL1" s="129" t="s">
        <v>267</v>
      </c>
      <c r="KM1" s="129" t="s">
        <v>266</v>
      </c>
      <c r="KN1" s="129" t="s">
        <v>265</v>
      </c>
      <c r="KO1" s="129" t="s">
        <v>264</v>
      </c>
      <c r="KP1" s="129" t="s">
        <v>263</v>
      </c>
      <c r="KQ1" s="129" t="s">
        <v>262</v>
      </c>
      <c r="KR1" s="129" t="s">
        <v>261</v>
      </c>
      <c r="KS1" s="129" t="s">
        <v>260</v>
      </c>
      <c r="KT1" s="129" t="s">
        <v>259</v>
      </c>
      <c r="KU1" s="129" t="s">
        <v>258</v>
      </c>
      <c r="KV1" s="129" t="s">
        <v>257</v>
      </c>
      <c r="KW1" s="129" t="s">
        <v>256</v>
      </c>
      <c r="KX1" s="129" t="s">
        <v>255</v>
      </c>
      <c r="KY1" s="129" t="s">
        <v>254</v>
      </c>
      <c r="KZ1" s="129" t="s">
        <v>253</v>
      </c>
      <c r="LA1" s="129" t="s">
        <v>252</v>
      </c>
      <c r="LB1" s="129" t="s">
        <v>251</v>
      </c>
      <c r="LC1" s="129" t="s">
        <v>250</v>
      </c>
      <c r="LD1" s="129" t="s">
        <v>249</v>
      </c>
      <c r="LE1" s="129" t="s">
        <v>248</v>
      </c>
      <c r="LF1" s="129" t="s">
        <v>247</v>
      </c>
      <c r="LG1" s="129" t="s">
        <v>246</v>
      </c>
      <c r="LH1" s="129" t="s">
        <v>245</v>
      </c>
      <c r="LI1" s="129" t="s">
        <v>244</v>
      </c>
      <c r="LJ1" s="129" t="s">
        <v>243</v>
      </c>
      <c r="LK1" s="129" t="s">
        <v>242</v>
      </c>
      <c r="LL1" s="129" t="s">
        <v>241</v>
      </c>
      <c r="LM1" s="129" t="s">
        <v>240</v>
      </c>
      <c r="LN1" s="129" t="s">
        <v>239</v>
      </c>
      <c r="LO1" s="129" t="s">
        <v>238</v>
      </c>
      <c r="LP1" s="129" t="s">
        <v>237</v>
      </c>
      <c r="LQ1" s="129" t="s">
        <v>236</v>
      </c>
      <c r="LR1" s="129" t="s">
        <v>235</v>
      </c>
      <c r="LS1" s="129" t="s">
        <v>234</v>
      </c>
      <c r="LT1" s="129" t="s">
        <v>233</v>
      </c>
      <c r="LU1" s="129" t="s">
        <v>232</v>
      </c>
      <c r="LV1" s="129" t="s">
        <v>231</v>
      </c>
      <c r="LW1" s="129" t="s">
        <v>230</v>
      </c>
      <c r="LX1" s="129" t="s">
        <v>229</v>
      </c>
      <c r="LY1" s="129" t="s">
        <v>228</v>
      </c>
      <c r="LZ1" s="129" t="s">
        <v>227</v>
      </c>
      <c r="MA1" s="129" t="s">
        <v>226</v>
      </c>
      <c r="MB1" s="129" t="s">
        <v>225</v>
      </c>
      <c r="MC1" s="129" t="s">
        <v>224</v>
      </c>
      <c r="MD1" s="129" t="s">
        <v>223</v>
      </c>
      <c r="ME1" s="129" t="s">
        <v>222</v>
      </c>
      <c r="MF1" s="129" t="s">
        <v>221</v>
      </c>
      <c r="MG1" s="129" t="s">
        <v>220</v>
      </c>
      <c r="MH1" s="129" t="s">
        <v>219</v>
      </c>
      <c r="MI1" s="129" t="s">
        <v>218</v>
      </c>
      <c r="MJ1" s="129" t="s">
        <v>217</v>
      </c>
      <c r="MK1" s="129" t="s">
        <v>216</v>
      </c>
      <c r="ML1" s="129" t="s">
        <v>215</v>
      </c>
      <c r="MM1" s="129" t="s">
        <v>214</v>
      </c>
      <c r="MN1" s="129" t="s">
        <v>213</v>
      </c>
      <c r="MO1" s="129" t="s">
        <v>212</v>
      </c>
      <c r="MP1" s="129" t="s">
        <v>211</v>
      </c>
      <c r="MQ1" s="129" t="s">
        <v>210</v>
      </c>
      <c r="MR1" s="129" t="s">
        <v>209</v>
      </c>
      <c r="MS1" s="129" t="s">
        <v>208</v>
      </c>
      <c r="MT1" s="129" t="s">
        <v>207</v>
      </c>
      <c r="MU1" s="129" t="s">
        <v>206</v>
      </c>
      <c r="MV1" s="129" t="s">
        <v>205</v>
      </c>
      <c r="MW1" s="129" t="s">
        <v>204</v>
      </c>
      <c r="MX1" s="129" t="s">
        <v>203</v>
      </c>
      <c r="MY1" s="129" t="s">
        <v>202</v>
      </c>
      <c r="MZ1" s="129" t="s">
        <v>201</v>
      </c>
      <c r="NA1" s="129" t="s">
        <v>200</v>
      </c>
      <c r="NB1" s="129" t="s">
        <v>199</v>
      </c>
      <c r="NC1" s="129" t="s">
        <v>198</v>
      </c>
      <c r="ND1" s="129" t="s">
        <v>197</v>
      </c>
      <c r="NE1" s="129" t="s">
        <v>196</v>
      </c>
      <c r="NF1" s="129" t="s">
        <v>195</v>
      </c>
      <c r="NG1" s="129" t="s">
        <v>194</v>
      </c>
      <c r="NH1" s="129" t="s">
        <v>193</v>
      </c>
      <c r="NI1" s="129" t="s">
        <v>192</v>
      </c>
      <c r="NJ1" s="129" t="s">
        <v>191</v>
      </c>
      <c r="NK1" s="129" t="s">
        <v>190</v>
      </c>
      <c r="NL1" s="129" t="s">
        <v>189</v>
      </c>
      <c r="NM1" s="129" t="s">
        <v>188</v>
      </c>
      <c r="NN1" s="129" t="s">
        <v>187</v>
      </c>
      <c r="NO1" s="129" t="s">
        <v>186</v>
      </c>
      <c r="NP1" s="129" t="s">
        <v>185</v>
      </c>
      <c r="NQ1" s="129" t="s">
        <v>184</v>
      </c>
      <c r="NR1" s="129" t="s">
        <v>183</v>
      </c>
      <c r="NS1" s="129" t="s">
        <v>182</v>
      </c>
      <c r="NT1" s="129" t="s">
        <v>181</v>
      </c>
      <c r="NU1" s="129" t="s">
        <v>180</v>
      </c>
      <c r="NV1" s="129" t="s">
        <v>179</v>
      </c>
      <c r="NW1" s="129" t="s">
        <v>178</v>
      </c>
      <c r="NX1" s="129" t="s">
        <v>177</v>
      </c>
      <c r="NY1" s="129" t="s">
        <v>176</v>
      </c>
      <c r="NZ1" s="129" t="s">
        <v>175</v>
      </c>
      <c r="OA1" s="129" t="s">
        <v>174</v>
      </c>
      <c r="OB1" s="129" t="s">
        <v>173</v>
      </c>
      <c r="OC1" s="129" t="s">
        <v>172</v>
      </c>
      <c r="OD1" s="129" t="s">
        <v>171</v>
      </c>
      <c r="OE1" s="129" t="s">
        <v>170</v>
      </c>
      <c r="OF1" s="129" t="s">
        <v>169</v>
      </c>
      <c r="OG1" s="129" t="s">
        <v>168</v>
      </c>
      <c r="OH1" s="129" t="s">
        <v>167</v>
      </c>
      <c r="OI1" s="129" t="s">
        <v>166</v>
      </c>
      <c r="OJ1" s="129" t="s">
        <v>165</v>
      </c>
      <c r="OK1" s="129" t="s">
        <v>164</v>
      </c>
      <c r="OL1" s="129" t="s">
        <v>163</v>
      </c>
      <c r="OM1" s="129" t="s">
        <v>162</v>
      </c>
      <c r="ON1" s="129" t="s">
        <v>161</v>
      </c>
      <c r="OO1" s="129" t="s">
        <v>160</v>
      </c>
      <c r="OP1" s="129" t="s">
        <v>159</v>
      </c>
      <c r="OQ1" s="129" t="s">
        <v>158</v>
      </c>
      <c r="OR1" s="129" t="s">
        <v>157</v>
      </c>
      <c r="OS1" s="129" t="s">
        <v>156</v>
      </c>
      <c r="OT1" s="129" t="s">
        <v>155</v>
      </c>
      <c r="OU1" s="129" t="s">
        <v>154</v>
      </c>
      <c r="OV1" s="129" t="s">
        <v>153</v>
      </c>
      <c r="OW1" s="129" t="s">
        <v>152</v>
      </c>
      <c r="OX1" s="129" t="s">
        <v>151</v>
      </c>
      <c r="OY1" s="129" t="s">
        <v>150</v>
      </c>
      <c r="OZ1" s="129" t="s">
        <v>149</v>
      </c>
      <c r="PA1" s="129" t="s">
        <v>148</v>
      </c>
      <c r="PB1" s="129" t="s">
        <v>147</v>
      </c>
      <c r="PC1" s="129" t="s">
        <v>146</v>
      </c>
      <c r="PD1" s="129" t="s">
        <v>145</v>
      </c>
      <c r="PE1" s="129" t="s">
        <v>144</v>
      </c>
      <c r="PF1" s="129" t="s">
        <v>143</v>
      </c>
      <c r="PG1" s="129" t="s">
        <v>142</v>
      </c>
      <c r="PH1" s="129" t="s">
        <v>141</v>
      </c>
      <c r="PI1" s="129" t="s">
        <v>140</v>
      </c>
      <c r="PJ1" s="129" t="s">
        <v>139</v>
      </c>
      <c r="PK1" s="129" t="s">
        <v>138</v>
      </c>
      <c r="PL1" s="129" t="s">
        <v>137</v>
      </c>
      <c r="PM1" s="129" t="s">
        <v>1241</v>
      </c>
      <c r="PN1" s="129" t="s">
        <v>1242</v>
      </c>
      <c r="PO1" s="129" t="s">
        <v>1243</v>
      </c>
      <c r="PP1" s="129" t="s">
        <v>1244</v>
      </c>
      <c r="PQ1" s="129" t="s">
        <v>1245</v>
      </c>
      <c r="PR1" s="129" t="s">
        <v>1246</v>
      </c>
      <c r="PS1" s="129" t="s">
        <v>1247</v>
      </c>
      <c r="PT1" s="129" t="s">
        <v>1248</v>
      </c>
      <c r="PU1" s="129" t="s">
        <v>1249</v>
      </c>
      <c r="PV1" s="129" t="s">
        <v>1250</v>
      </c>
      <c r="PW1" s="129" t="s">
        <v>1251</v>
      </c>
      <c r="PX1" s="129" t="s">
        <v>1252</v>
      </c>
      <c r="PY1" s="129" t="s">
        <v>1253</v>
      </c>
      <c r="PZ1" s="129" t="s">
        <v>1254</v>
      </c>
      <c r="QA1" s="129" t="s">
        <v>1255</v>
      </c>
      <c r="QB1" s="129" t="s">
        <v>1256</v>
      </c>
      <c r="QC1" s="129" t="s">
        <v>1257</v>
      </c>
      <c r="QD1" s="129" t="s">
        <v>1258</v>
      </c>
      <c r="QE1" s="129" t="s">
        <v>1259</v>
      </c>
      <c r="QF1" s="129" t="s">
        <v>1260</v>
      </c>
      <c r="QG1" s="129" t="s">
        <v>1261</v>
      </c>
      <c r="QH1" s="129" t="s">
        <v>1262</v>
      </c>
      <c r="QI1" s="129" t="s">
        <v>1263</v>
      </c>
      <c r="QJ1" s="129" t="s">
        <v>1264</v>
      </c>
      <c r="QK1" s="129" t="s">
        <v>1265</v>
      </c>
      <c r="QL1" s="129" t="s">
        <v>1266</v>
      </c>
      <c r="QM1" s="129" t="s">
        <v>1267</v>
      </c>
      <c r="QN1" s="129" t="s">
        <v>1268</v>
      </c>
      <c r="QO1" s="129" t="s">
        <v>1269</v>
      </c>
      <c r="QP1" s="129" t="s">
        <v>1270</v>
      </c>
      <c r="QQ1" s="129" t="s">
        <v>1271</v>
      </c>
      <c r="QR1" s="129" t="s">
        <v>1272</v>
      </c>
      <c r="QS1" s="129" t="s">
        <v>1273</v>
      </c>
      <c r="QT1" s="129" t="s">
        <v>1274</v>
      </c>
      <c r="QU1" s="129" t="s">
        <v>1275</v>
      </c>
      <c r="QV1" s="129" t="s">
        <v>1276</v>
      </c>
      <c r="QW1" s="129" t="s">
        <v>1277</v>
      </c>
      <c r="QX1" s="129" t="s">
        <v>1278</v>
      </c>
      <c r="QY1" s="129" t="s">
        <v>1279</v>
      </c>
      <c r="QZ1" s="129" t="s">
        <v>1280</v>
      </c>
      <c r="RA1" s="129" t="s">
        <v>1281</v>
      </c>
      <c r="RB1" s="129" t="s">
        <v>1282</v>
      </c>
      <c r="RC1" s="129" t="s">
        <v>1283</v>
      </c>
      <c r="RD1" s="129" t="s">
        <v>1284</v>
      </c>
      <c r="RE1" s="129" t="s">
        <v>1285</v>
      </c>
      <c r="RF1" s="129" t="s">
        <v>1286</v>
      </c>
      <c r="RG1" s="129" t="s">
        <v>1287</v>
      </c>
      <c r="RH1" s="129" t="s">
        <v>1288</v>
      </c>
      <c r="RI1" s="129" t="s">
        <v>1289</v>
      </c>
      <c r="RJ1" s="129" t="s">
        <v>1290</v>
      </c>
      <c r="RK1" s="129" t="s">
        <v>1291</v>
      </c>
      <c r="RL1" s="129" t="s">
        <v>1292</v>
      </c>
      <c r="RM1" s="129" t="s">
        <v>1293</v>
      </c>
      <c r="RN1" s="129" t="s">
        <v>1294</v>
      </c>
      <c r="RO1" s="129" t="s">
        <v>1295</v>
      </c>
      <c r="RP1" s="129" t="s">
        <v>1296</v>
      </c>
      <c r="RQ1" s="129" t="s">
        <v>1297</v>
      </c>
      <c r="RR1" s="129" t="s">
        <v>1298</v>
      </c>
      <c r="RS1" s="129" t="s">
        <v>1299</v>
      </c>
      <c r="RT1" s="129" t="s">
        <v>1300</v>
      </c>
      <c r="RU1" s="129" t="s">
        <v>1301</v>
      </c>
      <c r="RV1" s="129" t="s">
        <v>1302</v>
      </c>
      <c r="RW1" s="129" t="s">
        <v>1303</v>
      </c>
      <c r="RX1" s="129" t="s">
        <v>1304</v>
      </c>
      <c r="RY1" s="129" t="s">
        <v>1305</v>
      </c>
      <c r="RZ1" s="129" t="s">
        <v>1306</v>
      </c>
      <c r="SA1" s="129" t="s">
        <v>1307</v>
      </c>
      <c r="SB1" s="129" t="s">
        <v>1308</v>
      </c>
      <c r="SC1" s="129" t="s">
        <v>1309</v>
      </c>
      <c r="SD1" s="129" t="s">
        <v>1310</v>
      </c>
      <c r="SE1" s="129" t="s">
        <v>1311</v>
      </c>
      <c r="SF1" s="129" t="s">
        <v>1312</v>
      </c>
      <c r="SG1" s="129" t="s">
        <v>1313</v>
      </c>
      <c r="SH1" s="129" t="s">
        <v>1314</v>
      </c>
      <c r="SI1" s="129" t="s">
        <v>1315</v>
      </c>
      <c r="SJ1" s="129" t="s">
        <v>1316</v>
      </c>
      <c r="SK1" s="129" t="s">
        <v>1317</v>
      </c>
      <c r="SL1" s="129" t="s">
        <v>1318</v>
      </c>
      <c r="SM1" s="129" t="s">
        <v>1319</v>
      </c>
      <c r="SN1" s="129" t="s">
        <v>1320</v>
      </c>
      <c r="SO1" s="129" t="s">
        <v>1321</v>
      </c>
      <c r="SP1" s="129" t="s">
        <v>1322</v>
      </c>
      <c r="SQ1" s="129" t="s">
        <v>1323</v>
      </c>
      <c r="SR1" s="129" t="s">
        <v>1324</v>
      </c>
      <c r="SS1" s="129" t="s">
        <v>1325</v>
      </c>
      <c r="ST1" s="129" t="s">
        <v>1326</v>
      </c>
      <c r="SU1" s="129" t="s">
        <v>1327</v>
      </c>
      <c r="SV1" s="129" t="s">
        <v>1328</v>
      </c>
      <c r="SW1" s="129" t="s">
        <v>1329</v>
      </c>
      <c r="SX1" s="129" t="s">
        <v>1330</v>
      </c>
      <c r="SY1" s="129" t="s">
        <v>1331</v>
      </c>
      <c r="SZ1" s="129" t="s">
        <v>1332</v>
      </c>
      <c r="TA1" s="129" t="s">
        <v>1333</v>
      </c>
      <c r="TB1" s="129" t="s">
        <v>1334</v>
      </c>
      <c r="TC1" s="129" t="s">
        <v>1335</v>
      </c>
      <c r="TD1" s="129" t="s">
        <v>1336</v>
      </c>
      <c r="TE1" s="129" t="s">
        <v>1337</v>
      </c>
      <c r="TF1" s="129" t="s">
        <v>1338</v>
      </c>
      <c r="TG1" s="129" t="s">
        <v>1339</v>
      </c>
      <c r="TH1" s="129" t="s">
        <v>1340</v>
      </c>
      <c r="TI1" s="129" t="s">
        <v>1341</v>
      </c>
      <c r="TJ1" s="129" t="s">
        <v>1342</v>
      </c>
      <c r="TK1" s="129" t="s">
        <v>1343</v>
      </c>
      <c r="TL1" s="129" t="s">
        <v>1344</v>
      </c>
      <c r="TM1" s="129" t="s">
        <v>1345</v>
      </c>
      <c r="TN1" s="129" t="s">
        <v>1346</v>
      </c>
      <c r="TO1" s="129" t="s">
        <v>1347</v>
      </c>
      <c r="TP1" s="129" t="s">
        <v>1348</v>
      </c>
      <c r="TQ1" s="129" t="s">
        <v>1349</v>
      </c>
      <c r="TR1" s="129" t="s">
        <v>1350</v>
      </c>
      <c r="TS1" s="129" t="s">
        <v>1351</v>
      </c>
      <c r="TT1" s="129" t="s">
        <v>1352</v>
      </c>
      <c r="TU1" s="129" t="s">
        <v>1353</v>
      </c>
      <c r="TV1" s="129" t="s">
        <v>1354</v>
      </c>
      <c r="TW1" s="129" t="s">
        <v>1355</v>
      </c>
      <c r="TX1" s="129" t="s">
        <v>1356</v>
      </c>
      <c r="TY1" s="129" t="s">
        <v>1357</v>
      </c>
      <c r="TZ1" s="129" t="s">
        <v>1358</v>
      </c>
      <c r="UA1" s="129" t="s">
        <v>1359</v>
      </c>
      <c r="UB1" s="129" t="s">
        <v>1360</v>
      </c>
      <c r="UC1" s="129" t="s">
        <v>1361</v>
      </c>
      <c r="UD1" s="129" t="s">
        <v>1362</v>
      </c>
      <c r="UE1" s="129" t="s">
        <v>1363</v>
      </c>
      <c r="UF1" s="129" t="s">
        <v>1364</v>
      </c>
      <c r="UG1" s="129" t="s">
        <v>1365</v>
      </c>
      <c r="UH1" s="129" t="s">
        <v>1366</v>
      </c>
      <c r="UI1" s="129" t="s">
        <v>1367</v>
      </c>
      <c r="UJ1" s="129" t="s">
        <v>1368</v>
      </c>
      <c r="UK1" s="129" t="s">
        <v>1369</v>
      </c>
      <c r="UL1" s="129" t="s">
        <v>1370</v>
      </c>
      <c r="UM1" s="129" t="s">
        <v>1371</v>
      </c>
      <c r="UN1" s="129" t="s">
        <v>1372</v>
      </c>
      <c r="UO1" s="129" t="s">
        <v>1193</v>
      </c>
      <c r="UP1" s="129" t="s">
        <v>1192</v>
      </c>
      <c r="UQ1" s="129" t="s">
        <v>1191</v>
      </c>
      <c r="UR1" s="129" t="s">
        <v>1190</v>
      </c>
      <c r="US1" s="129" t="s">
        <v>1189</v>
      </c>
      <c r="UT1" s="129" t="s">
        <v>1188</v>
      </c>
      <c r="UU1" s="129" t="s">
        <v>1187</v>
      </c>
      <c r="UV1" s="129" t="s">
        <v>1186</v>
      </c>
      <c r="UW1" s="129" t="s">
        <v>1185</v>
      </c>
      <c r="UX1" s="129" t="s">
        <v>1184</v>
      </c>
      <c r="UY1" s="129" t="s">
        <v>1183</v>
      </c>
      <c r="UZ1" s="129" t="s">
        <v>1182</v>
      </c>
      <c r="VA1" s="129" t="s">
        <v>1181</v>
      </c>
      <c r="VB1" s="129" t="s">
        <v>1180</v>
      </c>
      <c r="VC1" s="129" t="s">
        <v>1179</v>
      </c>
      <c r="VD1" s="129" t="s">
        <v>1178</v>
      </c>
      <c r="VE1" s="129" t="s">
        <v>1177</v>
      </c>
      <c r="VF1" s="129" t="s">
        <v>1176</v>
      </c>
      <c r="VG1" s="129" t="s">
        <v>1175</v>
      </c>
      <c r="VH1" s="129" t="s">
        <v>1174</v>
      </c>
      <c r="VI1" s="129" t="s">
        <v>1173</v>
      </c>
      <c r="VJ1" s="129" t="s">
        <v>1172</v>
      </c>
      <c r="VK1" s="129" t="s">
        <v>1171</v>
      </c>
      <c r="VL1" s="129" t="s">
        <v>1170</v>
      </c>
      <c r="VM1" s="129" t="s">
        <v>1169</v>
      </c>
      <c r="VN1" s="129" t="s">
        <v>1168</v>
      </c>
      <c r="VO1" s="129" t="s">
        <v>1167</v>
      </c>
      <c r="VP1" s="129" t="s">
        <v>1166</v>
      </c>
      <c r="VQ1" s="129" t="s">
        <v>1165</v>
      </c>
      <c r="VR1" s="129" t="s">
        <v>1164</v>
      </c>
      <c r="VS1" s="129" t="s">
        <v>1163</v>
      </c>
      <c r="VT1" s="129" t="s">
        <v>1162</v>
      </c>
      <c r="VU1" s="129" t="s">
        <v>1161</v>
      </c>
      <c r="VV1" s="129" t="s">
        <v>1160</v>
      </c>
      <c r="VW1" s="129" t="s">
        <v>1159</v>
      </c>
      <c r="VX1" s="129" t="s">
        <v>1158</v>
      </c>
      <c r="VY1" s="129" t="s">
        <v>1157</v>
      </c>
      <c r="VZ1" s="129" t="s">
        <v>1156</v>
      </c>
      <c r="WA1" s="129" t="s">
        <v>1155</v>
      </c>
      <c r="WB1" s="129" t="s">
        <v>1154</v>
      </c>
      <c r="WC1" s="129" t="s">
        <v>1153</v>
      </c>
      <c r="WD1" s="129" t="s">
        <v>1152</v>
      </c>
      <c r="WE1" s="129" t="s">
        <v>1151</v>
      </c>
      <c r="WF1" s="129" t="s">
        <v>1150</v>
      </c>
      <c r="WG1" s="129" t="s">
        <v>1149</v>
      </c>
      <c r="WH1" s="129" t="s">
        <v>1148</v>
      </c>
      <c r="WI1" s="129" t="s">
        <v>1147</v>
      </c>
      <c r="WJ1" s="129" t="s">
        <v>1146</v>
      </c>
      <c r="WK1" s="129" t="s">
        <v>1145</v>
      </c>
      <c r="WL1" s="129" t="s">
        <v>1144</v>
      </c>
      <c r="WM1" s="129" t="s">
        <v>1143</v>
      </c>
      <c r="WN1" s="129" t="s">
        <v>1142</v>
      </c>
      <c r="WO1" s="129" t="s">
        <v>1141</v>
      </c>
      <c r="WP1" s="129" t="s">
        <v>1140</v>
      </c>
      <c r="WQ1" s="129" t="s">
        <v>1139</v>
      </c>
      <c r="WR1" s="129" t="s">
        <v>1138</v>
      </c>
      <c r="WS1" s="129" t="s">
        <v>1137</v>
      </c>
      <c r="WT1" s="129" t="s">
        <v>1136</v>
      </c>
      <c r="WU1" s="129" t="s">
        <v>1135</v>
      </c>
      <c r="WV1" s="129" t="s">
        <v>1134</v>
      </c>
      <c r="WW1" s="129" t="s">
        <v>1133</v>
      </c>
      <c r="WX1" s="129" t="s">
        <v>1132</v>
      </c>
      <c r="WY1" s="129" t="s">
        <v>1131</v>
      </c>
      <c r="WZ1" s="129" t="s">
        <v>1130</v>
      </c>
      <c r="XA1" s="129" t="s">
        <v>1129</v>
      </c>
      <c r="XB1" s="129" t="s">
        <v>1128</v>
      </c>
      <c r="XC1" s="129" t="s">
        <v>1127</v>
      </c>
      <c r="XD1" s="129" t="s">
        <v>1126</v>
      </c>
      <c r="XE1" s="129" t="s">
        <v>1125</v>
      </c>
      <c r="XF1" s="129" t="s">
        <v>1124</v>
      </c>
      <c r="XG1" s="129" t="s">
        <v>1123</v>
      </c>
      <c r="XH1" s="129" t="s">
        <v>1122</v>
      </c>
      <c r="XI1" s="129" t="s">
        <v>1121</v>
      </c>
      <c r="XJ1" s="129" t="s">
        <v>1120</v>
      </c>
      <c r="XK1" s="129" t="s">
        <v>1119</v>
      </c>
      <c r="XL1" s="129" t="s">
        <v>1118</v>
      </c>
      <c r="XM1" s="129" t="s">
        <v>1117</v>
      </c>
      <c r="XN1" s="129" t="s">
        <v>1116</v>
      </c>
      <c r="XO1" s="129" t="s">
        <v>1115</v>
      </c>
      <c r="XP1" s="129" t="s">
        <v>1114</v>
      </c>
      <c r="XQ1" s="129" t="s">
        <v>1113</v>
      </c>
      <c r="XR1" s="129" t="s">
        <v>1112</v>
      </c>
      <c r="XS1" s="129" t="s">
        <v>1111</v>
      </c>
      <c r="XT1" s="129" t="s">
        <v>1110</v>
      </c>
      <c r="XU1" s="129" t="s">
        <v>1109</v>
      </c>
      <c r="XV1" s="129" t="s">
        <v>1108</v>
      </c>
      <c r="XW1" s="129" t="s">
        <v>1107</v>
      </c>
      <c r="XX1" s="129" t="s">
        <v>1106</v>
      </c>
      <c r="XY1" s="129" t="s">
        <v>1105</v>
      </c>
      <c r="XZ1" s="129" t="s">
        <v>1104</v>
      </c>
      <c r="YA1" s="129" t="s">
        <v>1103</v>
      </c>
      <c r="YB1" s="129" t="s">
        <v>1102</v>
      </c>
      <c r="YC1" s="129" t="s">
        <v>1101</v>
      </c>
      <c r="YD1" s="129" t="s">
        <v>1100</v>
      </c>
      <c r="YE1" s="129" t="s">
        <v>1099</v>
      </c>
      <c r="YF1" s="129" t="s">
        <v>1098</v>
      </c>
      <c r="YG1" s="129" t="s">
        <v>1097</v>
      </c>
      <c r="YH1" s="129" t="s">
        <v>1096</v>
      </c>
      <c r="YI1" s="129" t="s">
        <v>1095</v>
      </c>
      <c r="YJ1" s="129" t="s">
        <v>1094</v>
      </c>
      <c r="YK1" s="129" t="s">
        <v>1093</v>
      </c>
      <c r="YL1" s="129" t="s">
        <v>1092</v>
      </c>
      <c r="YM1" s="129" t="s">
        <v>1091</v>
      </c>
      <c r="YN1" s="129" t="s">
        <v>1090</v>
      </c>
      <c r="YO1" s="129" t="s">
        <v>1089</v>
      </c>
      <c r="YP1" s="129" t="s">
        <v>1088</v>
      </c>
      <c r="YQ1" s="129" t="s">
        <v>1087</v>
      </c>
      <c r="YR1" s="129" t="s">
        <v>1086</v>
      </c>
      <c r="YS1" s="129" t="s">
        <v>1085</v>
      </c>
      <c r="YT1" s="129" t="s">
        <v>1084</v>
      </c>
      <c r="YU1" s="129" t="s">
        <v>1083</v>
      </c>
      <c r="YV1" s="129" t="s">
        <v>1082</v>
      </c>
      <c r="YW1" s="129" t="s">
        <v>1081</v>
      </c>
      <c r="YX1" s="129" t="s">
        <v>1080</v>
      </c>
      <c r="YY1" s="129" t="s">
        <v>1079</v>
      </c>
      <c r="YZ1" s="129" t="s">
        <v>1078</v>
      </c>
      <c r="ZA1" s="129" t="s">
        <v>1077</v>
      </c>
      <c r="ZB1" s="129" t="s">
        <v>1076</v>
      </c>
      <c r="ZC1" s="129" t="s">
        <v>1075</v>
      </c>
      <c r="ZD1" s="129" t="s">
        <v>1074</v>
      </c>
      <c r="ZE1" s="129" t="s">
        <v>1073</v>
      </c>
      <c r="ZF1" s="129" t="s">
        <v>1072</v>
      </c>
      <c r="ZG1" s="129" t="s">
        <v>1071</v>
      </c>
      <c r="ZH1" s="129" t="s">
        <v>1070</v>
      </c>
      <c r="ZI1" s="129" t="s">
        <v>1069</v>
      </c>
      <c r="ZJ1" s="129" t="s">
        <v>1068</v>
      </c>
      <c r="ZK1" s="129" t="s">
        <v>1067</v>
      </c>
      <c r="ZL1" s="129" t="s">
        <v>1066</v>
      </c>
      <c r="ZM1" s="129" t="s">
        <v>1065</v>
      </c>
      <c r="ZN1" s="129" t="s">
        <v>1064</v>
      </c>
      <c r="ZO1" s="129" t="s">
        <v>1063</v>
      </c>
      <c r="ZP1" s="129" t="s">
        <v>1062</v>
      </c>
      <c r="ZQ1" s="129" t="s">
        <v>1061</v>
      </c>
      <c r="ZR1" s="129" t="s">
        <v>1060</v>
      </c>
      <c r="ZS1" s="129" t="s">
        <v>1059</v>
      </c>
      <c r="ZT1" s="129" t="s">
        <v>1058</v>
      </c>
      <c r="ZU1" s="129" t="s">
        <v>1057</v>
      </c>
      <c r="ZV1" s="129" t="s">
        <v>1056</v>
      </c>
      <c r="ZW1" s="129" t="s">
        <v>1055</v>
      </c>
      <c r="ZX1" s="129" t="s">
        <v>1054</v>
      </c>
      <c r="ZY1" s="129" t="s">
        <v>1053</v>
      </c>
      <c r="ZZ1" s="129" t="s">
        <v>1052</v>
      </c>
      <c r="AAA1" s="129" t="s">
        <v>1051</v>
      </c>
      <c r="AAB1" s="129" t="s">
        <v>1050</v>
      </c>
      <c r="AAC1" s="129" t="s">
        <v>1049</v>
      </c>
      <c r="AAD1" s="129" t="s">
        <v>1048</v>
      </c>
      <c r="AAE1" s="129" t="s">
        <v>1047</v>
      </c>
      <c r="AAF1" s="129" t="s">
        <v>1046</v>
      </c>
      <c r="AAG1" s="129" t="s">
        <v>1045</v>
      </c>
      <c r="AAH1" s="129" t="s">
        <v>1044</v>
      </c>
      <c r="AAI1" s="129" t="s">
        <v>1043</v>
      </c>
      <c r="AAJ1" s="129" t="s">
        <v>1042</v>
      </c>
      <c r="AAK1" s="129" t="s">
        <v>1041</v>
      </c>
      <c r="AAL1" s="129" t="s">
        <v>1040</v>
      </c>
      <c r="AAM1" s="129" t="s">
        <v>1039</v>
      </c>
      <c r="AAN1" s="129" t="s">
        <v>1038</v>
      </c>
      <c r="AAO1" s="129" t="s">
        <v>1037</v>
      </c>
      <c r="AAP1" s="129" t="s">
        <v>1036</v>
      </c>
      <c r="AAQ1" s="129" t="s">
        <v>1035</v>
      </c>
      <c r="AAR1" s="129" t="s">
        <v>1034</v>
      </c>
      <c r="AAS1" s="129" t="s">
        <v>1033</v>
      </c>
      <c r="AAT1" s="129" t="s">
        <v>1032</v>
      </c>
      <c r="AAU1" s="129" t="s">
        <v>1031</v>
      </c>
      <c r="AAV1" s="129" t="s">
        <v>1030</v>
      </c>
      <c r="AAW1" s="129" t="s">
        <v>1029</v>
      </c>
      <c r="AAX1" s="129" t="s">
        <v>1028</v>
      </c>
      <c r="AAY1" s="129" t="s">
        <v>1027</v>
      </c>
      <c r="AAZ1" s="129" t="s">
        <v>1026</v>
      </c>
      <c r="ABA1" s="129" t="s">
        <v>1025</v>
      </c>
      <c r="ABB1" s="129" t="s">
        <v>1024</v>
      </c>
      <c r="ABC1" s="129" t="s">
        <v>1023</v>
      </c>
      <c r="ABD1" s="129" t="s">
        <v>1022</v>
      </c>
      <c r="ABE1" s="129" t="s">
        <v>1021</v>
      </c>
      <c r="ABF1" s="129" t="s">
        <v>1020</v>
      </c>
      <c r="ABG1" s="129" t="s">
        <v>1019</v>
      </c>
      <c r="ABH1" s="129" t="s">
        <v>1018</v>
      </c>
      <c r="ABI1" s="129" t="s">
        <v>1017</v>
      </c>
      <c r="ABJ1" s="129" t="s">
        <v>1016</v>
      </c>
      <c r="ABK1" s="129" t="s">
        <v>1015</v>
      </c>
      <c r="ABL1" s="129" t="s">
        <v>1014</v>
      </c>
      <c r="ABM1" s="129" t="s">
        <v>1013</v>
      </c>
      <c r="ABN1" s="129" t="s">
        <v>1012</v>
      </c>
      <c r="ABO1" s="129" t="s">
        <v>1011</v>
      </c>
      <c r="ABP1" s="129" t="s">
        <v>1010</v>
      </c>
      <c r="ABQ1" s="129" t="s">
        <v>1009</v>
      </c>
      <c r="ABR1" s="129" t="s">
        <v>1008</v>
      </c>
      <c r="ABS1" s="129" t="s">
        <v>1007</v>
      </c>
      <c r="ABT1" s="129" t="s">
        <v>1006</v>
      </c>
      <c r="ABU1" s="129" t="s">
        <v>1005</v>
      </c>
      <c r="ABV1" s="129" t="s">
        <v>1004</v>
      </c>
      <c r="ABW1" s="129" t="s">
        <v>1003</v>
      </c>
      <c r="ABX1" s="129" t="s">
        <v>1002</v>
      </c>
      <c r="ABY1" s="129" t="s">
        <v>1001</v>
      </c>
      <c r="ABZ1" s="129" t="s">
        <v>1000</v>
      </c>
      <c r="ACA1" s="129" t="s">
        <v>999</v>
      </c>
      <c r="ACB1" s="129" t="s">
        <v>998</v>
      </c>
      <c r="ACC1" s="129" t="s">
        <v>997</v>
      </c>
      <c r="ACD1" s="129" t="s">
        <v>996</v>
      </c>
      <c r="ACE1" s="129" t="s">
        <v>995</v>
      </c>
      <c r="ACF1" s="129" t="s">
        <v>994</v>
      </c>
      <c r="ACG1" s="129" t="s">
        <v>993</v>
      </c>
      <c r="ACH1" s="129" t="s">
        <v>992</v>
      </c>
      <c r="ACI1" s="129" t="s">
        <v>991</v>
      </c>
      <c r="ACJ1" s="129" t="s">
        <v>990</v>
      </c>
      <c r="ACK1" s="129" t="s">
        <v>989</v>
      </c>
      <c r="ACL1" s="129" t="s">
        <v>988</v>
      </c>
      <c r="ACM1" s="129" t="s">
        <v>987</v>
      </c>
      <c r="ACN1" s="129" t="s">
        <v>986</v>
      </c>
      <c r="ACO1" s="129" t="s">
        <v>985</v>
      </c>
      <c r="ACP1" s="129" t="s">
        <v>984</v>
      </c>
      <c r="ACQ1" s="129" t="s">
        <v>983</v>
      </c>
      <c r="ACR1" s="129" t="s">
        <v>982</v>
      </c>
      <c r="ACS1" s="129" t="s">
        <v>981</v>
      </c>
      <c r="ACT1" s="129" t="s">
        <v>980</v>
      </c>
      <c r="ACU1" s="129" t="s">
        <v>979</v>
      </c>
      <c r="ACV1" s="129" t="s">
        <v>978</v>
      </c>
      <c r="ACW1" s="129" t="s">
        <v>977</v>
      </c>
      <c r="ACX1" s="129" t="s">
        <v>976</v>
      </c>
      <c r="ACY1" s="129" t="s">
        <v>975</v>
      </c>
      <c r="ACZ1" s="129" t="s">
        <v>974</v>
      </c>
      <c r="ADA1" s="129" t="s">
        <v>973</v>
      </c>
      <c r="ADB1" s="129" t="s">
        <v>972</v>
      </c>
      <c r="ADC1" s="129" t="s">
        <v>971</v>
      </c>
      <c r="ADD1" s="129" t="s">
        <v>970</v>
      </c>
      <c r="ADE1" s="129" t="s">
        <v>969</v>
      </c>
      <c r="ADF1" s="129" t="s">
        <v>968</v>
      </c>
      <c r="ADG1" s="129" t="s">
        <v>967</v>
      </c>
      <c r="ADH1" s="129" t="s">
        <v>966</v>
      </c>
      <c r="ADI1" s="129" t="s">
        <v>965</v>
      </c>
      <c r="ADJ1" s="129" t="s">
        <v>964</v>
      </c>
      <c r="ADK1" s="129" t="s">
        <v>963</v>
      </c>
      <c r="ADL1" s="129" t="s">
        <v>962</v>
      </c>
      <c r="ADM1" s="129" t="s">
        <v>961</v>
      </c>
      <c r="ADN1" s="129" t="s">
        <v>960</v>
      </c>
      <c r="ADO1" s="129" t="s">
        <v>959</v>
      </c>
      <c r="ADP1" s="129" t="s">
        <v>958</v>
      </c>
      <c r="ADQ1" s="129" t="s">
        <v>957</v>
      </c>
      <c r="ADR1" s="129" t="s">
        <v>956</v>
      </c>
      <c r="ADS1" s="129" t="s">
        <v>955</v>
      </c>
      <c r="ADT1" s="129" t="s">
        <v>954</v>
      </c>
      <c r="ADU1" s="129" t="s">
        <v>953</v>
      </c>
      <c r="ADV1" s="129" t="s">
        <v>952</v>
      </c>
      <c r="ADW1" s="129" t="s">
        <v>951</v>
      </c>
      <c r="ADX1" s="129" t="s">
        <v>950</v>
      </c>
      <c r="ADY1" s="129" t="s">
        <v>949</v>
      </c>
      <c r="ADZ1" s="129" t="s">
        <v>948</v>
      </c>
      <c r="AEA1" s="129" t="s">
        <v>947</v>
      </c>
      <c r="AEB1" s="129" t="s">
        <v>946</v>
      </c>
      <c r="AEC1" s="129" t="s">
        <v>945</v>
      </c>
      <c r="AED1" s="129" t="s">
        <v>944</v>
      </c>
      <c r="AEE1" s="129" t="s">
        <v>943</v>
      </c>
      <c r="AEF1" s="129" t="s">
        <v>942</v>
      </c>
      <c r="AEG1" s="129" t="s">
        <v>941</v>
      </c>
      <c r="AEH1" s="129" t="s">
        <v>940</v>
      </c>
      <c r="AEI1" s="129" t="s">
        <v>939</v>
      </c>
      <c r="AEJ1" s="129" t="s">
        <v>938</v>
      </c>
      <c r="AEK1" s="129" t="s">
        <v>937</v>
      </c>
      <c r="AEL1" s="129" t="s">
        <v>936</v>
      </c>
      <c r="AEM1" s="129" t="s">
        <v>935</v>
      </c>
      <c r="AEN1" s="129" t="s">
        <v>934</v>
      </c>
      <c r="AEO1" s="129" t="s">
        <v>933</v>
      </c>
      <c r="AEP1" s="129" t="s">
        <v>932</v>
      </c>
      <c r="AEQ1" s="129" t="s">
        <v>931</v>
      </c>
      <c r="AER1" s="129" t="s">
        <v>930</v>
      </c>
      <c r="AES1" s="129" t="s">
        <v>929</v>
      </c>
      <c r="AET1" s="129" t="s">
        <v>928</v>
      </c>
      <c r="AEU1" s="129" t="s">
        <v>927</v>
      </c>
      <c r="AEV1" s="129" t="s">
        <v>926</v>
      </c>
      <c r="AEW1" s="129" t="s">
        <v>925</v>
      </c>
      <c r="AEX1" s="129" t="s">
        <v>924</v>
      </c>
      <c r="AEY1" s="129" t="s">
        <v>923</v>
      </c>
      <c r="AEZ1" s="129" t="s">
        <v>922</v>
      </c>
      <c r="AFA1" s="129" t="s">
        <v>921</v>
      </c>
      <c r="AFB1" s="129" t="s">
        <v>920</v>
      </c>
      <c r="AFC1" s="129" t="s">
        <v>919</v>
      </c>
      <c r="AFD1" s="129" t="s">
        <v>918</v>
      </c>
      <c r="AFE1" s="129" t="s">
        <v>917</v>
      </c>
      <c r="AFF1" s="129" t="s">
        <v>916</v>
      </c>
      <c r="AFG1" s="129" t="s">
        <v>915</v>
      </c>
      <c r="AFH1" s="129" t="s">
        <v>914</v>
      </c>
      <c r="AFI1" s="129" t="s">
        <v>913</v>
      </c>
      <c r="AFJ1" s="129" t="s">
        <v>912</v>
      </c>
      <c r="AFK1" s="129" t="s">
        <v>911</v>
      </c>
      <c r="AFL1" s="129" t="s">
        <v>910</v>
      </c>
      <c r="AFM1" s="129" t="s">
        <v>909</v>
      </c>
      <c r="AFN1" s="129" t="s">
        <v>908</v>
      </c>
      <c r="AFO1" s="129" t="s">
        <v>907</v>
      </c>
      <c r="AFP1" s="129" t="s">
        <v>906</v>
      </c>
      <c r="AFQ1" s="129" t="s">
        <v>905</v>
      </c>
      <c r="AFR1" s="129" t="s">
        <v>904</v>
      </c>
      <c r="AFS1" s="129" t="s">
        <v>903</v>
      </c>
      <c r="AFT1" s="129" t="s">
        <v>902</v>
      </c>
      <c r="AFU1" s="129" t="s">
        <v>901</v>
      </c>
      <c r="AFV1" s="129" t="s">
        <v>900</v>
      </c>
      <c r="AFW1" s="129" t="s">
        <v>899</v>
      </c>
      <c r="AFX1" s="129" t="s">
        <v>898</v>
      </c>
      <c r="AFY1" s="129" t="s">
        <v>897</v>
      </c>
      <c r="AFZ1" s="129" t="s">
        <v>896</v>
      </c>
      <c r="AGA1" s="129" t="s">
        <v>895</v>
      </c>
      <c r="AGB1" s="129" t="s">
        <v>894</v>
      </c>
      <c r="AGC1" s="129" t="s">
        <v>893</v>
      </c>
      <c r="AGD1" s="129" t="s">
        <v>892</v>
      </c>
      <c r="AGE1" s="129" t="s">
        <v>891</v>
      </c>
      <c r="AGF1" s="129" t="s">
        <v>890</v>
      </c>
      <c r="AGG1" s="129" t="s">
        <v>889</v>
      </c>
      <c r="AGH1" s="129" t="s">
        <v>888</v>
      </c>
      <c r="AGI1" s="129" t="s">
        <v>887</v>
      </c>
      <c r="AGJ1" s="129" t="s">
        <v>886</v>
      </c>
      <c r="AGK1" s="129" t="s">
        <v>885</v>
      </c>
      <c r="AGL1" s="129" t="s">
        <v>884</v>
      </c>
      <c r="AGM1" s="129" t="s">
        <v>883</v>
      </c>
      <c r="AGN1" s="129" t="s">
        <v>882</v>
      </c>
      <c r="AGO1" s="129" t="s">
        <v>881</v>
      </c>
      <c r="AGP1" s="129" t="s">
        <v>880</v>
      </c>
      <c r="AGQ1" s="129" t="s">
        <v>879</v>
      </c>
      <c r="AGR1" s="129" t="s">
        <v>878</v>
      </c>
      <c r="AGS1" s="129" t="s">
        <v>877</v>
      </c>
      <c r="AGT1" s="129" t="s">
        <v>876</v>
      </c>
      <c r="AGU1" s="129" t="s">
        <v>875</v>
      </c>
      <c r="AGV1" s="129" t="s">
        <v>874</v>
      </c>
      <c r="AGW1" s="129" t="s">
        <v>873</v>
      </c>
      <c r="AGX1" s="129" t="s">
        <v>872</v>
      </c>
      <c r="AGY1" s="129" t="s">
        <v>871</v>
      </c>
      <c r="AGZ1" s="129" t="s">
        <v>870</v>
      </c>
      <c r="AHA1" s="129" t="s">
        <v>869</v>
      </c>
      <c r="AHB1" s="129" t="s">
        <v>868</v>
      </c>
      <c r="AHC1" s="129" t="s">
        <v>867</v>
      </c>
      <c r="AHD1" s="129" t="s">
        <v>866</v>
      </c>
      <c r="AHE1" s="129" t="s">
        <v>865</v>
      </c>
      <c r="AHF1" s="129" t="s">
        <v>864</v>
      </c>
      <c r="AHG1" s="129" t="s">
        <v>863</v>
      </c>
      <c r="AHH1" s="129" t="s">
        <v>862</v>
      </c>
      <c r="AHI1" s="129" t="s">
        <v>861</v>
      </c>
      <c r="AHJ1" s="129" t="s">
        <v>860</v>
      </c>
      <c r="AHK1" s="129" t="s">
        <v>859</v>
      </c>
      <c r="AHL1" s="129" t="s">
        <v>858</v>
      </c>
      <c r="AHM1" s="129" t="s">
        <v>857</v>
      </c>
      <c r="AHN1" s="129" t="s">
        <v>856</v>
      </c>
      <c r="AHO1" s="129" t="s">
        <v>855</v>
      </c>
      <c r="AHP1" s="129" t="s">
        <v>854</v>
      </c>
      <c r="AHQ1" s="129" t="s">
        <v>853</v>
      </c>
      <c r="AHR1" s="129" t="s">
        <v>852</v>
      </c>
      <c r="AHS1" s="129" t="s">
        <v>851</v>
      </c>
      <c r="AHT1" s="129" t="s">
        <v>850</v>
      </c>
      <c r="AHU1" s="129" t="s">
        <v>849</v>
      </c>
      <c r="AHV1" s="129" t="s">
        <v>848</v>
      </c>
      <c r="AHW1" s="129" t="s">
        <v>847</v>
      </c>
      <c r="AHX1" s="129" t="s">
        <v>846</v>
      </c>
      <c r="AHY1" s="129" t="s">
        <v>845</v>
      </c>
      <c r="AHZ1" s="129" t="s">
        <v>844</v>
      </c>
      <c r="AIA1" s="129" t="s">
        <v>843</v>
      </c>
      <c r="AIB1" s="129" t="s">
        <v>842</v>
      </c>
      <c r="AIC1" s="129" t="s">
        <v>841</v>
      </c>
      <c r="AID1" s="129" t="s">
        <v>840</v>
      </c>
      <c r="AIE1" s="129" t="s">
        <v>839</v>
      </c>
      <c r="AIF1" s="129" t="s">
        <v>838</v>
      </c>
      <c r="AIG1" s="129" t="s">
        <v>837</v>
      </c>
      <c r="AIH1" s="129" t="s">
        <v>836</v>
      </c>
      <c r="AII1" s="129" t="s">
        <v>835</v>
      </c>
      <c r="AIJ1" s="129" t="s">
        <v>834</v>
      </c>
      <c r="AIK1" s="129" t="s">
        <v>833</v>
      </c>
      <c r="AIL1" s="129" t="s">
        <v>832</v>
      </c>
      <c r="AIM1" s="129" t="s">
        <v>831</v>
      </c>
      <c r="AIN1" s="129" t="s">
        <v>830</v>
      </c>
      <c r="AIO1" s="129" t="s">
        <v>829</v>
      </c>
      <c r="AIP1" s="129" t="s">
        <v>828</v>
      </c>
      <c r="AIQ1" s="129" t="s">
        <v>827</v>
      </c>
      <c r="AIR1" s="129" t="s">
        <v>826</v>
      </c>
      <c r="AIS1" s="129" t="s">
        <v>825</v>
      </c>
      <c r="AIT1" s="129" t="s">
        <v>824</v>
      </c>
      <c r="AIU1" s="129" t="s">
        <v>823</v>
      </c>
      <c r="AIV1" s="129" t="s">
        <v>822</v>
      </c>
      <c r="AIW1" s="129" t="s">
        <v>821</v>
      </c>
      <c r="AIX1" s="129" t="s">
        <v>820</v>
      </c>
      <c r="AIY1" s="129" t="s">
        <v>819</v>
      </c>
      <c r="AIZ1" s="129" t="s">
        <v>818</v>
      </c>
      <c r="AJA1" s="129" t="s">
        <v>817</v>
      </c>
      <c r="AJB1" s="129" t="s">
        <v>816</v>
      </c>
      <c r="AJC1" s="129" t="s">
        <v>815</v>
      </c>
      <c r="AJD1" s="129" t="s">
        <v>814</v>
      </c>
      <c r="AJE1" s="129" t="s">
        <v>813</v>
      </c>
      <c r="AJF1" s="129" t="s">
        <v>812</v>
      </c>
      <c r="AJG1" s="129" t="s">
        <v>811</v>
      </c>
      <c r="AJH1" s="129" t="s">
        <v>810</v>
      </c>
      <c r="AJI1" s="129" t="s">
        <v>809</v>
      </c>
      <c r="AJJ1" s="129" t="s">
        <v>808</v>
      </c>
      <c r="AJK1" s="129" t="s">
        <v>807</v>
      </c>
      <c r="AJL1" s="129" t="s">
        <v>806</v>
      </c>
      <c r="AJM1" s="129" t="s">
        <v>805</v>
      </c>
      <c r="AJN1" s="129" t="s">
        <v>804</v>
      </c>
      <c r="AJO1" s="129" t="s">
        <v>803</v>
      </c>
      <c r="AJP1" s="129" t="s">
        <v>802</v>
      </c>
      <c r="AJQ1" s="129" t="s">
        <v>801</v>
      </c>
      <c r="AJR1" s="129" t="s">
        <v>800</v>
      </c>
      <c r="AJS1" s="129" t="s">
        <v>799</v>
      </c>
      <c r="AJT1" s="129" t="s">
        <v>798</v>
      </c>
      <c r="AJU1" s="129" t="s">
        <v>797</v>
      </c>
      <c r="AJV1" s="129" t="s">
        <v>796</v>
      </c>
      <c r="AJW1" s="129" t="s">
        <v>795</v>
      </c>
      <c r="AJX1" s="129" t="s">
        <v>794</v>
      </c>
      <c r="AJY1" s="129" t="s">
        <v>793</v>
      </c>
      <c r="AJZ1" s="129" t="s">
        <v>792</v>
      </c>
      <c r="AKA1" s="129" t="s">
        <v>791</v>
      </c>
      <c r="AKB1" s="129" t="s">
        <v>790</v>
      </c>
      <c r="AKC1" s="129" t="s">
        <v>789</v>
      </c>
      <c r="AKD1" s="129" t="s">
        <v>788</v>
      </c>
      <c r="AKE1" s="129" t="s">
        <v>787</v>
      </c>
      <c r="AKF1" s="129" t="s">
        <v>786</v>
      </c>
      <c r="AKG1" s="129" t="s">
        <v>785</v>
      </c>
      <c r="AKH1" s="129" t="s">
        <v>784</v>
      </c>
      <c r="AKI1" s="129" t="s">
        <v>783</v>
      </c>
      <c r="AKJ1" s="129" t="s">
        <v>782</v>
      </c>
      <c r="AKK1" s="129" t="s">
        <v>781</v>
      </c>
      <c r="AKL1" s="129" t="s">
        <v>780</v>
      </c>
      <c r="AKM1" s="129" t="s">
        <v>779</v>
      </c>
      <c r="AKN1" s="129" t="s">
        <v>778</v>
      </c>
      <c r="AKO1" s="129" t="s">
        <v>777</v>
      </c>
      <c r="AKP1" s="129" t="s">
        <v>776</v>
      </c>
      <c r="AKQ1" s="129" t="s">
        <v>775</v>
      </c>
      <c r="AKR1" s="129" t="s">
        <v>774</v>
      </c>
      <c r="AKS1" s="129" t="s">
        <v>773</v>
      </c>
      <c r="AKT1" s="129" t="s">
        <v>772</v>
      </c>
      <c r="AKU1" s="129" t="s">
        <v>771</v>
      </c>
      <c r="AKV1" s="129" t="s">
        <v>770</v>
      </c>
      <c r="AKW1" s="129" t="s">
        <v>769</v>
      </c>
      <c r="AKX1" s="129" t="s">
        <v>768</v>
      </c>
      <c r="AKY1" s="129" t="s">
        <v>767</v>
      </c>
      <c r="AKZ1" s="129" t="s">
        <v>766</v>
      </c>
      <c r="ALA1" s="129" t="s">
        <v>765</v>
      </c>
      <c r="ALB1" s="129" t="s">
        <v>764</v>
      </c>
      <c r="ALC1" s="129" t="s">
        <v>763</v>
      </c>
      <c r="ALD1" s="129" t="s">
        <v>762</v>
      </c>
      <c r="ALE1" s="129" t="s">
        <v>761</v>
      </c>
      <c r="ALF1" s="129" t="s">
        <v>760</v>
      </c>
      <c r="ALG1" s="129" t="s">
        <v>759</v>
      </c>
      <c r="ALH1" s="129" t="s">
        <v>758</v>
      </c>
      <c r="ALI1" s="129" t="s">
        <v>757</v>
      </c>
      <c r="ALJ1" s="129" t="s">
        <v>756</v>
      </c>
      <c r="ALK1" s="129" t="s">
        <v>755</v>
      </c>
      <c r="ALL1" s="129" t="s">
        <v>754</v>
      </c>
      <c r="ALM1" s="129" t="s">
        <v>753</v>
      </c>
      <c r="ALN1" s="129" t="s">
        <v>752</v>
      </c>
      <c r="ALO1" s="129" t="s">
        <v>751</v>
      </c>
      <c r="ALP1" s="129" t="s">
        <v>750</v>
      </c>
      <c r="ALQ1" s="129" t="s">
        <v>749</v>
      </c>
      <c r="ALR1" s="129" t="s">
        <v>748</v>
      </c>
      <c r="ALS1" s="129" t="s">
        <v>747</v>
      </c>
      <c r="ALT1" s="129" t="s">
        <v>746</v>
      </c>
      <c r="ALU1" s="129" t="s">
        <v>745</v>
      </c>
      <c r="ALV1" s="129" t="s">
        <v>744</v>
      </c>
      <c r="ALW1" s="129" t="s">
        <v>743</v>
      </c>
      <c r="ALX1" s="129" t="s">
        <v>742</v>
      </c>
      <c r="ALY1" s="129" t="s">
        <v>741</v>
      </c>
      <c r="ALZ1" s="129" t="s">
        <v>740</v>
      </c>
      <c r="AMA1" s="129" t="s">
        <v>739</v>
      </c>
      <c r="AMB1" s="129" t="s">
        <v>738</v>
      </c>
      <c r="AMC1" s="129" t="s">
        <v>737</v>
      </c>
      <c r="AMD1" s="129" t="s">
        <v>736</v>
      </c>
      <c r="AME1" s="129" t="s">
        <v>735</v>
      </c>
      <c r="AMF1" s="129" t="s">
        <v>734</v>
      </c>
      <c r="AMG1" s="129" t="s">
        <v>733</v>
      </c>
      <c r="AMH1" s="129" t="s">
        <v>732</v>
      </c>
      <c r="AMI1" s="129" t="s">
        <v>731</v>
      </c>
      <c r="AMJ1" s="129" t="s">
        <v>730</v>
      </c>
      <c r="AMK1" s="129" t="s">
        <v>729</v>
      </c>
      <c r="AML1" s="129" t="s">
        <v>728</v>
      </c>
      <c r="AMM1" s="129" t="s">
        <v>727</v>
      </c>
      <c r="AMN1" s="129" t="s">
        <v>726</v>
      </c>
      <c r="AMO1" s="129" t="s">
        <v>725</v>
      </c>
      <c r="AMP1" s="129" t="s">
        <v>724</v>
      </c>
      <c r="AMQ1" s="129" t="s">
        <v>723</v>
      </c>
      <c r="AMR1" s="129" t="s">
        <v>722</v>
      </c>
      <c r="AMS1" s="129" t="s">
        <v>721</v>
      </c>
      <c r="AMT1" s="129" t="s">
        <v>720</v>
      </c>
      <c r="AMU1" s="129" t="s">
        <v>719</v>
      </c>
      <c r="AMV1" s="129" t="s">
        <v>718</v>
      </c>
      <c r="AMW1" s="129" t="s">
        <v>717</v>
      </c>
      <c r="AMX1" s="129" t="s">
        <v>716</v>
      </c>
      <c r="AMY1" s="129" t="s">
        <v>715</v>
      </c>
      <c r="AMZ1" s="129" t="s">
        <v>714</v>
      </c>
      <c r="ANA1" s="129" t="s">
        <v>713</v>
      </c>
      <c r="ANB1" s="129" t="s">
        <v>712</v>
      </c>
      <c r="ANC1" s="129" t="s">
        <v>711</v>
      </c>
      <c r="AND1" s="129" t="s">
        <v>710</v>
      </c>
      <c r="ANE1" s="129" t="s">
        <v>709</v>
      </c>
      <c r="ANF1" s="129" t="s">
        <v>708</v>
      </c>
      <c r="ANG1" s="129" t="s">
        <v>707</v>
      </c>
      <c r="ANH1" s="129" t="s">
        <v>706</v>
      </c>
      <c r="ANI1" s="129" t="s">
        <v>705</v>
      </c>
      <c r="ANJ1" s="129" t="s">
        <v>704</v>
      </c>
      <c r="ANK1" s="129" t="s">
        <v>703</v>
      </c>
      <c r="ANL1" s="129" t="s">
        <v>702</v>
      </c>
      <c r="ANM1" s="129" t="s">
        <v>701</v>
      </c>
      <c r="ANN1" s="129" t="s">
        <v>700</v>
      </c>
      <c r="ANO1" s="129" t="s">
        <v>699</v>
      </c>
      <c r="ANP1" s="129" t="s">
        <v>698</v>
      </c>
      <c r="ANQ1" s="129" t="s">
        <v>697</v>
      </c>
      <c r="ANR1" s="129" t="s">
        <v>696</v>
      </c>
      <c r="ANS1" s="129" t="s">
        <v>695</v>
      </c>
      <c r="ANT1" s="129" t="s">
        <v>694</v>
      </c>
      <c r="ANU1" s="129" t="s">
        <v>693</v>
      </c>
      <c r="ANV1" s="129" t="s">
        <v>692</v>
      </c>
      <c r="ANW1" s="129" t="s">
        <v>691</v>
      </c>
      <c r="ANX1" s="129" t="s">
        <v>690</v>
      </c>
      <c r="ANY1" s="129" t="s">
        <v>689</v>
      </c>
      <c r="ANZ1" s="129" t="s">
        <v>688</v>
      </c>
      <c r="AOA1" s="129" t="s">
        <v>687</v>
      </c>
      <c r="AOB1" s="129" t="s">
        <v>686</v>
      </c>
      <c r="AOC1" s="129" t="s">
        <v>685</v>
      </c>
      <c r="AOD1" s="129" t="s">
        <v>684</v>
      </c>
      <c r="AOE1" s="129" t="s">
        <v>683</v>
      </c>
      <c r="AOF1" s="129" t="s">
        <v>682</v>
      </c>
      <c r="AOG1" s="129" t="s">
        <v>681</v>
      </c>
      <c r="AOH1" s="129" t="s">
        <v>680</v>
      </c>
      <c r="AOI1" s="129" t="s">
        <v>679</v>
      </c>
      <c r="AOJ1" s="129" t="s">
        <v>678</v>
      </c>
      <c r="AOK1" s="129" t="s">
        <v>677</v>
      </c>
      <c r="AOL1" s="129" t="s">
        <v>676</v>
      </c>
      <c r="AOM1" s="129" t="s">
        <v>675</v>
      </c>
      <c r="AON1" s="129" t="s">
        <v>674</v>
      </c>
      <c r="AOO1" s="129" t="s">
        <v>673</v>
      </c>
      <c r="AOP1" s="129" t="s">
        <v>672</v>
      </c>
      <c r="AOQ1" s="129" t="s">
        <v>671</v>
      </c>
      <c r="AOR1" s="129" t="s">
        <v>670</v>
      </c>
      <c r="AOS1" s="129" t="s">
        <v>669</v>
      </c>
      <c r="AOT1" s="129" t="s">
        <v>668</v>
      </c>
      <c r="AOU1" s="129" t="s">
        <v>667</v>
      </c>
      <c r="AOV1" s="129" t="s">
        <v>666</v>
      </c>
      <c r="AOW1" s="129" t="s">
        <v>665</v>
      </c>
      <c r="AOX1" s="129" t="s">
        <v>664</v>
      </c>
      <c r="AOY1" s="129" t="s">
        <v>663</v>
      </c>
      <c r="AOZ1" s="129" t="s">
        <v>662</v>
      </c>
      <c r="APA1" s="129" t="s">
        <v>661</v>
      </c>
      <c r="APB1" s="129" t="s">
        <v>660</v>
      </c>
      <c r="APC1" s="129" t="s">
        <v>659</v>
      </c>
      <c r="APD1" s="129" t="s">
        <v>658</v>
      </c>
      <c r="APE1" s="129" t="s">
        <v>657</v>
      </c>
      <c r="APF1" s="129" t="s">
        <v>656</v>
      </c>
      <c r="APG1" s="129" t="s">
        <v>655</v>
      </c>
      <c r="APH1" s="129" t="s">
        <v>654</v>
      </c>
      <c r="API1" s="129" t="s">
        <v>653</v>
      </c>
      <c r="APJ1" s="129" t="s">
        <v>652</v>
      </c>
      <c r="APK1" s="129" t="s">
        <v>651</v>
      </c>
      <c r="APL1" s="129" t="s">
        <v>650</v>
      </c>
      <c r="APM1" s="129" t="s">
        <v>649</v>
      </c>
      <c r="APN1" s="129" t="s">
        <v>648</v>
      </c>
      <c r="APO1" s="129" t="s">
        <v>647</v>
      </c>
      <c r="APP1" s="129" t="s">
        <v>646</v>
      </c>
      <c r="APQ1" s="129" t="s">
        <v>645</v>
      </c>
      <c r="APR1" s="129" t="s">
        <v>644</v>
      </c>
      <c r="APS1" s="129" t="s">
        <v>643</v>
      </c>
      <c r="APT1" s="129" t="s">
        <v>642</v>
      </c>
      <c r="APU1" s="129" t="s">
        <v>641</v>
      </c>
      <c r="APV1" s="129" t="s">
        <v>640</v>
      </c>
      <c r="APW1" s="129" t="s">
        <v>639</v>
      </c>
      <c r="APX1" s="129" t="s">
        <v>638</v>
      </c>
      <c r="APY1" s="129" t="s">
        <v>637</v>
      </c>
      <c r="APZ1" s="129" t="s">
        <v>636</v>
      </c>
      <c r="AQA1" s="129" t="s">
        <v>635</v>
      </c>
      <c r="AQB1" s="129" t="s">
        <v>634</v>
      </c>
      <c r="AQC1" s="129" t="s">
        <v>633</v>
      </c>
      <c r="AQD1" s="129" t="s">
        <v>632</v>
      </c>
      <c r="AQE1" s="129" t="s">
        <v>631</v>
      </c>
      <c r="AQF1" s="129" t="s">
        <v>630</v>
      </c>
      <c r="AQG1" s="129" t="s">
        <v>629</v>
      </c>
      <c r="AQH1" s="129" t="s">
        <v>628</v>
      </c>
      <c r="AQI1" s="129" t="s">
        <v>627</v>
      </c>
      <c r="AQJ1" s="129" t="s">
        <v>626</v>
      </c>
      <c r="AQK1" s="129" t="s">
        <v>1517</v>
      </c>
      <c r="AQL1" s="129" t="s">
        <v>1518</v>
      </c>
      <c r="AQM1" s="129" t="s">
        <v>625</v>
      </c>
      <c r="AQN1" s="129" t="s">
        <v>624</v>
      </c>
      <c r="AQO1" s="129" t="s">
        <v>623</v>
      </c>
      <c r="AQP1" s="129" t="s">
        <v>622</v>
      </c>
      <c r="AQQ1" s="129" t="s">
        <v>621</v>
      </c>
      <c r="AQR1" s="129" t="s">
        <v>620</v>
      </c>
      <c r="AQS1" s="129" t="s">
        <v>619</v>
      </c>
      <c r="AQT1" s="129" t="s">
        <v>618</v>
      </c>
      <c r="AQU1" s="129" t="s">
        <v>617</v>
      </c>
      <c r="AQV1" s="129" t="s">
        <v>616</v>
      </c>
      <c r="AQW1" s="129" t="s">
        <v>615</v>
      </c>
      <c r="AQX1" s="129" t="s">
        <v>614</v>
      </c>
      <c r="AQY1" s="129" t="s">
        <v>613</v>
      </c>
      <c r="AQZ1" s="129" t="s">
        <v>612</v>
      </c>
      <c r="ARA1" s="129" t="s">
        <v>611</v>
      </c>
      <c r="ARB1" s="129" t="s">
        <v>610</v>
      </c>
      <c r="ARC1" s="129" t="s">
        <v>609</v>
      </c>
      <c r="ARD1" s="129" t="s">
        <v>608</v>
      </c>
      <c r="ARE1" s="129" t="s">
        <v>607</v>
      </c>
      <c r="ARF1" s="129" t="s">
        <v>606</v>
      </c>
      <c r="ARG1" s="129" t="s">
        <v>605</v>
      </c>
      <c r="ARH1" s="129" t="s">
        <v>604</v>
      </c>
      <c r="ARI1" s="129" t="s">
        <v>603</v>
      </c>
      <c r="ARJ1" s="129" t="s">
        <v>602</v>
      </c>
      <c r="ARK1" s="129" t="s">
        <v>601</v>
      </c>
      <c r="ARL1" s="129" t="s">
        <v>600</v>
      </c>
      <c r="ARM1" s="129" t="s">
        <v>599</v>
      </c>
      <c r="ARN1" s="129" t="s">
        <v>598</v>
      </c>
      <c r="ARO1" s="129" t="s">
        <v>597</v>
      </c>
      <c r="ARP1" s="129" t="s">
        <v>596</v>
      </c>
      <c r="ARQ1" s="129" t="s">
        <v>595</v>
      </c>
      <c r="ARR1" s="129" t="s">
        <v>594</v>
      </c>
      <c r="ARS1" s="129" t="s">
        <v>593</v>
      </c>
      <c r="ART1" s="129" t="s">
        <v>592</v>
      </c>
      <c r="ARU1" s="129" t="s">
        <v>591</v>
      </c>
      <c r="ARV1" s="129" t="s">
        <v>590</v>
      </c>
      <c r="ARW1" s="129" t="s">
        <v>589</v>
      </c>
      <c r="ARX1" s="129" t="s">
        <v>588</v>
      </c>
      <c r="ARY1" s="129" t="s">
        <v>587</v>
      </c>
      <c r="ARZ1" s="129" t="s">
        <v>586</v>
      </c>
      <c r="ASA1" s="129" t="s">
        <v>585</v>
      </c>
      <c r="ASB1" s="129" t="s">
        <v>584</v>
      </c>
      <c r="ASC1" s="129" t="s">
        <v>583</v>
      </c>
      <c r="ASD1" s="129" t="s">
        <v>582</v>
      </c>
      <c r="ASE1" s="129" t="s">
        <v>581</v>
      </c>
      <c r="ASF1" s="129" t="s">
        <v>580</v>
      </c>
      <c r="ASG1" s="129" t="s">
        <v>579</v>
      </c>
      <c r="ASH1" s="129" t="s">
        <v>578</v>
      </c>
      <c r="ASI1" s="129" t="s">
        <v>577</v>
      </c>
      <c r="ASJ1" s="129" t="s">
        <v>576</v>
      </c>
      <c r="ASK1" s="129" t="s">
        <v>575</v>
      </c>
      <c r="ASL1" s="129" t="s">
        <v>574</v>
      </c>
      <c r="ASM1" s="129" t="s">
        <v>1373</v>
      </c>
      <c r="ASN1" s="129" t="s">
        <v>1374</v>
      </c>
      <c r="ASO1" s="129" t="s">
        <v>1375</v>
      </c>
      <c r="ASP1" s="129" t="s">
        <v>1376</v>
      </c>
      <c r="ASQ1" s="129" t="s">
        <v>1377</v>
      </c>
      <c r="ASR1" s="129" t="s">
        <v>1378</v>
      </c>
      <c r="ASS1" s="129" t="s">
        <v>1379</v>
      </c>
      <c r="AST1" s="129" t="s">
        <v>1380</v>
      </c>
      <c r="ASU1" s="129" t="s">
        <v>1381</v>
      </c>
      <c r="ASV1" s="129" t="s">
        <v>1382</v>
      </c>
      <c r="ASW1" s="129" t="s">
        <v>1383</v>
      </c>
      <c r="ASX1" s="129" t="s">
        <v>1384</v>
      </c>
      <c r="ASY1" s="129" t="s">
        <v>1385</v>
      </c>
      <c r="ASZ1" s="129" t="s">
        <v>1386</v>
      </c>
      <c r="ATA1" s="129" t="s">
        <v>1387</v>
      </c>
      <c r="ATB1" s="129" t="s">
        <v>1388</v>
      </c>
      <c r="ATC1" s="129" t="s">
        <v>1389</v>
      </c>
      <c r="ATD1" s="129" t="s">
        <v>1390</v>
      </c>
      <c r="ATE1" s="129" t="s">
        <v>1391</v>
      </c>
      <c r="ATF1" s="129" t="s">
        <v>1392</v>
      </c>
      <c r="ATG1" s="129" t="s">
        <v>1393</v>
      </c>
      <c r="ATH1" s="129" t="s">
        <v>1394</v>
      </c>
      <c r="ATI1" s="129" t="s">
        <v>1395</v>
      </c>
      <c r="ATJ1" s="129" t="s">
        <v>1396</v>
      </c>
      <c r="ATK1" s="129" t="s">
        <v>1397</v>
      </c>
      <c r="ATL1" s="129" t="s">
        <v>1398</v>
      </c>
      <c r="ATM1" s="129" t="s">
        <v>1399</v>
      </c>
      <c r="ATN1" s="129" t="s">
        <v>1400</v>
      </c>
      <c r="ATO1" s="129" t="s">
        <v>1401</v>
      </c>
      <c r="ATP1" s="129" t="s">
        <v>1402</v>
      </c>
      <c r="ATQ1" s="129" t="s">
        <v>1403</v>
      </c>
      <c r="ATR1" s="129" t="s">
        <v>1404</v>
      </c>
      <c r="ATS1" s="129" t="s">
        <v>1405</v>
      </c>
      <c r="ATT1" s="129" t="s">
        <v>1406</v>
      </c>
      <c r="ATU1" s="129" t="s">
        <v>1407</v>
      </c>
      <c r="ATV1" s="129" t="s">
        <v>1408</v>
      </c>
      <c r="ATW1" s="129" t="s">
        <v>1409</v>
      </c>
      <c r="ATX1" s="129" t="s">
        <v>1410</v>
      </c>
      <c r="ATY1" s="129" t="s">
        <v>1411</v>
      </c>
      <c r="ATZ1" s="129" t="s">
        <v>1412</v>
      </c>
      <c r="AUA1" s="129" t="s">
        <v>1413</v>
      </c>
      <c r="AUB1" s="129" t="s">
        <v>1414</v>
      </c>
      <c r="AUC1" s="129" t="s">
        <v>1415</v>
      </c>
      <c r="AUD1" s="129" t="s">
        <v>1416</v>
      </c>
      <c r="AUE1" s="129" t="s">
        <v>1417</v>
      </c>
      <c r="AUF1" s="129" t="s">
        <v>1418</v>
      </c>
      <c r="AUG1" s="129" t="s">
        <v>1419</v>
      </c>
      <c r="AUH1" s="129" t="s">
        <v>1420</v>
      </c>
      <c r="AUI1" s="129" t="s">
        <v>1421</v>
      </c>
      <c r="AUJ1" s="129" t="s">
        <v>1422</v>
      </c>
      <c r="AUK1" s="129" t="s">
        <v>1423</v>
      </c>
      <c r="AUL1" s="129" t="s">
        <v>1424</v>
      </c>
      <c r="AUM1" s="129" t="s">
        <v>1425</v>
      </c>
      <c r="AUN1" s="129" t="s">
        <v>1426</v>
      </c>
      <c r="AUO1" s="129" t="s">
        <v>1427</v>
      </c>
      <c r="AUP1" s="129" t="s">
        <v>1428</v>
      </c>
      <c r="AUQ1" s="129" t="s">
        <v>1429</v>
      </c>
      <c r="AUR1" s="129" t="s">
        <v>1430</v>
      </c>
      <c r="AUS1" s="129" t="s">
        <v>1431</v>
      </c>
      <c r="AUT1" s="129" t="s">
        <v>1432</v>
      </c>
      <c r="AUU1" s="129" t="s">
        <v>1433</v>
      </c>
      <c r="AUV1" s="129" t="s">
        <v>1434</v>
      </c>
      <c r="AUW1" s="129" t="s">
        <v>1435</v>
      </c>
      <c r="AUX1" s="129" t="s">
        <v>1436</v>
      </c>
      <c r="AUY1" s="129" t="s">
        <v>1437</v>
      </c>
      <c r="AUZ1" s="129" t="s">
        <v>1438</v>
      </c>
      <c r="AVA1" s="129" t="s">
        <v>1439</v>
      </c>
      <c r="AVB1" s="129" t="s">
        <v>1440</v>
      </c>
      <c r="AVC1" s="129" t="s">
        <v>1441</v>
      </c>
      <c r="AVD1" s="129" t="s">
        <v>1442</v>
      </c>
      <c r="AVE1" s="129" t="s">
        <v>1443</v>
      </c>
      <c r="AVF1" s="129" t="s">
        <v>1444</v>
      </c>
      <c r="AVG1" s="129" t="s">
        <v>1445</v>
      </c>
      <c r="AVH1" s="129" t="s">
        <v>1446</v>
      </c>
      <c r="AVI1" s="129" t="s">
        <v>1447</v>
      </c>
      <c r="AVJ1" s="129" t="s">
        <v>1448</v>
      </c>
      <c r="AVK1" s="129" t="s">
        <v>1449</v>
      </c>
      <c r="AVL1" s="129" t="s">
        <v>1450</v>
      </c>
      <c r="AVM1" s="129" t="s">
        <v>1451</v>
      </c>
      <c r="AVN1" s="129" t="s">
        <v>1452</v>
      </c>
      <c r="AVO1" s="129" t="s">
        <v>1453</v>
      </c>
      <c r="AVP1" s="129" t="s">
        <v>1454</v>
      </c>
      <c r="AVQ1" s="129" t="s">
        <v>1455</v>
      </c>
      <c r="AVR1" s="129" t="s">
        <v>1456</v>
      </c>
      <c r="AVS1" s="129" t="s">
        <v>1457</v>
      </c>
      <c r="AVT1" s="129" t="s">
        <v>1458</v>
      </c>
      <c r="AVU1" s="129" t="s">
        <v>1459</v>
      </c>
      <c r="AVV1" s="129" t="s">
        <v>1460</v>
      </c>
      <c r="AVW1" s="129" t="s">
        <v>1461</v>
      </c>
      <c r="AVX1" s="129" t="s">
        <v>1462</v>
      </c>
      <c r="AVY1" s="129" t="s">
        <v>1463</v>
      </c>
      <c r="AVZ1" s="129" t="s">
        <v>1464</v>
      </c>
      <c r="AWA1" s="129" t="s">
        <v>1465</v>
      </c>
      <c r="AWB1" s="129" t="s">
        <v>1466</v>
      </c>
      <c r="AWC1" s="129" t="s">
        <v>1467</v>
      </c>
      <c r="AWD1" s="129" t="s">
        <v>1468</v>
      </c>
      <c r="AWE1" s="129" t="s">
        <v>1469</v>
      </c>
      <c r="AWF1" s="129" t="s">
        <v>1470</v>
      </c>
      <c r="AWG1" s="129" t="s">
        <v>1471</v>
      </c>
      <c r="AWH1" s="129" t="s">
        <v>1472</v>
      </c>
      <c r="AWI1" s="129" t="s">
        <v>1473</v>
      </c>
      <c r="AWJ1" s="129" t="s">
        <v>1474</v>
      </c>
      <c r="AWK1" s="129" t="s">
        <v>1475</v>
      </c>
      <c r="AWL1" s="129" t="s">
        <v>1476</v>
      </c>
      <c r="AWM1" s="129" t="s">
        <v>1477</v>
      </c>
      <c r="AWN1" s="129" t="s">
        <v>1478</v>
      </c>
      <c r="AWO1" s="129" t="s">
        <v>1479</v>
      </c>
      <c r="AWP1" s="129" t="s">
        <v>1480</v>
      </c>
      <c r="AWQ1" s="129" t="s">
        <v>1481</v>
      </c>
      <c r="AWR1" s="129" t="s">
        <v>1482</v>
      </c>
      <c r="AWS1" s="129" t="s">
        <v>1483</v>
      </c>
      <c r="AWT1" s="129" t="s">
        <v>1484</v>
      </c>
      <c r="AWU1" s="129" t="s">
        <v>1485</v>
      </c>
      <c r="AWV1" s="129" t="s">
        <v>1486</v>
      </c>
      <c r="AWW1" s="129" t="s">
        <v>1487</v>
      </c>
      <c r="AWX1" s="129" t="s">
        <v>1488</v>
      </c>
      <c r="AWY1" s="129" t="s">
        <v>1489</v>
      </c>
      <c r="AWZ1" s="129" t="s">
        <v>1490</v>
      </c>
      <c r="AXA1" s="129" t="s">
        <v>1491</v>
      </c>
      <c r="AXB1" s="129" t="s">
        <v>1492</v>
      </c>
      <c r="AXC1" s="129" t="s">
        <v>1493</v>
      </c>
      <c r="AXD1" s="129" t="s">
        <v>1494</v>
      </c>
      <c r="AXE1" s="129" t="s">
        <v>1495</v>
      </c>
      <c r="AXF1" s="129" t="s">
        <v>1496</v>
      </c>
      <c r="AXG1" s="129" t="s">
        <v>1497</v>
      </c>
      <c r="AXH1" s="129" t="s">
        <v>1498</v>
      </c>
      <c r="AXI1" s="129" t="s">
        <v>1499</v>
      </c>
      <c r="AXJ1" s="129" t="s">
        <v>1500</v>
      </c>
      <c r="AXK1" s="129" t="s">
        <v>1501</v>
      </c>
      <c r="AXL1" s="129" t="s">
        <v>1502</v>
      </c>
      <c r="AXM1" s="129" t="s">
        <v>1503</v>
      </c>
      <c r="AXN1" s="129" t="s">
        <v>1504</v>
      </c>
      <c r="AXO1" s="129" t="s">
        <v>1505</v>
      </c>
      <c r="AXP1" s="129" t="s">
        <v>1506</v>
      </c>
      <c r="AXQ1" s="129" t="s">
        <v>1507</v>
      </c>
      <c r="AXR1" s="129" t="s">
        <v>1508</v>
      </c>
      <c r="AXS1" s="129" t="s">
        <v>1509</v>
      </c>
      <c r="AXT1" s="129" t="s">
        <v>1510</v>
      </c>
      <c r="AXU1" s="129" t="s">
        <v>1511</v>
      </c>
      <c r="AXV1" s="129" t="s">
        <v>1512</v>
      </c>
      <c r="AXW1" s="129" t="s">
        <v>1513</v>
      </c>
      <c r="AXX1" s="129" t="s">
        <v>1514</v>
      </c>
      <c r="AXY1" s="129" t="s">
        <v>1515</v>
      </c>
      <c r="AXZ1" s="129" t="s">
        <v>1516</v>
      </c>
      <c r="AYA1" s="129" t="s">
        <v>1519</v>
      </c>
      <c r="AYB1" s="129" t="s">
        <v>1520</v>
      </c>
      <c r="AYC1" s="129" t="s">
        <v>1521</v>
      </c>
      <c r="AYD1" s="129" t="s">
        <v>1522</v>
      </c>
      <c r="AYE1" s="129" t="s">
        <v>1523</v>
      </c>
      <c r="AYF1" s="129" t="s">
        <v>1524</v>
      </c>
      <c r="AYG1" s="129" t="s">
        <v>1525</v>
      </c>
      <c r="AYH1" s="129" t="s">
        <v>1526</v>
      </c>
      <c r="AYI1" s="129" t="s">
        <v>1527</v>
      </c>
      <c r="AYJ1" s="129" t="s">
        <v>1528</v>
      </c>
      <c r="AYK1" s="129" t="s">
        <v>1529</v>
      </c>
      <c r="AYL1" s="129" t="s">
        <v>1530</v>
      </c>
      <c r="AYM1" s="129" t="s">
        <v>1531</v>
      </c>
      <c r="AYN1" s="129" t="s">
        <v>1532</v>
      </c>
      <c r="AYO1" s="129" t="s">
        <v>1533</v>
      </c>
      <c r="AYP1" s="129" t="s">
        <v>1534</v>
      </c>
      <c r="AYQ1" s="129" t="s">
        <v>1535</v>
      </c>
      <c r="AYR1" s="129" t="s">
        <v>1536</v>
      </c>
      <c r="AYS1" s="129" t="s">
        <v>1537</v>
      </c>
      <c r="AYT1" s="129" t="s">
        <v>1538</v>
      </c>
      <c r="AYU1" s="129" t="s">
        <v>1539</v>
      </c>
      <c r="AYV1" s="129" t="s">
        <v>1540</v>
      </c>
      <c r="AYW1" s="129" t="s">
        <v>1541</v>
      </c>
      <c r="AYX1" s="129" t="s">
        <v>1542</v>
      </c>
      <c r="AYY1" s="129" t="s">
        <v>1543</v>
      </c>
      <c r="AYZ1" s="129" t="s">
        <v>1544</v>
      </c>
      <c r="AZA1" s="129" t="s">
        <v>1545</v>
      </c>
      <c r="AZB1" s="129" t="s">
        <v>1546</v>
      </c>
      <c r="AZC1" s="129" t="s">
        <v>1547</v>
      </c>
      <c r="AZD1" s="129" t="s">
        <v>1548</v>
      </c>
      <c r="AZE1" s="129" t="s">
        <v>1549</v>
      </c>
      <c r="AZF1" s="129" t="s">
        <v>1550</v>
      </c>
      <c r="AZG1" s="129" t="s">
        <v>1551</v>
      </c>
      <c r="AZH1" s="129" t="s">
        <v>1552</v>
      </c>
      <c r="AZI1" s="129" t="s">
        <v>1553</v>
      </c>
      <c r="AZJ1" s="129" t="s">
        <v>1554</v>
      </c>
      <c r="AZK1" s="129" t="s">
        <v>1555</v>
      </c>
      <c r="AZL1" s="129" t="s">
        <v>1556</v>
      </c>
      <c r="AZM1" s="129" t="s">
        <v>1557</v>
      </c>
      <c r="AZN1" s="129" t="s">
        <v>1558</v>
      </c>
      <c r="AZO1" s="129" t="s">
        <v>1559</v>
      </c>
      <c r="AZP1" s="129" t="s">
        <v>1560</v>
      </c>
      <c r="AZQ1" s="129" t="s">
        <v>1561</v>
      </c>
      <c r="AZR1" s="129" t="s">
        <v>1562</v>
      </c>
      <c r="AZS1" s="129" t="s">
        <v>1563</v>
      </c>
      <c r="AZT1" s="129" t="s">
        <v>1564</v>
      </c>
      <c r="AZU1" s="129" t="s">
        <v>1565</v>
      </c>
      <c r="AZV1" s="129" t="s">
        <v>1566</v>
      </c>
      <c r="AZW1" s="129" t="s">
        <v>1567</v>
      </c>
      <c r="AZX1" s="129" t="s">
        <v>1568</v>
      </c>
      <c r="AZY1" s="129" t="s">
        <v>1569</v>
      </c>
      <c r="AZZ1" s="129" t="s">
        <v>1570</v>
      </c>
      <c r="BAA1" s="129" t="s">
        <v>1571</v>
      </c>
      <c r="BAB1" s="129" t="s">
        <v>1572</v>
      </c>
      <c r="BAC1" s="129" t="s">
        <v>1573</v>
      </c>
      <c r="BAD1" s="129" t="s">
        <v>1574</v>
      </c>
      <c r="BAE1" s="129" t="s">
        <v>1575</v>
      </c>
      <c r="BAF1" s="129" t="s">
        <v>1576</v>
      </c>
      <c r="BAG1" s="129" t="s">
        <v>1577</v>
      </c>
      <c r="BAH1" s="129" t="s">
        <v>1578</v>
      </c>
      <c r="BAI1" s="129" t="s">
        <v>1579</v>
      </c>
      <c r="BAJ1" s="129" t="s">
        <v>1580</v>
      </c>
      <c r="BAK1" s="129" t="s">
        <v>1581</v>
      </c>
      <c r="BAL1" s="129" t="s">
        <v>1582</v>
      </c>
      <c r="BAM1" s="129" t="s">
        <v>1583</v>
      </c>
      <c r="BAN1" s="129" t="s">
        <v>1584</v>
      </c>
      <c r="BAO1" s="129" t="s">
        <v>1585</v>
      </c>
      <c r="BAP1" s="129" t="s">
        <v>1586</v>
      </c>
      <c r="BAQ1" s="129" t="s">
        <v>1587</v>
      </c>
      <c r="BAR1" s="129" t="s">
        <v>1588</v>
      </c>
      <c r="BAS1" s="129" t="s">
        <v>1589</v>
      </c>
      <c r="BAT1" s="129" t="s">
        <v>1590</v>
      </c>
      <c r="BAU1" s="129" t="s">
        <v>1591</v>
      </c>
      <c r="BAV1" s="129" t="s">
        <v>1592</v>
      </c>
      <c r="BAW1" s="129" t="s">
        <v>1593</v>
      </c>
      <c r="BAX1" s="129" t="s">
        <v>1594</v>
      </c>
      <c r="BAY1" s="129" t="s">
        <v>1595</v>
      </c>
      <c r="BAZ1" s="129" t="s">
        <v>1596</v>
      </c>
      <c r="BBA1" s="129" t="s">
        <v>1597</v>
      </c>
      <c r="BBB1" s="129" t="s">
        <v>1598</v>
      </c>
      <c r="BBC1" s="129" t="s">
        <v>1599</v>
      </c>
      <c r="BBD1" s="129" t="s">
        <v>1600</v>
      </c>
      <c r="BBE1" s="129" t="s">
        <v>1601</v>
      </c>
      <c r="BBF1" s="129" t="s">
        <v>1602</v>
      </c>
      <c r="BBG1" s="129" t="s">
        <v>1603</v>
      </c>
      <c r="BBH1" s="129" t="s">
        <v>1604</v>
      </c>
      <c r="BBI1" s="129" t="s">
        <v>1605</v>
      </c>
      <c r="BBJ1" s="129" t="s">
        <v>1606</v>
      </c>
      <c r="BBK1" s="129" t="s">
        <v>1607</v>
      </c>
      <c r="BBL1" s="129" t="s">
        <v>1608</v>
      </c>
      <c r="BBM1" s="129" t="s">
        <v>1609</v>
      </c>
      <c r="BBN1" s="129" t="s">
        <v>1610</v>
      </c>
      <c r="BBO1" s="129" t="s">
        <v>1611</v>
      </c>
      <c r="BBP1" s="129" t="s">
        <v>1612</v>
      </c>
      <c r="BBQ1" s="129" t="s">
        <v>1613</v>
      </c>
      <c r="BBR1" s="129" t="s">
        <v>1614</v>
      </c>
      <c r="BBS1" s="129" t="s">
        <v>1615</v>
      </c>
      <c r="BBT1" s="129" t="s">
        <v>1616</v>
      </c>
      <c r="BBU1" s="129" t="s">
        <v>1617</v>
      </c>
      <c r="BBV1" s="129" t="s">
        <v>1618</v>
      </c>
      <c r="BBW1" s="129" t="s">
        <v>1619</v>
      </c>
      <c r="BBX1" s="129" t="s">
        <v>1620</v>
      </c>
      <c r="BBY1" s="129" t="s">
        <v>1621</v>
      </c>
      <c r="BBZ1" s="129" t="s">
        <v>1622</v>
      </c>
      <c r="BCA1" s="129" t="s">
        <v>1623</v>
      </c>
      <c r="BCB1" s="129" t="s">
        <v>1624</v>
      </c>
      <c r="BCC1" s="129" t="s">
        <v>1625</v>
      </c>
      <c r="BCD1" s="129" t="s">
        <v>1626</v>
      </c>
      <c r="BCE1" s="129" t="s">
        <v>1627</v>
      </c>
      <c r="BCF1" s="129" t="s">
        <v>1628</v>
      </c>
      <c r="BCG1" s="129" t="s">
        <v>1629</v>
      </c>
      <c r="BCH1" s="129" t="s">
        <v>1630</v>
      </c>
      <c r="BCI1" s="129" t="s">
        <v>1631</v>
      </c>
      <c r="BCJ1" s="129" t="s">
        <v>1632</v>
      </c>
      <c r="BCK1" s="129" t="s">
        <v>1633</v>
      </c>
      <c r="BCL1" s="129" t="s">
        <v>1634</v>
      </c>
      <c r="BCM1" s="129" t="s">
        <v>1635</v>
      </c>
      <c r="BCN1" s="129" t="s">
        <v>1636</v>
      </c>
      <c r="BCO1" s="129" t="s">
        <v>1637</v>
      </c>
      <c r="BCP1" s="129" t="s">
        <v>1638</v>
      </c>
      <c r="BCQ1" s="129" t="s">
        <v>1639</v>
      </c>
      <c r="BCR1" s="129" t="s">
        <v>1640</v>
      </c>
      <c r="BCS1" s="129" t="s">
        <v>1641</v>
      </c>
      <c r="BCT1" s="129" t="s">
        <v>1642</v>
      </c>
      <c r="BCU1" s="129" t="s">
        <v>1643</v>
      </c>
      <c r="BCV1" s="129" t="s">
        <v>1644</v>
      </c>
      <c r="BCW1" s="129" t="s">
        <v>1645</v>
      </c>
      <c r="BCX1" s="129" t="s">
        <v>1646</v>
      </c>
      <c r="BCY1" s="129" t="s">
        <v>1647</v>
      </c>
      <c r="BCZ1" s="129" t="s">
        <v>1648</v>
      </c>
      <c r="BDA1" s="129" t="s">
        <v>1649</v>
      </c>
      <c r="BDB1" s="129" t="s">
        <v>1650</v>
      </c>
      <c r="BDC1" s="129" t="s">
        <v>1651</v>
      </c>
      <c r="BDD1" s="129" t="s">
        <v>1652</v>
      </c>
      <c r="BDE1" s="129" t="s">
        <v>1653</v>
      </c>
      <c r="BDF1" s="129" t="s">
        <v>1654</v>
      </c>
      <c r="BDG1" s="129" t="s">
        <v>1655</v>
      </c>
      <c r="BDH1" s="129" t="s">
        <v>1656</v>
      </c>
      <c r="BDI1" s="129" t="s">
        <v>1657</v>
      </c>
      <c r="BDJ1" s="129" t="s">
        <v>1658</v>
      </c>
      <c r="BDK1" s="129" t="s">
        <v>1659</v>
      </c>
      <c r="BDL1" s="129" t="s">
        <v>1660</v>
      </c>
      <c r="BDM1" s="129" t="s">
        <v>1661</v>
      </c>
      <c r="BDN1" s="129" t="s">
        <v>1662</v>
      </c>
      <c r="BDO1" s="129" t="s">
        <v>1663</v>
      </c>
      <c r="BDP1" s="129" t="s">
        <v>1664</v>
      </c>
      <c r="BDQ1" s="129" t="s">
        <v>1665</v>
      </c>
      <c r="BDR1" s="129" t="s">
        <v>1666</v>
      </c>
      <c r="BDS1" s="129" t="s">
        <v>1667</v>
      </c>
      <c r="BDT1" s="129" t="s">
        <v>1668</v>
      </c>
      <c r="BDU1" s="129" t="s">
        <v>1669</v>
      </c>
      <c r="BDV1" s="129" t="s">
        <v>1670</v>
      </c>
      <c r="BDW1" s="129" t="s">
        <v>1671</v>
      </c>
      <c r="BDX1" s="129" t="s">
        <v>1672</v>
      </c>
      <c r="BDY1" s="129" t="s">
        <v>1673</v>
      </c>
      <c r="BDZ1" s="129" t="s">
        <v>1674</v>
      </c>
      <c r="BEA1" s="129" t="s">
        <v>1675</v>
      </c>
      <c r="BEB1" s="129" t="s">
        <v>1676</v>
      </c>
      <c r="BEC1" s="129" t="s">
        <v>1677</v>
      </c>
      <c r="BED1" s="129" t="s">
        <v>1678</v>
      </c>
      <c r="BEE1" s="129" t="s">
        <v>1679</v>
      </c>
      <c r="BEF1" s="129" t="s">
        <v>1680</v>
      </c>
      <c r="BEG1" s="129" t="s">
        <v>1681</v>
      </c>
      <c r="BEH1" s="129" t="s">
        <v>1682</v>
      </c>
      <c r="BEI1" s="129" t="s">
        <v>1683</v>
      </c>
      <c r="BEJ1" s="129" t="s">
        <v>1684</v>
      </c>
      <c r="BEK1" s="129" t="s">
        <v>1685</v>
      </c>
      <c r="BEL1" s="129" t="s">
        <v>1686</v>
      </c>
      <c r="BEM1" s="129" t="s">
        <v>1687</v>
      </c>
      <c r="BEN1" s="129" t="s">
        <v>1688</v>
      </c>
      <c r="BEO1" s="129" t="s">
        <v>1689</v>
      </c>
      <c r="BEP1" s="129" t="s">
        <v>1690</v>
      </c>
      <c r="BEQ1" s="129" t="s">
        <v>1691</v>
      </c>
      <c r="BER1" s="129" t="s">
        <v>1692</v>
      </c>
      <c r="BES1" s="129" t="s">
        <v>1693</v>
      </c>
      <c r="BET1" s="129" t="s">
        <v>1694</v>
      </c>
      <c r="BEU1" s="129" t="s">
        <v>1695</v>
      </c>
      <c r="BEV1" s="129" t="s">
        <v>1696</v>
      </c>
      <c r="BEW1" s="129" t="s">
        <v>1697</v>
      </c>
      <c r="BEX1" s="129" t="s">
        <v>1698</v>
      </c>
      <c r="BEY1" s="129" t="s">
        <v>1699</v>
      </c>
      <c r="BEZ1" s="129" t="s">
        <v>1700</v>
      </c>
      <c r="BFA1" s="129" t="s">
        <v>1701</v>
      </c>
      <c r="BFB1" s="129" t="s">
        <v>1702</v>
      </c>
      <c r="BFC1" s="129" t="s">
        <v>1703</v>
      </c>
      <c r="BFD1" s="129" t="s">
        <v>1704</v>
      </c>
      <c r="BFE1" s="129" t="s">
        <v>1705</v>
      </c>
      <c r="BFF1" s="129" t="s">
        <v>1706</v>
      </c>
      <c r="BFG1" s="129" t="s">
        <v>1707</v>
      </c>
      <c r="BFH1" s="129" t="s">
        <v>1708</v>
      </c>
      <c r="BFI1" s="129" t="s">
        <v>1709</v>
      </c>
      <c r="BFJ1" s="129" t="s">
        <v>1710</v>
      </c>
      <c r="BFK1" s="129" t="s">
        <v>1711</v>
      </c>
      <c r="BFL1" s="129" t="s">
        <v>1712</v>
      </c>
      <c r="BFM1" s="129" t="s">
        <v>1713</v>
      </c>
      <c r="BFN1" s="129" t="s">
        <v>1714</v>
      </c>
      <c r="BFO1" s="129" t="s">
        <v>1715</v>
      </c>
      <c r="BFP1" s="129" t="s">
        <v>1716</v>
      </c>
      <c r="BFQ1" s="129" t="s">
        <v>1717</v>
      </c>
      <c r="BFR1" s="129" t="s">
        <v>1718</v>
      </c>
      <c r="BFS1" s="129" t="s">
        <v>1719</v>
      </c>
      <c r="BFT1" s="129" t="s">
        <v>1720</v>
      </c>
      <c r="BFU1" s="129" t="s">
        <v>1721</v>
      </c>
      <c r="BFV1" s="129" t="s">
        <v>1722</v>
      </c>
      <c r="BFW1" s="129" t="s">
        <v>1723</v>
      </c>
      <c r="BFX1" s="129" t="s">
        <v>1724</v>
      </c>
      <c r="BFY1" s="129" t="s">
        <v>1725</v>
      </c>
      <c r="BFZ1" s="129" t="s">
        <v>1726</v>
      </c>
      <c r="BGA1" s="129" t="s">
        <v>1727</v>
      </c>
      <c r="BGB1" s="129" t="s">
        <v>1728</v>
      </c>
      <c r="BGC1" s="129" t="s">
        <v>1729</v>
      </c>
      <c r="BGD1" s="129" t="s">
        <v>1730</v>
      </c>
      <c r="BGE1" s="129" t="s">
        <v>1731</v>
      </c>
      <c r="BGF1" s="129" t="s">
        <v>1732</v>
      </c>
      <c r="BGG1" s="129" t="s">
        <v>1733</v>
      </c>
      <c r="BGH1" s="129" t="s">
        <v>1734</v>
      </c>
      <c r="BGI1" s="129" t="s">
        <v>1735</v>
      </c>
      <c r="BGJ1" s="129" t="s">
        <v>1736</v>
      </c>
      <c r="BGK1" s="129" t="s">
        <v>1737</v>
      </c>
      <c r="BGL1" s="129" t="s">
        <v>1738</v>
      </c>
      <c r="BGM1" s="129" t="s">
        <v>1739</v>
      </c>
      <c r="BGN1" s="129" t="s">
        <v>1740</v>
      </c>
      <c r="BGO1" s="129" t="s">
        <v>1741</v>
      </c>
      <c r="BGP1" s="129" t="s">
        <v>1742</v>
      </c>
      <c r="BGQ1" s="129" t="s">
        <v>1743</v>
      </c>
      <c r="BGR1" s="129" t="s">
        <v>1744</v>
      </c>
      <c r="BGS1" s="129" t="s">
        <v>1745</v>
      </c>
      <c r="BGT1" s="129" t="s">
        <v>1746</v>
      </c>
    </row>
    <row r="2" spans="1:1554" x14ac:dyDescent="0.25">
      <c r="A2" t="s">
        <v>136</v>
      </c>
      <c r="B2">
        <v>2008</v>
      </c>
      <c r="C2">
        <v>1</v>
      </c>
      <c r="D2" t="s">
        <v>535</v>
      </c>
      <c r="E2">
        <v>768839</v>
      </c>
      <c r="F2">
        <v>0.44171539999999998</v>
      </c>
      <c r="G2">
        <v>339608</v>
      </c>
      <c r="H2">
        <v>0.13241739999999999</v>
      </c>
      <c r="I2">
        <v>339608</v>
      </c>
      <c r="J2">
        <v>2.4130800000000001E-2</v>
      </c>
      <c r="K2">
        <v>339608</v>
      </c>
      <c r="L2">
        <v>0.1339986</v>
      </c>
      <c r="M2">
        <v>339608</v>
      </c>
      <c r="N2">
        <v>5.5110600000000003E-2</v>
      </c>
      <c r="O2">
        <v>339608</v>
      </c>
      <c r="P2">
        <v>2.4410500000000002E-2</v>
      </c>
      <c r="Q2">
        <v>339608</v>
      </c>
      <c r="R2">
        <v>3.6757100000000001E-2</v>
      </c>
      <c r="S2">
        <v>339608</v>
      </c>
      <c r="T2">
        <v>0.1291842</v>
      </c>
      <c r="U2">
        <v>339608</v>
      </c>
      <c r="V2">
        <v>0.12335989999999999</v>
      </c>
      <c r="W2">
        <v>339608</v>
      </c>
      <c r="X2">
        <v>0.101414</v>
      </c>
      <c r="Y2">
        <v>339608</v>
      </c>
      <c r="Z2">
        <v>9.7273899999999996E-2</v>
      </c>
      <c r="AA2">
        <v>339608</v>
      </c>
      <c r="AB2">
        <v>7.2312799999999997E-2</v>
      </c>
      <c r="AC2">
        <v>339608</v>
      </c>
      <c r="AD2">
        <v>3.9419000000000003E-2</v>
      </c>
      <c r="AE2">
        <v>339608</v>
      </c>
      <c r="AF2">
        <v>3.02113E-2</v>
      </c>
      <c r="AG2">
        <v>768839</v>
      </c>
      <c r="AH2">
        <v>0.55828460000000002</v>
      </c>
      <c r="AI2">
        <v>429231</v>
      </c>
      <c r="AJ2">
        <v>0.1053186</v>
      </c>
      <c r="AK2">
        <v>429231</v>
      </c>
      <c r="AL2">
        <v>1.71469E-2</v>
      </c>
      <c r="AM2">
        <v>429231</v>
      </c>
      <c r="AN2">
        <v>0.1007499</v>
      </c>
      <c r="AO2">
        <v>429231</v>
      </c>
      <c r="AP2">
        <v>5.26639E-2</v>
      </c>
      <c r="AQ2">
        <v>429231</v>
      </c>
      <c r="AR2">
        <v>1.56559E-2</v>
      </c>
      <c r="AS2">
        <v>429231</v>
      </c>
      <c r="AT2">
        <v>3.24348E-2</v>
      </c>
      <c r="AU2">
        <v>429231</v>
      </c>
      <c r="AV2">
        <v>0.13723150000000001</v>
      </c>
      <c r="AW2">
        <v>429231</v>
      </c>
      <c r="AX2">
        <v>0.14772469999999999</v>
      </c>
      <c r="AY2">
        <v>429231</v>
      </c>
      <c r="AZ2">
        <v>0.1092023</v>
      </c>
      <c r="BA2">
        <v>429231</v>
      </c>
      <c r="BB2">
        <v>0.1062342</v>
      </c>
      <c r="BC2">
        <v>429231</v>
      </c>
      <c r="BD2">
        <v>6.5020900000000006E-2</v>
      </c>
      <c r="BE2">
        <v>429231</v>
      </c>
      <c r="BF2">
        <v>5.0935300000000003E-2</v>
      </c>
      <c r="BG2">
        <v>429231</v>
      </c>
      <c r="BH2">
        <v>5.9681199999999997E-2</v>
      </c>
      <c r="BI2">
        <v>4441315</v>
      </c>
      <c r="BJ2">
        <v>0.49600559999999999</v>
      </c>
      <c r="BK2">
        <v>2202917</v>
      </c>
      <c r="BL2">
        <v>6.8064299999999994E-2</v>
      </c>
      <c r="BM2">
        <v>2202917</v>
      </c>
      <c r="BN2">
        <v>1.2881999999999999E-2</v>
      </c>
      <c r="BO2">
        <v>2202917</v>
      </c>
      <c r="BP2">
        <v>7.77283E-2</v>
      </c>
      <c r="BQ2">
        <v>2202917</v>
      </c>
      <c r="BR2">
        <v>3.8390000000000001E-2</v>
      </c>
      <c r="BS2">
        <v>2202917</v>
      </c>
      <c r="BT2">
        <v>1.3933299999999999E-2</v>
      </c>
      <c r="BU2">
        <v>2202917</v>
      </c>
      <c r="BV2">
        <v>2.79189E-2</v>
      </c>
      <c r="BW2">
        <v>2202917</v>
      </c>
      <c r="BX2">
        <v>9.3274099999999999E-2</v>
      </c>
      <c r="BY2">
        <v>2202917</v>
      </c>
      <c r="BZ2">
        <v>0.14793390000000001</v>
      </c>
      <c r="CA2">
        <v>2202917</v>
      </c>
      <c r="CB2">
        <v>0.16191939999999999</v>
      </c>
      <c r="CC2">
        <v>2202917</v>
      </c>
      <c r="CD2">
        <v>0.1514065</v>
      </c>
      <c r="CE2">
        <v>2202917</v>
      </c>
      <c r="CF2">
        <v>0.10596</v>
      </c>
      <c r="CG2">
        <v>2202917</v>
      </c>
      <c r="CH2">
        <v>5.8055799999999998E-2</v>
      </c>
      <c r="CI2">
        <v>2202917</v>
      </c>
      <c r="CJ2">
        <v>4.2533599999999998E-2</v>
      </c>
      <c r="CK2">
        <v>4441315</v>
      </c>
      <c r="CL2">
        <v>0.50399439999999995</v>
      </c>
      <c r="CM2">
        <v>2238398</v>
      </c>
      <c r="CN2">
        <v>6.2544299999999997E-2</v>
      </c>
      <c r="CO2">
        <v>2238398</v>
      </c>
      <c r="CP2">
        <v>1.2060400000000001E-2</v>
      </c>
      <c r="CQ2">
        <v>2238398</v>
      </c>
      <c r="CR2">
        <v>6.9972800000000002E-2</v>
      </c>
      <c r="CS2">
        <v>2238398</v>
      </c>
      <c r="CT2">
        <v>3.8458800000000001E-2</v>
      </c>
      <c r="CU2">
        <v>2238398</v>
      </c>
      <c r="CV2">
        <v>1.26126E-2</v>
      </c>
      <c r="CW2">
        <v>2238398</v>
      </c>
      <c r="CX2">
        <v>2.6718700000000001E-2</v>
      </c>
      <c r="CY2">
        <v>2238398</v>
      </c>
      <c r="CZ2">
        <v>8.2360199999999995E-2</v>
      </c>
      <c r="DA2">
        <v>2238398</v>
      </c>
      <c r="DB2">
        <v>0.1312961</v>
      </c>
      <c r="DC2">
        <v>2238398</v>
      </c>
      <c r="DD2">
        <v>0.15353839999999999</v>
      </c>
      <c r="DE2">
        <v>2238398</v>
      </c>
      <c r="DF2">
        <v>0.15263589999999999</v>
      </c>
      <c r="DG2">
        <v>2238398</v>
      </c>
      <c r="DH2">
        <v>0.1183404</v>
      </c>
      <c r="DI2">
        <v>2238398</v>
      </c>
      <c r="DJ2">
        <v>7.1037400000000001E-2</v>
      </c>
      <c r="DK2">
        <v>2238398</v>
      </c>
      <c r="DL2">
        <v>6.8423899999999996E-2</v>
      </c>
      <c r="DM2">
        <v>3416268</v>
      </c>
      <c r="DN2">
        <v>0.1138213</v>
      </c>
      <c r="DO2">
        <v>388844</v>
      </c>
      <c r="DP2">
        <v>0.40523959999999998</v>
      </c>
      <c r="DQ2">
        <v>1628703</v>
      </c>
      <c r="DR2">
        <v>9.6748799999999996E-2</v>
      </c>
      <c r="DS2">
        <v>157575</v>
      </c>
      <c r="DT2">
        <v>0.37752819999999998</v>
      </c>
      <c r="DU2">
        <v>292438</v>
      </c>
      <c r="DV2">
        <v>0.2034243</v>
      </c>
      <c r="DW2">
        <v>157575</v>
      </c>
      <c r="DX2">
        <v>0.29629070000000002</v>
      </c>
      <c r="DY2">
        <v>398416</v>
      </c>
      <c r="DZ2">
        <v>0.1171841</v>
      </c>
      <c r="EA2">
        <v>157575</v>
      </c>
      <c r="EB2">
        <v>0.18202760000000001</v>
      </c>
      <c r="EC2">
        <v>400886</v>
      </c>
      <c r="ED2">
        <v>7.1549000000000001E-2</v>
      </c>
      <c r="EE2">
        <v>157575</v>
      </c>
      <c r="EF2">
        <v>0.14415359999999999</v>
      </c>
      <c r="EG2">
        <v>536963</v>
      </c>
      <c r="EH2">
        <v>4.2302699999999999E-2</v>
      </c>
      <c r="EI2">
        <v>388844</v>
      </c>
      <c r="EJ2">
        <v>0.59476039999999997</v>
      </c>
      <c r="EK2">
        <v>1787565</v>
      </c>
      <c r="EL2">
        <v>0.12937660000000001</v>
      </c>
      <c r="EM2">
        <v>231269</v>
      </c>
      <c r="EN2">
        <v>0.33867920000000001</v>
      </c>
      <c r="EO2">
        <v>289538</v>
      </c>
      <c r="EP2">
        <v>0.2705206</v>
      </c>
      <c r="EQ2">
        <v>231269</v>
      </c>
      <c r="ER2">
        <v>0.28998699999999999</v>
      </c>
      <c r="ES2">
        <v>434686</v>
      </c>
      <c r="ET2">
        <v>0.1542838</v>
      </c>
      <c r="EU2">
        <v>231269</v>
      </c>
      <c r="EV2">
        <v>0.2399587</v>
      </c>
      <c r="EW2">
        <v>481491</v>
      </c>
      <c r="EX2">
        <v>0.1152566</v>
      </c>
      <c r="EY2">
        <v>231269</v>
      </c>
      <c r="EZ2">
        <v>0.13137509999999999</v>
      </c>
      <c r="FA2">
        <v>581850</v>
      </c>
      <c r="FB2">
        <v>5.2217899999999998E-2</v>
      </c>
      <c r="FC2">
        <v>3416268</v>
      </c>
      <c r="FD2">
        <v>0.88617869999999999</v>
      </c>
      <c r="FE2">
        <v>3027424</v>
      </c>
      <c r="FF2">
        <v>0.48593389999999997</v>
      </c>
      <c r="FG2">
        <v>1628703</v>
      </c>
      <c r="FH2">
        <v>0.90325120000000003</v>
      </c>
      <c r="FI2">
        <v>1471128</v>
      </c>
      <c r="FJ2">
        <v>0.15834719999999999</v>
      </c>
      <c r="FK2">
        <v>292438</v>
      </c>
      <c r="FL2">
        <v>0.7965757</v>
      </c>
      <c r="FM2">
        <v>1471128</v>
      </c>
      <c r="FN2">
        <v>0.2390873</v>
      </c>
      <c r="FO2">
        <v>398416</v>
      </c>
      <c r="FP2">
        <v>0.88281600000000005</v>
      </c>
      <c r="FQ2">
        <v>1471128</v>
      </c>
      <c r="FR2">
        <v>0.25300519999999999</v>
      </c>
      <c r="FS2">
        <v>400886</v>
      </c>
      <c r="FT2">
        <v>0.92845100000000003</v>
      </c>
      <c r="FU2">
        <v>1471128</v>
      </c>
      <c r="FV2">
        <v>0.34956039999999999</v>
      </c>
      <c r="FW2">
        <v>536963</v>
      </c>
      <c r="FX2">
        <v>0.95769729999999997</v>
      </c>
      <c r="FY2">
        <v>3027424</v>
      </c>
      <c r="FZ2">
        <v>0.51406609999999997</v>
      </c>
      <c r="GA2">
        <v>1787565</v>
      </c>
      <c r="GB2">
        <v>0.87062349999999999</v>
      </c>
      <c r="GC2">
        <v>1556296</v>
      </c>
      <c r="GD2">
        <v>0.13571449999999999</v>
      </c>
      <c r="GE2">
        <v>289538</v>
      </c>
      <c r="GF2">
        <v>0.7294794</v>
      </c>
      <c r="GG2">
        <v>1556296</v>
      </c>
      <c r="GH2">
        <v>0.23621539999999999</v>
      </c>
      <c r="GI2">
        <v>434686</v>
      </c>
      <c r="GJ2">
        <v>0.84571620000000003</v>
      </c>
      <c r="GK2">
        <v>1556296</v>
      </c>
      <c r="GL2">
        <v>0.27372429999999998</v>
      </c>
      <c r="GM2">
        <v>481491</v>
      </c>
      <c r="GN2">
        <v>0.88474350000000002</v>
      </c>
      <c r="GO2">
        <v>1556296</v>
      </c>
      <c r="GP2">
        <v>0.35434579999999999</v>
      </c>
      <c r="GQ2">
        <v>581850</v>
      </c>
      <c r="GR2">
        <v>0.94778209999999996</v>
      </c>
      <c r="GS2">
        <v>4056589</v>
      </c>
      <c r="GT2">
        <v>0.1276997</v>
      </c>
      <c r="GU2">
        <v>518025</v>
      </c>
      <c r="GV2">
        <v>0.41297240000000002</v>
      </c>
      <c r="GW2">
        <v>213930</v>
      </c>
      <c r="GX2">
        <v>0.1177208</v>
      </c>
      <c r="GY2">
        <v>213930</v>
      </c>
      <c r="GZ2">
        <v>0.29351660000000002</v>
      </c>
      <c r="HA2">
        <v>213930</v>
      </c>
      <c r="HB2">
        <v>0.58876269999999997</v>
      </c>
      <c r="HC2">
        <v>213930</v>
      </c>
      <c r="HD2">
        <v>0.4608797</v>
      </c>
      <c r="HE2">
        <v>213930</v>
      </c>
      <c r="HF2">
        <v>0.5391203</v>
      </c>
      <c r="HG2">
        <v>98596</v>
      </c>
      <c r="HH2">
        <v>0.68909489999999995</v>
      </c>
      <c r="HI2">
        <v>98596</v>
      </c>
      <c r="HJ2">
        <v>0.31090509999999999</v>
      </c>
      <c r="HK2">
        <v>518025</v>
      </c>
      <c r="HL2">
        <v>0.58702770000000004</v>
      </c>
      <c r="HM2">
        <v>304095</v>
      </c>
      <c r="HN2">
        <v>7.9741500000000007E-2</v>
      </c>
      <c r="HO2">
        <v>304095</v>
      </c>
      <c r="HP2">
        <v>0.29339189999999998</v>
      </c>
      <c r="HQ2">
        <v>304095</v>
      </c>
      <c r="HR2">
        <v>0.62686660000000005</v>
      </c>
      <c r="HS2">
        <v>304095</v>
      </c>
      <c r="HT2">
        <v>0.38485999999999998</v>
      </c>
      <c r="HU2">
        <v>304095</v>
      </c>
      <c r="HV2">
        <v>0.61514000000000002</v>
      </c>
      <c r="HW2">
        <v>117034</v>
      </c>
      <c r="HX2">
        <v>0.74109230000000004</v>
      </c>
      <c r="HY2">
        <v>117034</v>
      </c>
      <c r="HZ2">
        <v>0.25890770000000002</v>
      </c>
      <c r="IA2">
        <v>4056589</v>
      </c>
      <c r="IB2">
        <v>0.87230030000000003</v>
      </c>
      <c r="IC2">
        <v>3538564</v>
      </c>
      <c r="ID2">
        <v>0.49118970000000001</v>
      </c>
      <c r="IE2">
        <v>1738106</v>
      </c>
      <c r="IF2">
        <v>0.57557190000000003</v>
      </c>
      <c r="IG2">
        <v>1738106</v>
      </c>
      <c r="IH2">
        <v>0.21089740000000001</v>
      </c>
      <c r="II2">
        <v>1738106</v>
      </c>
      <c r="IJ2">
        <v>0.21353069999999999</v>
      </c>
      <c r="IK2">
        <v>1736608</v>
      </c>
      <c r="IL2">
        <v>0.77694739999999995</v>
      </c>
      <c r="IM2">
        <v>1736608</v>
      </c>
      <c r="IN2">
        <v>0.22305259999999999</v>
      </c>
      <c r="IO2">
        <v>1349253</v>
      </c>
      <c r="IP2">
        <v>0.93381380000000003</v>
      </c>
      <c r="IQ2">
        <v>1349253</v>
      </c>
      <c r="IR2">
        <v>6.6186200000000001E-2</v>
      </c>
      <c r="IS2">
        <v>3538564</v>
      </c>
      <c r="IT2">
        <v>0.50881030000000005</v>
      </c>
      <c r="IU2">
        <v>1800458</v>
      </c>
      <c r="IV2">
        <v>0.43223889999999998</v>
      </c>
      <c r="IW2">
        <v>1800458</v>
      </c>
      <c r="IX2">
        <v>0.2453148</v>
      </c>
      <c r="IY2">
        <v>1800458</v>
      </c>
      <c r="IZ2">
        <v>0.32244630000000002</v>
      </c>
      <c r="JA2">
        <v>1800162</v>
      </c>
      <c r="JB2">
        <v>0.66018940000000004</v>
      </c>
      <c r="JC2">
        <v>1800162</v>
      </c>
      <c r="JD2">
        <v>0.33981050000000002</v>
      </c>
      <c r="JE2">
        <v>1188448</v>
      </c>
      <c r="JF2">
        <v>0.94279429999999997</v>
      </c>
      <c r="JG2">
        <v>1188448</v>
      </c>
      <c r="JH2">
        <v>5.7205699999999998E-2</v>
      </c>
      <c r="JI2">
        <v>1198534</v>
      </c>
      <c r="JJ2">
        <v>0.1572296</v>
      </c>
      <c r="JK2">
        <v>188445</v>
      </c>
      <c r="JL2">
        <v>0.35527609999999998</v>
      </c>
      <c r="JM2">
        <v>66950</v>
      </c>
      <c r="JN2">
        <v>0.66879759999999999</v>
      </c>
      <c r="JO2">
        <v>66950</v>
      </c>
      <c r="JP2">
        <v>0.66879759999999999</v>
      </c>
      <c r="JQ2">
        <v>66950</v>
      </c>
      <c r="JR2">
        <v>0.66879759999999999</v>
      </c>
      <c r="JS2">
        <v>66950</v>
      </c>
      <c r="JT2">
        <v>0.66879759999999999</v>
      </c>
      <c r="JU2">
        <v>66950</v>
      </c>
      <c r="JV2">
        <v>0.33120240000000001</v>
      </c>
      <c r="JW2">
        <v>188445</v>
      </c>
      <c r="JX2">
        <v>0.64472399999999996</v>
      </c>
      <c r="JY2">
        <v>121495</v>
      </c>
      <c r="JZ2">
        <v>0.14573439999999999</v>
      </c>
      <c r="KA2">
        <v>17706</v>
      </c>
      <c r="KB2">
        <v>0.72444370000000002</v>
      </c>
      <c r="KC2">
        <v>12827</v>
      </c>
      <c r="KD2">
        <v>0.27426519999999999</v>
      </c>
      <c r="KE2">
        <v>12827</v>
      </c>
      <c r="KF2">
        <v>0.29687380000000002</v>
      </c>
      <c r="KG2">
        <v>12827</v>
      </c>
      <c r="KH2">
        <v>0.42886099999999999</v>
      </c>
      <c r="KI2">
        <v>17706</v>
      </c>
      <c r="KJ2">
        <v>0.27555629999999998</v>
      </c>
      <c r="KK2">
        <v>121495</v>
      </c>
      <c r="KL2">
        <v>0.85426559999999996</v>
      </c>
      <c r="KM2">
        <v>103789</v>
      </c>
      <c r="KN2">
        <v>0.8222933</v>
      </c>
      <c r="KO2">
        <v>85345</v>
      </c>
      <c r="KP2">
        <v>0.15986880000000001</v>
      </c>
      <c r="KQ2">
        <v>85345</v>
      </c>
      <c r="KR2">
        <v>0.30410690000000001</v>
      </c>
      <c r="KS2">
        <v>85345</v>
      </c>
      <c r="KT2">
        <v>0.53602439999999996</v>
      </c>
      <c r="KU2">
        <v>103789</v>
      </c>
      <c r="KV2">
        <v>0.1777067</v>
      </c>
      <c r="KW2">
        <v>1198534</v>
      </c>
      <c r="KX2">
        <v>3.1414200000000003E-2</v>
      </c>
      <c r="KY2">
        <v>37651</v>
      </c>
      <c r="KZ2">
        <v>0.54909560000000002</v>
      </c>
      <c r="LA2">
        <v>20674</v>
      </c>
      <c r="LB2">
        <v>0.66276480000000004</v>
      </c>
      <c r="LC2">
        <v>20674</v>
      </c>
      <c r="LD2">
        <v>0.66276480000000004</v>
      </c>
      <c r="LE2">
        <v>20674</v>
      </c>
      <c r="LF2">
        <v>0.66276480000000004</v>
      </c>
      <c r="LG2">
        <v>20674</v>
      </c>
      <c r="LH2">
        <v>0.66276480000000004</v>
      </c>
      <c r="LI2">
        <v>20674</v>
      </c>
      <c r="LJ2">
        <v>0.33723520000000001</v>
      </c>
      <c r="LK2">
        <v>37651</v>
      </c>
      <c r="LL2">
        <v>0.45090439999999998</v>
      </c>
      <c r="LM2">
        <v>16977</v>
      </c>
      <c r="LN2">
        <v>0.1612181</v>
      </c>
      <c r="LO2">
        <v>2737</v>
      </c>
      <c r="LP2">
        <v>0.79247350000000005</v>
      </c>
      <c r="LQ2">
        <v>2169</v>
      </c>
      <c r="LR2">
        <v>0.19502079999999999</v>
      </c>
      <c r="LS2">
        <v>2169</v>
      </c>
      <c r="LT2">
        <v>0.3093592</v>
      </c>
      <c r="LU2">
        <v>2169</v>
      </c>
      <c r="LV2">
        <v>0.49562010000000001</v>
      </c>
      <c r="LW2">
        <v>2737</v>
      </c>
      <c r="LX2">
        <v>0.2075265</v>
      </c>
      <c r="LY2">
        <v>16977</v>
      </c>
      <c r="LZ2">
        <v>0.83878189999999997</v>
      </c>
      <c r="MA2">
        <v>14240</v>
      </c>
      <c r="MB2">
        <v>0.71060400000000001</v>
      </c>
      <c r="MC2">
        <v>10119</v>
      </c>
      <c r="MD2">
        <v>0.13183120000000001</v>
      </c>
      <c r="ME2">
        <v>10119</v>
      </c>
      <c r="MF2">
        <v>0.19962450000000001</v>
      </c>
      <c r="MG2">
        <v>10119</v>
      </c>
      <c r="MH2">
        <v>0.66854440000000004</v>
      </c>
      <c r="MI2">
        <v>14240</v>
      </c>
      <c r="MJ2">
        <v>0.28939609999999999</v>
      </c>
      <c r="MK2">
        <v>1198534</v>
      </c>
      <c r="ML2">
        <v>5.7472700000000002E-2</v>
      </c>
      <c r="MM2">
        <v>68883</v>
      </c>
      <c r="MN2">
        <v>0.52880970000000005</v>
      </c>
      <c r="MO2">
        <v>36426</v>
      </c>
      <c r="MP2">
        <v>0.66027020000000003</v>
      </c>
      <c r="MQ2">
        <v>36426</v>
      </c>
      <c r="MR2">
        <v>0.66027020000000003</v>
      </c>
      <c r="MS2">
        <v>36426</v>
      </c>
      <c r="MT2">
        <v>0.66027020000000003</v>
      </c>
      <c r="MU2">
        <v>36426</v>
      </c>
      <c r="MV2">
        <v>0.66027020000000003</v>
      </c>
      <c r="MW2">
        <v>36426</v>
      </c>
      <c r="MX2">
        <v>0.33972989999999997</v>
      </c>
      <c r="MY2">
        <v>68883</v>
      </c>
      <c r="MZ2">
        <v>0.47119030000000001</v>
      </c>
      <c r="NA2">
        <v>32457</v>
      </c>
      <c r="NB2">
        <v>0.23098250000000001</v>
      </c>
      <c r="NC2">
        <v>7497</v>
      </c>
      <c r="ND2">
        <v>0.59717220000000004</v>
      </c>
      <c r="NE2">
        <v>4477</v>
      </c>
      <c r="NF2">
        <v>0.25709179999999998</v>
      </c>
      <c r="NG2">
        <v>4477</v>
      </c>
      <c r="NH2">
        <v>0.32410099999999997</v>
      </c>
      <c r="NI2">
        <v>4477</v>
      </c>
      <c r="NJ2">
        <v>0.41880719999999999</v>
      </c>
      <c r="NK2">
        <v>7497</v>
      </c>
      <c r="NL2">
        <v>0.40282780000000001</v>
      </c>
      <c r="NM2">
        <v>32457</v>
      </c>
      <c r="NN2">
        <v>0.76901750000000002</v>
      </c>
      <c r="NO2">
        <v>24960</v>
      </c>
      <c r="NP2">
        <v>0.69859769999999999</v>
      </c>
      <c r="NQ2">
        <v>17437</v>
      </c>
      <c r="NR2">
        <v>0.1405632</v>
      </c>
      <c r="NS2">
        <v>17437</v>
      </c>
      <c r="NT2">
        <v>0.20479439999999999</v>
      </c>
      <c r="NU2">
        <v>17437</v>
      </c>
      <c r="NV2">
        <v>0.65464239999999996</v>
      </c>
      <c r="NW2">
        <v>24960</v>
      </c>
      <c r="NX2">
        <v>0.30140220000000001</v>
      </c>
      <c r="NY2">
        <v>1198534</v>
      </c>
      <c r="NZ2">
        <v>0.75388350000000004</v>
      </c>
      <c r="OA2">
        <v>903555</v>
      </c>
      <c r="OB2">
        <v>0.75302550000000001</v>
      </c>
      <c r="OC2">
        <v>680400</v>
      </c>
      <c r="OD2">
        <v>0.4639124</v>
      </c>
      <c r="OE2">
        <v>680400</v>
      </c>
      <c r="OF2">
        <v>0.4639124</v>
      </c>
      <c r="OG2">
        <v>680400</v>
      </c>
      <c r="OH2">
        <v>0.4639124</v>
      </c>
      <c r="OI2">
        <v>680400</v>
      </c>
      <c r="OJ2">
        <v>0.4639124</v>
      </c>
      <c r="OK2">
        <v>680400</v>
      </c>
      <c r="OL2">
        <v>0.5360876</v>
      </c>
      <c r="OM2">
        <v>903555</v>
      </c>
      <c r="ON2">
        <v>0.24697450000000001</v>
      </c>
      <c r="OO2">
        <v>223155</v>
      </c>
      <c r="OP2">
        <v>0.30576510000000001</v>
      </c>
      <c r="OQ2">
        <v>68233</v>
      </c>
      <c r="OR2">
        <v>0.41049049999999998</v>
      </c>
      <c r="OS2">
        <v>28009</v>
      </c>
      <c r="OT2">
        <v>0.15841340000000001</v>
      </c>
      <c r="OU2">
        <v>28009</v>
      </c>
      <c r="OV2">
        <v>9.9218100000000004E-2</v>
      </c>
      <c r="OW2">
        <v>28009</v>
      </c>
      <c r="OX2">
        <v>0.74236849999999999</v>
      </c>
      <c r="OY2">
        <v>68233</v>
      </c>
      <c r="OZ2">
        <v>0.58950950000000002</v>
      </c>
      <c r="PA2">
        <v>223155</v>
      </c>
      <c r="PB2">
        <v>0.69423500000000005</v>
      </c>
      <c r="PC2">
        <v>154922</v>
      </c>
      <c r="PD2">
        <v>0.47474860000000002</v>
      </c>
      <c r="PE2">
        <v>73549</v>
      </c>
      <c r="PF2">
        <v>0.1337748</v>
      </c>
      <c r="PG2">
        <v>73549</v>
      </c>
      <c r="PH2">
        <v>0.1351888</v>
      </c>
      <c r="PI2">
        <v>73549</v>
      </c>
      <c r="PJ2">
        <v>0.73103640000000003</v>
      </c>
      <c r="PK2">
        <v>154922</v>
      </c>
      <c r="PL2">
        <v>0.52525140000000003</v>
      </c>
      <c r="PM2">
        <v>5294664</v>
      </c>
      <c r="PN2">
        <v>0.48836600000000002</v>
      </c>
      <c r="PO2">
        <v>2585734</v>
      </c>
      <c r="PP2">
        <v>7.5911099999999995E-2</v>
      </c>
      <c r="PQ2">
        <v>2585734</v>
      </c>
      <c r="PR2">
        <v>7.1222300000000002E-2</v>
      </c>
      <c r="PS2">
        <v>2585734</v>
      </c>
      <c r="PT2">
        <v>6.8573200000000001E-2</v>
      </c>
      <c r="PU2">
        <v>2585734</v>
      </c>
      <c r="PV2">
        <v>4.3959999999999999E-2</v>
      </c>
      <c r="PW2">
        <v>2585734</v>
      </c>
      <c r="PX2">
        <v>3.0868199999999998E-2</v>
      </c>
      <c r="PY2">
        <v>2585734</v>
      </c>
      <c r="PZ2">
        <v>1.41171E-2</v>
      </c>
      <c r="QA2">
        <v>2585734</v>
      </c>
      <c r="QB2">
        <v>1.30311E-2</v>
      </c>
      <c r="QC2">
        <v>2585734</v>
      </c>
      <c r="QD2">
        <v>4.4453100000000002E-2</v>
      </c>
      <c r="QE2">
        <v>2585734</v>
      </c>
      <c r="QF2">
        <v>6.9705500000000004E-2</v>
      </c>
      <c r="QG2">
        <v>2585734</v>
      </c>
      <c r="QH2">
        <v>7.4152599999999999E-2</v>
      </c>
      <c r="QI2">
        <v>2585734</v>
      </c>
      <c r="QJ2">
        <v>7.9485E-2</v>
      </c>
      <c r="QK2">
        <v>2585734</v>
      </c>
      <c r="QL2">
        <v>7.3016399999999995E-2</v>
      </c>
      <c r="QM2">
        <v>2585734</v>
      </c>
      <c r="QN2">
        <v>7.4754799999999996E-2</v>
      </c>
      <c r="QO2">
        <v>2585734</v>
      </c>
      <c r="QP2">
        <v>6.8386000000000002E-2</v>
      </c>
      <c r="QQ2">
        <v>2585734</v>
      </c>
      <c r="QR2">
        <v>5.6416500000000001E-2</v>
      </c>
      <c r="QS2">
        <v>2585734</v>
      </c>
      <c r="QT2">
        <v>2.1189699999999999E-2</v>
      </c>
      <c r="QU2">
        <v>2585734</v>
      </c>
      <c r="QV2">
        <v>2.3260699999999999E-2</v>
      </c>
      <c r="QW2">
        <v>2585734</v>
      </c>
      <c r="QX2">
        <v>1.54003E-2</v>
      </c>
      <c r="QY2">
        <v>2585734</v>
      </c>
      <c r="QZ2">
        <v>1.6585599999999999E-2</v>
      </c>
      <c r="RA2">
        <v>2585734</v>
      </c>
      <c r="RB2">
        <v>2.34866E-2</v>
      </c>
      <c r="RC2">
        <v>2585734</v>
      </c>
      <c r="RD2">
        <v>1.8505400000000002E-2</v>
      </c>
      <c r="RE2">
        <v>2585734</v>
      </c>
      <c r="RF2">
        <v>1.3344E-2</v>
      </c>
      <c r="RG2">
        <v>2585734</v>
      </c>
      <c r="RH2">
        <v>1.01747E-2</v>
      </c>
      <c r="RI2">
        <v>5294664</v>
      </c>
      <c r="RJ2">
        <v>0.51163400000000003</v>
      </c>
      <c r="RK2">
        <v>2708930</v>
      </c>
      <c r="RL2">
        <v>6.8833099999999994E-2</v>
      </c>
      <c r="RM2">
        <v>2708930</v>
      </c>
      <c r="RN2">
        <v>6.2898999999999997E-2</v>
      </c>
      <c r="RO2">
        <v>2708930</v>
      </c>
      <c r="RP2">
        <v>6.5026799999999996E-2</v>
      </c>
      <c r="RQ2">
        <v>2708930</v>
      </c>
      <c r="RR2">
        <v>4.0273499999999997E-2</v>
      </c>
      <c r="RS2">
        <v>2708930</v>
      </c>
      <c r="RT2">
        <v>2.8740100000000001E-2</v>
      </c>
      <c r="RU2">
        <v>2708930</v>
      </c>
      <c r="RV2">
        <v>1.33315E-2</v>
      </c>
      <c r="RW2">
        <v>2708930</v>
      </c>
      <c r="RX2">
        <v>1.2645200000000001E-2</v>
      </c>
      <c r="RY2">
        <v>2708930</v>
      </c>
      <c r="RZ2">
        <v>4.1365800000000001E-2</v>
      </c>
      <c r="SA2">
        <v>2708930</v>
      </c>
      <c r="SB2">
        <v>6.3337900000000003E-2</v>
      </c>
      <c r="SC2">
        <v>2708930</v>
      </c>
      <c r="SD2">
        <v>6.8843399999999999E-2</v>
      </c>
      <c r="SE2">
        <v>2708930</v>
      </c>
      <c r="SF2">
        <v>7.4062100000000006E-2</v>
      </c>
      <c r="SG2">
        <v>2708930</v>
      </c>
      <c r="SH2">
        <v>7.0672899999999997E-2</v>
      </c>
      <c r="SI2">
        <v>2708930</v>
      </c>
      <c r="SJ2">
        <v>7.4213399999999999E-2</v>
      </c>
      <c r="SK2">
        <v>2708930</v>
      </c>
      <c r="SL2">
        <v>6.9480600000000003E-2</v>
      </c>
      <c r="SM2">
        <v>2708930</v>
      </c>
      <c r="SN2">
        <v>6.1806300000000002E-2</v>
      </c>
      <c r="SO2">
        <v>2708930</v>
      </c>
      <c r="SP2">
        <v>2.29556E-2</v>
      </c>
      <c r="SQ2">
        <v>2708930</v>
      </c>
      <c r="SR2">
        <v>2.3980700000000001E-2</v>
      </c>
      <c r="SS2">
        <v>2708930</v>
      </c>
      <c r="ST2">
        <v>1.6377699999999999E-2</v>
      </c>
      <c r="SU2">
        <v>2708930</v>
      </c>
      <c r="SV2">
        <v>2.0667899999999999E-2</v>
      </c>
      <c r="SW2">
        <v>2708930</v>
      </c>
      <c r="SX2">
        <v>3.04035E-2</v>
      </c>
      <c r="SY2">
        <v>2708930</v>
      </c>
      <c r="SZ2">
        <v>2.5707899999999999E-2</v>
      </c>
      <c r="TA2">
        <v>2708930</v>
      </c>
      <c r="TB2">
        <v>2.19448E-2</v>
      </c>
      <c r="TC2">
        <v>2708930</v>
      </c>
      <c r="TD2">
        <v>2.24303E-2</v>
      </c>
      <c r="TE2">
        <v>2975601</v>
      </c>
      <c r="TF2">
        <v>0.49503550000000002</v>
      </c>
      <c r="TG2">
        <v>1334225</v>
      </c>
      <c r="TH2">
        <v>0.45598309999999997</v>
      </c>
      <c r="TI2">
        <v>12644</v>
      </c>
      <c r="TJ2">
        <v>0.46694089999999999</v>
      </c>
      <c r="TK2">
        <v>304262</v>
      </c>
      <c r="TL2">
        <v>0.4868731</v>
      </c>
      <c r="TM2"/>
      <c r="TN2"/>
      <c r="TO2">
        <v>571977</v>
      </c>
      <c r="TP2">
        <v>0.52908949999999999</v>
      </c>
      <c r="TQ2">
        <v>94909</v>
      </c>
      <c r="TR2">
        <v>0.49977349999999998</v>
      </c>
      <c r="TS2">
        <v>2360349</v>
      </c>
      <c r="TT2">
        <v>0.48766350000000003</v>
      </c>
      <c r="TU2">
        <v>1229964</v>
      </c>
      <c r="TV2">
        <v>0.52359250000000002</v>
      </c>
      <c r="TW2">
        <v>2975601</v>
      </c>
      <c r="TX2">
        <v>0.50496450000000004</v>
      </c>
      <c r="TY2">
        <v>1334225</v>
      </c>
      <c r="TZ2">
        <v>0.54401699999999997</v>
      </c>
      <c r="UA2">
        <v>12644</v>
      </c>
      <c r="UB2">
        <v>0.53305919999999996</v>
      </c>
      <c r="UC2">
        <v>304262</v>
      </c>
      <c r="UD2">
        <v>0.51312690000000005</v>
      </c>
      <c r="UE2"/>
      <c r="UF2"/>
      <c r="UG2">
        <v>571977</v>
      </c>
      <c r="UH2">
        <v>0.47091050000000001</v>
      </c>
      <c r="UI2">
        <v>94909</v>
      </c>
      <c r="UJ2">
        <v>0.50022659999999997</v>
      </c>
      <c r="UK2">
        <v>2360349</v>
      </c>
      <c r="UL2">
        <v>0.51233660000000003</v>
      </c>
      <c r="UM2">
        <v>1229964</v>
      </c>
      <c r="UN2">
        <v>0.47640739999999998</v>
      </c>
      <c r="UO2">
        <v>1218919</v>
      </c>
      <c r="UP2">
        <v>1218919</v>
      </c>
      <c r="UQ2">
        <v>1218919</v>
      </c>
      <c r="UR2">
        <v>1086805</v>
      </c>
      <c r="US2">
        <v>1086805</v>
      </c>
      <c r="UT2">
        <v>1086805</v>
      </c>
      <c r="UU2">
        <v>1.1222999999999999E-3</v>
      </c>
      <c r="UV2">
        <v>0.92637000000000003</v>
      </c>
      <c r="UW2">
        <v>7.2507699999999994E-2</v>
      </c>
      <c r="UX2">
        <v>2.3560000000000001E-4</v>
      </c>
      <c r="UY2">
        <v>0.93213590000000002</v>
      </c>
      <c r="UZ2">
        <v>6.7628499999999994E-2</v>
      </c>
      <c r="VA2">
        <v>88531</v>
      </c>
      <c r="VB2">
        <v>6.1221000000000001E-3</v>
      </c>
      <c r="VC2">
        <v>88531</v>
      </c>
      <c r="VD2">
        <v>0.88315960000000004</v>
      </c>
      <c r="VE2">
        <v>88531</v>
      </c>
      <c r="VF2">
        <v>0.11071830000000001</v>
      </c>
      <c r="VG2">
        <v>158288</v>
      </c>
      <c r="VH2">
        <v>2.8176E-3</v>
      </c>
      <c r="VI2">
        <v>158288</v>
      </c>
      <c r="VJ2">
        <v>0.91607070000000002</v>
      </c>
      <c r="VK2">
        <v>158288</v>
      </c>
      <c r="VL2">
        <v>8.1111600000000006E-2</v>
      </c>
      <c r="VM2">
        <v>173996</v>
      </c>
      <c r="VN2">
        <v>1.4598E-3</v>
      </c>
      <c r="VO2">
        <v>173996</v>
      </c>
      <c r="VP2">
        <v>0.92670520000000001</v>
      </c>
      <c r="VQ2">
        <v>173996</v>
      </c>
      <c r="VR2">
        <v>7.1834999999999996E-2</v>
      </c>
      <c r="VS2">
        <v>362256</v>
      </c>
      <c r="VT2">
        <v>1.6559999999999999E-4</v>
      </c>
      <c r="VU2">
        <v>362256</v>
      </c>
      <c r="VV2">
        <v>0.93830329999999995</v>
      </c>
      <c r="VW2">
        <v>362256</v>
      </c>
      <c r="VX2">
        <v>6.1531099999999998E-2</v>
      </c>
      <c r="VY2">
        <v>320452</v>
      </c>
      <c r="VZ2">
        <v>2.0599999999999999E-4</v>
      </c>
      <c r="WA2">
        <v>320452</v>
      </c>
      <c r="WB2">
        <v>0.92931540000000001</v>
      </c>
      <c r="WC2">
        <v>320452</v>
      </c>
      <c r="WD2">
        <v>7.0478600000000002E-2</v>
      </c>
      <c r="WE2">
        <v>115396</v>
      </c>
      <c r="WF2">
        <v>0</v>
      </c>
      <c r="WG2">
        <v>115396</v>
      </c>
      <c r="WH2">
        <v>0.92750180000000004</v>
      </c>
      <c r="WI2">
        <v>115396</v>
      </c>
      <c r="WJ2">
        <v>7.2498199999999999E-2</v>
      </c>
      <c r="WK2">
        <v>87537</v>
      </c>
      <c r="WL2">
        <v>6.1689999999999998E-4</v>
      </c>
      <c r="WM2">
        <v>87537</v>
      </c>
      <c r="WN2">
        <v>0.88894980000000001</v>
      </c>
      <c r="WO2">
        <v>87537</v>
      </c>
      <c r="WP2">
        <v>0.1104333</v>
      </c>
      <c r="WQ2">
        <v>134306</v>
      </c>
      <c r="WR2">
        <v>6.2540000000000002E-4</v>
      </c>
      <c r="WS2">
        <v>134306</v>
      </c>
      <c r="WT2">
        <v>0.91493310000000005</v>
      </c>
      <c r="WU2">
        <v>134306</v>
      </c>
      <c r="WV2">
        <v>8.4441500000000003E-2</v>
      </c>
      <c r="WW2">
        <v>143431</v>
      </c>
      <c r="WX2">
        <v>8.2269999999999999E-4</v>
      </c>
      <c r="WY2">
        <v>143431</v>
      </c>
      <c r="WZ2">
        <v>0.92941549999999995</v>
      </c>
      <c r="XA2">
        <v>143431</v>
      </c>
      <c r="XB2">
        <v>6.9761799999999999E-2</v>
      </c>
      <c r="XC2">
        <v>303552</v>
      </c>
      <c r="XD2">
        <v>0</v>
      </c>
      <c r="XE2">
        <v>303552</v>
      </c>
      <c r="XF2">
        <v>0.94048799999999999</v>
      </c>
      <c r="XG2">
        <v>303552</v>
      </c>
      <c r="XH2">
        <v>5.9512000000000002E-2</v>
      </c>
      <c r="XI2">
        <v>298720</v>
      </c>
      <c r="XJ2">
        <v>0</v>
      </c>
      <c r="XK2">
        <v>298720</v>
      </c>
      <c r="XL2">
        <v>0.94305369999999999</v>
      </c>
      <c r="XM2">
        <v>298720</v>
      </c>
      <c r="XN2">
        <v>5.6946299999999998E-2</v>
      </c>
      <c r="XO2">
        <v>119259</v>
      </c>
      <c r="XP2">
        <v>0</v>
      </c>
      <c r="XQ2">
        <v>119259</v>
      </c>
      <c r="XR2">
        <v>0.93787469999999995</v>
      </c>
      <c r="XS2">
        <v>119259</v>
      </c>
      <c r="XT2">
        <v>6.2125300000000001E-2</v>
      </c>
      <c r="XU2">
        <v>3505135</v>
      </c>
      <c r="XV2">
        <v>0.495481</v>
      </c>
      <c r="XW2">
        <v>1736728</v>
      </c>
      <c r="XX2">
        <v>0.81102160000000001</v>
      </c>
      <c r="XY2">
        <v>1736728</v>
      </c>
      <c r="XZ2">
        <v>0.18897839999999999</v>
      </c>
      <c r="YA2">
        <v>1408524</v>
      </c>
      <c r="YB2">
        <v>0.84860040000000003</v>
      </c>
      <c r="YC2">
        <v>1195274</v>
      </c>
      <c r="YD2">
        <v>0.8333353</v>
      </c>
      <c r="YE2">
        <v>1195274</v>
      </c>
      <c r="YF2">
        <v>1.7967400000000001E-2</v>
      </c>
      <c r="YG2">
        <v>1195274</v>
      </c>
      <c r="YH2">
        <v>4.4686799999999999E-2</v>
      </c>
      <c r="YI2">
        <v>1195274</v>
      </c>
      <c r="YJ2">
        <v>4.2663899999999998E-2</v>
      </c>
      <c r="YK2">
        <v>1195274</v>
      </c>
      <c r="YL2">
        <v>2.8014500000000001E-2</v>
      </c>
      <c r="YM2">
        <v>1195274</v>
      </c>
      <c r="YN2">
        <v>3.3332100000000003E-2</v>
      </c>
      <c r="YO2">
        <v>1408524</v>
      </c>
      <c r="YP2">
        <v>0.1219631</v>
      </c>
      <c r="YQ2">
        <v>171788</v>
      </c>
      <c r="YR2">
        <v>0.4510152</v>
      </c>
      <c r="YS2">
        <v>171788</v>
      </c>
      <c r="YT2">
        <v>2.1858300000000001E-2</v>
      </c>
      <c r="YU2">
        <v>171788</v>
      </c>
      <c r="YV2">
        <v>8.3108199999999993E-2</v>
      </c>
      <c r="YW2">
        <v>171788</v>
      </c>
      <c r="YX2">
        <v>0.1420006</v>
      </c>
      <c r="YY2">
        <v>171788</v>
      </c>
      <c r="YZ2">
        <v>0.1283908</v>
      </c>
      <c r="ZA2">
        <v>171788</v>
      </c>
      <c r="ZB2">
        <v>0.1736268</v>
      </c>
      <c r="ZC2">
        <v>1408524</v>
      </c>
      <c r="ZD2">
        <v>2.9436500000000001E-2</v>
      </c>
      <c r="ZE2">
        <v>41462</v>
      </c>
      <c r="ZF2">
        <v>0.24145</v>
      </c>
      <c r="ZG2">
        <v>41462</v>
      </c>
      <c r="ZH2">
        <v>1.1335700000000001E-2</v>
      </c>
      <c r="ZI2">
        <v>41462</v>
      </c>
      <c r="ZJ2">
        <v>6.2370399999999999E-2</v>
      </c>
      <c r="ZK2">
        <v>41462</v>
      </c>
      <c r="ZL2">
        <v>0.1194347</v>
      </c>
      <c r="ZM2">
        <v>41462</v>
      </c>
      <c r="ZN2">
        <v>0.16258259999999999</v>
      </c>
      <c r="ZO2">
        <v>41462</v>
      </c>
      <c r="ZP2">
        <v>0.40282669999999998</v>
      </c>
      <c r="ZQ2">
        <v>3505135</v>
      </c>
      <c r="ZR2">
        <v>0.50451889999999999</v>
      </c>
      <c r="ZS2">
        <v>1768407</v>
      </c>
      <c r="ZT2">
        <v>0.72838040000000004</v>
      </c>
      <c r="ZU2">
        <v>1768407</v>
      </c>
      <c r="ZV2">
        <v>0.27161960000000002</v>
      </c>
      <c r="ZW2">
        <v>1288073</v>
      </c>
      <c r="ZX2">
        <v>0.72456529999999997</v>
      </c>
      <c r="ZY2">
        <v>933293</v>
      </c>
      <c r="ZZ2">
        <v>0.83554039999999996</v>
      </c>
      <c r="AAA2">
        <v>933293</v>
      </c>
      <c r="AAB2">
        <v>2.0313000000000001E-2</v>
      </c>
      <c r="AAC2">
        <v>933293</v>
      </c>
      <c r="AAD2">
        <v>4.3919800000000002E-2</v>
      </c>
      <c r="AAE2">
        <v>933293</v>
      </c>
      <c r="AAF2">
        <v>3.9477400000000003E-2</v>
      </c>
      <c r="AAG2">
        <v>933293</v>
      </c>
      <c r="AAH2">
        <v>3.1392099999999999E-2</v>
      </c>
      <c r="AAI2">
        <v>933293</v>
      </c>
      <c r="AAJ2">
        <v>2.9357299999999999E-2</v>
      </c>
      <c r="AAK2">
        <v>1288073</v>
      </c>
      <c r="AAL2">
        <v>0.22340660000000001</v>
      </c>
      <c r="AAM2">
        <v>287764</v>
      </c>
      <c r="AAN2">
        <v>0.5038956</v>
      </c>
      <c r="AAO2">
        <v>287764</v>
      </c>
      <c r="AAP2">
        <v>2.4301199999999998E-2</v>
      </c>
      <c r="AAQ2">
        <v>287764</v>
      </c>
      <c r="AAR2">
        <v>0.1025597</v>
      </c>
      <c r="AAS2">
        <v>287764</v>
      </c>
      <c r="AAT2">
        <v>0.1160187</v>
      </c>
      <c r="AAU2">
        <v>287764</v>
      </c>
      <c r="AAV2">
        <v>0.11621330000000001</v>
      </c>
      <c r="AAW2">
        <v>287764</v>
      </c>
      <c r="AAX2">
        <v>0.13701160000000001</v>
      </c>
      <c r="AAY2">
        <v>1288073</v>
      </c>
      <c r="AAZ2">
        <v>5.2028100000000001E-2</v>
      </c>
      <c r="ABA2">
        <v>67016</v>
      </c>
      <c r="ABB2">
        <v>0.27753070000000002</v>
      </c>
      <c r="ABC2">
        <v>67016</v>
      </c>
      <c r="ABD2">
        <v>2.7053199999999999E-2</v>
      </c>
      <c r="ABE2">
        <v>67016</v>
      </c>
      <c r="ABF2">
        <v>8.30399E-2</v>
      </c>
      <c r="ABG2">
        <v>67016</v>
      </c>
      <c r="ABH2">
        <v>0.1340874</v>
      </c>
      <c r="ABI2">
        <v>67016</v>
      </c>
      <c r="ABJ2">
        <v>0.13975770000000001</v>
      </c>
      <c r="ABK2">
        <v>67016</v>
      </c>
      <c r="ABL2">
        <v>0.33853109999999997</v>
      </c>
      <c r="ABM2">
        <v>1941698</v>
      </c>
      <c r="ABN2">
        <v>0.61726080000000005</v>
      </c>
      <c r="ABO2">
        <v>1198534</v>
      </c>
      <c r="ABP2">
        <v>0.67119499999999999</v>
      </c>
      <c r="ABQ2">
        <v>1198534</v>
      </c>
      <c r="ABR2">
        <v>0.32880500000000001</v>
      </c>
      <c r="ABS2">
        <v>394084</v>
      </c>
      <c r="ABT2">
        <v>0.24404190000000001</v>
      </c>
      <c r="ABU2">
        <v>394084</v>
      </c>
      <c r="ABV2">
        <v>0.75595809999999997</v>
      </c>
      <c r="ABW2">
        <v>1941698</v>
      </c>
      <c r="ABX2">
        <v>0.3827392</v>
      </c>
      <c r="ABY2">
        <v>743164</v>
      </c>
      <c r="ABZ2">
        <v>0.85199499999999995</v>
      </c>
      <c r="ACA2">
        <v>743164</v>
      </c>
      <c r="ACB2">
        <v>0.148005</v>
      </c>
      <c r="ACC2">
        <v>4203898</v>
      </c>
      <c r="ACD2">
        <v>0.48240319999999998</v>
      </c>
      <c r="ACE2">
        <v>2027974</v>
      </c>
      <c r="ACF2">
        <v>0.42157299999999998</v>
      </c>
      <c r="ACG2">
        <v>854939</v>
      </c>
      <c r="ACH2">
        <v>0.13243630000000001</v>
      </c>
      <c r="ACI2">
        <v>854939</v>
      </c>
      <c r="ACJ2">
        <v>9.2886200000000002E-2</v>
      </c>
      <c r="ACK2">
        <v>854939</v>
      </c>
      <c r="ACL2">
        <v>0.2001406</v>
      </c>
      <c r="ACM2">
        <v>854939</v>
      </c>
      <c r="ACN2">
        <v>0.15198390000000001</v>
      </c>
      <c r="ACO2">
        <v>854939</v>
      </c>
      <c r="ACP2">
        <v>0.1030272</v>
      </c>
      <c r="ACQ2">
        <v>854939</v>
      </c>
      <c r="ACR2">
        <v>8.2647999999999999E-2</v>
      </c>
      <c r="ACS2">
        <v>854939</v>
      </c>
      <c r="ACT2">
        <v>6.7177899999999999E-2</v>
      </c>
      <c r="ACU2">
        <v>854939</v>
      </c>
      <c r="ACV2">
        <v>5.9504799999999997E-2</v>
      </c>
      <c r="ACW2">
        <v>854939</v>
      </c>
      <c r="ACX2">
        <v>4.1942199999999999E-2</v>
      </c>
      <c r="ACY2">
        <v>854939</v>
      </c>
      <c r="ACZ2">
        <v>2.4434500000000001E-2</v>
      </c>
      <c r="ADA2">
        <v>854939</v>
      </c>
      <c r="ADB2">
        <v>1.60865E-2</v>
      </c>
      <c r="ADC2">
        <v>854939</v>
      </c>
      <c r="ADD2">
        <v>1.7012900000000001E-2</v>
      </c>
      <c r="ADE2">
        <v>854939</v>
      </c>
      <c r="ADF2">
        <v>8.8941999999999997E-3</v>
      </c>
      <c r="ADG2">
        <v>854939</v>
      </c>
      <c r="ADH2">
        <v>1.8247000000000001E-3</v>
      </c>
      <c r="ADI2">
        <v>2027974</v>
      </c>
      <c r="ADJ2">
        <v>0.4790855</v>
      </c>
      <c r="ADK2">
        <v>971573</v>
      </c>
      <c r="ADL2">
        <v>0.87731749999999997</v>
      </c>
      <c r="ADM2">
        <v>852378</v>
      </c>
      <c r="ADN2">
        <v>0</v>
      </c>
      <c r="ADO2">
        <v>852378</v>
      </c>
      <c r="ADP2">
        <v>1.3960000000000001E-4</v>
      </c>
      <c r="ADQ2">
        <v>852378</v>
      </c>
      <c r="ADR2">
        <v>1.00836E-2</v>
      </c>
      <c r="ADS2">
        <v>852378</v>
      </c>
      <c r="ADT2">
        <v>4.2165599999999998E-2</v>
      </c>
      <c r="ADU2">
        <v>852378</v>
      </c>
      <c r="ADV2">
        <v>9.6700099999999997E-2</v>
      </c>
      <c r="ADW2">
        <v>852378</v>
      </c>
      <c r="ADX2">
        <v>0.1225923</v>
      </c>
      <c r="ADY2">
        <v>852378</v>
      </c>
      <c r="ADZ2">
        <v>0.1193813</v>
      </c>
      <c r="AEA2">
        <v>852378</v>
      </c>
      <c r="AEB2">
        <v>0.12382890000000001</v>
      </c>
      <c r="AEC2">
        <v>852378</v>
      </c>
      <c r="AED2">
        <v>0.1228293</v>
      </c>
      <c r="AEE2">
        <v>852378</v>
      </c>
      <c r="AEF2">
        <v>0.1050461</v>
      </c>
      <c r="AEG2">
        <v>852378</v>
      </c>
      <c r="AEH2">
        <v>8.2158400000000006E-2</v>
      </c>
      <c r="AEI2">
        <v>852378</v>
      </c>
      <c r="AEJ2">
        <v>0.1057723</v>
      </c>
      <c r="AEK2">
        <v>852378</v>
      </c>
      <c r="AEL2">
        <v>5.4708100000000003E-2</v>
      </c>
      <c r="AEM2">
        <v>852378</v>
      </c>
      <c r="AEN2">
        <v>1.45945E-2</v>
      </c>
      <c r="AEO2">
        <v>971573</v>
      </c>
      <c r="AEP2">
        <v>0.1226825</v>
      </c>
      <c r="AEQ2">
        <v>119195</v>
      </c>
      <c r="AER2">
        <v>0.31718610000000003</v>
      </c>
      <c r="AES2">
        <v>37807</v>
      </c>
      <c r="AET2">
        <v>8.2789000000000005E-3</v>
      </c>
      <c r="AEU2">
        <v>37807</v>
      </c>
      <c r="AEV2">
        <v>0</v>
      </c>
      <c r="AEW2">
        <v>37807</v>
      </c>
      <c r="AEX2">
        <v>1.1294200000000001E-2</v>
      </c>
      <c r="AEY2">
        <v>37807</v>
      </c>
      <c r="AEZ2">
        <v>6.3850599999999993E-2</v>
      </c>
      <c r="AFA2">
        <v>37807</v>
      </c>
      <c r="AFB2">
        <v>0.1030233</v>
      </c>
      <c r="AFC2">
        <v>37807</v>
      </c>
      <c r="AFD2">
        <v>0.1220144</v>
      </c>
      <c r="AFE2">
        <v>37807</v>
      </c>
      <c r="AFF2">
        <v>0.1104557</v>
      </c>
      <c r="AFG2">
        <v>37807</v>
      </c>
      <c r="AFH2">
        <v>0.11495229999999999</v>
      </c>
      <c r="AFI2">
        <v>37807</v>
      </c>
      <c r="AFJ2">
        <v>0.1260878</v>
      </c>
      <c r="AFK2">
        <v>37807</v>
      </c>
      <c r="AFL2">
        <v>0.11341809999999999</v>
      </c>
      <c r="AFM2">
        <v>37807</v>
      </c>
      <c r="AFN2">
        <v>8.3238599999999996E-2</v>
      </c>
      <c r="AFO2">
        <v>37807</v>
      </c>
      <c r="AFP2">
        <v>9.3501200000000007E-2</v>
      </c>
      <c r="AFQ2">
        <v>37807</v>
      </c>
      <c r="AFR2">
        <v>4.20822E-2</v>
      </c>
      <c r="AFS2">
        <v>37807</v>
      </c>
      <c r="AFT2">
        <v>7.8028000000000004E-3</v>
      </c>
      <c r="AFU2">
        <v>119195</v>
      </c>
      <c r="AFV2">
        <v>0.68281389999999997</v>
      </c>
      <c r="AFW2">
        <v>81388</v>
      </c>
      <c r="AFX2">
        <v>1.6096000000000001E-3</v>
      </c>
      <c r="AFY2">
        <v>81388</v>
      </c>
      <c r="AFZ2">
        <v>3.5140000000000002E-3</v>
      </c>
      <c r="AGA2">
        <v>81388</v>
      </c>
      <c r="AGB2">
        <v>5.3460000000000001E-2</v>
      </c>
      <c r="AGC2">
        <v>81388</v>
      </c>
      <c r="AGD2">
        <v>0.10875070000000001</v>
      </c>
      <c r="AGE2">
        <v>81388</v>
      </c>
      <c r="AGF2">
        <v>0.1217256</v>
      </c>
      <c r="AGG2">
        <v>81388</v>
      </c>
      <c r="AGH2">
        <v>0.12344570000000001</v>
      </c>
      <c r="AGI2">
        <v>81388</v>
      </c>
      <c r="AGJ2">
        <v>0.11445180000000001</v>
      </c>
      <c r="AGK2">
        <v>81388</v>
      </c>
      <c r="AGL2">
        <v>8.9546399999999998E-2</v>
      </c>
      <c r="AGM2">
        <v>81388</v>
      </c>
      <c r="AGN2">
        <v>9.2200299999999999E-2</v>
      </c>
      <c r="AGO2">
        <v>81388</v>
      </c>
      <c r="AGP2">
        <v>8.1301899999999996E-2</v>
      </c>
      <c r="AGQ2">
        <v>81388</v>
      </c>
      <c r="AGR2">
        <v>7.0071800000000004E-2</v>
      </c>
      <c r="AGS2">
        <v>81388</v>
      </c>
      <c r="AGT2">
        <v>7.9446600000000006E-2</v>
      </c>
      <c r="AGU2">
        <v>81388</v>
      </c>
      <c r="AGV2">
        <v>4.5375199999999997E-2</v>
      </c>
      <c r="AGW2">
        <v>81388</v>
      </c>
      <c r="AGX2">
        <v>1.5100499999999999E-2</v>
      </c>
      <c r="AGY2">
        <v>2027974</v>
      </c>
      <c r="AGZ2">
        <v>2.5263600000000001E-2</v>
      </c>
      <c r="AHA2">
        <v>51234</v>
      </c>
      <c r="AHB2">
        <v>0</v>
      </c>
      <c r="AHC2">
        <v>51234</v>
      </c>
      <c r="AHD2">
        <v>0</v>
      </c>
      <c r="AHE2">
        <v>51234</v>
      </c>
      <c r="AHF2">
        <v>0</v>
      </c>
      <c r="AHG2">
        <v>51234</v>
      </c>
      <c r="AHH2">
        <v>4.8209999999999998E-3</v>
      </c>
      <c r="AHI2">
        <v>51234</v>
      </c>
      <c r="AHJ2">
        <v>1.09888E-2</v>
      </c>
      <c r="AHK2">
        <v>51234</v>
      </c>
      <c r="AHL2">
        <v>3.1190200000000001E-2</v>
      </c>
      <c r="AHM2">
        <v>51234</v>
      </c>
      <c r="AHN2">
        <v>1.21209E-2</v>
      </c>
      <c r="AHO2">
        <v>51234</v>
      </c>
      <c r="AHP2">
        <v>3.0194800000000001E-2</v>
      </c>
      <c r="AHQ2">
        <v>51234</v>
      </c>
      <c r="AHR2">
        <v>1.9186499999999999E-2</v>
      </c>
      <c r="AHS2">
        <v>51234</v>
      </c>
      <c r="AHT2">
        <v>6.9172800000000007E-2</v>
      </c>
      <c r="AHU2">
        <v>51234</v>
      </c>
      <c r="AHV2">
        <v>6.8684899999999993E-2</v>
      </c>
      <c r="AHW2">
        <v>51234</v>
      </c>
      <c r="AHX2">
        <v>0.2322091</v>
      </c>
      <c r="AHY2">
        <v>51234</v>
      </c>
      <c r="AHZ2">
        <v>0.33077640000000003</v>
      </c>
      <c r="AIA2">
        <v>51234</v>
      </c>
      <c r="AIB2">
        <v>0.19065470000000001</v>
      </c>
      <c r="AIC2">
        <v>2027974</v>
      </c>
      <c r="AID2">
        <v>7.4077900000000002E-2</v>
      </c>
      <c r="AIE2">
        <v>150228</v>
      </c>
      <c r="AIF2">
        <v>0</v>
      </c>
      <c r="AIG2">
        <v>150228</v>
      </c>
      <c r="AIH2">
        <v>0</v>
      </c>
      <c r="AII2">
        <v>150228</v>
      </c>
      <c r="AIJ2">
        <v>4.4000000000000003E-3</v>
      </c>
      <c r="AIK2">
        <v>150228</v>
      </c>
      <c r="AIL2">
        <v>1.8971200000000001E-2</v>
      </c>
      <c r="AIM2">
        <v>150228</v>
      </c>
      <c r="AIN2">
        <v>4.5710500000000001E-2</v>
      </c>
      <c r="AIO2">
        <v>150228</v>
      </c>
      <c r="AIP2">
        <v>9.3957200000000005E-2</v>
      </c>
      <c r="AIQ2">
        <v>150228</v>
      </c>
      <c r="AIR2">
        <v>0.1031632</v>
      </c>
      <c r="AIS2">
        <v>150228</v>
      </c>
      <c r="AIT2">
        <v>0.15771360000000001</v>
      </c>
      <c r="AIU2">
        <v>150228</v>
      </c>
      <c r="AIV2">
        <v>0.1532271</v>
      </c>
      <c r="AIW2">
        <v>150228</v>
      </c>
      <c r="AIX2">
        <v>0.13978750000000001</v>
      </c>
      <c r="AIY2">
        <v>150228</v>
      </c>
      <c r="AIZ2">
        <v>0.1250433</v>
      </c>
      <c r="AJA2">
        <v>150228</v>
      </c>
      <c r="AJB2">
        <v>0.11206969999999999</v>
      </c>
      <c r="AJC2">
        <v>150228</v>
      </c>
      <c r="AJD2">
        <v>3.9187100000000002E-2</v>
      </c>
      <c r="AJE2">
        <v>150228</v>
      </c>
      <c r="AJF2">
        <v>6.7697E-3</v>
      </c>
      <c r="AJG2">
        <v>4203898</v>
      </c>
      <c r="AJH2">
        <v>0.51759679999999997</v>
      </c>
      <c r="AJI2">
        <v>2175924</v>
      </c>
      <c r="AJJ2">
        <v>0.36760429999999999</v>
      </c>
      <c r="AJK2">
        <v>799879</v>
      </c>
      <c r="AJL2">
        <v>0.13522419999999999</v>
      </c>
      <c r="AJM2">
        <v>799879</v>
      </c>
      <c r="AJN2">
        <v>9.4965599999999997E-2</v>
      </c>
      <c r="AJO2">
        <v>799879</v>
      </c>
      <c r="AJP2">
        <v>0.20248559999999999</v>
      </c>
      <c r="AJQ2">
        <v>799879</v>
      </c>
      <c r="AJR2">
        <v>0.13698199999999999</v>
      </c>
      <c r="AJS2">
        <v>799879</v>
      </c>
      <c r="AJT2">
        <v>9.4705600000000001E-2</v>
      </c>
      <c r="AJU2">
        <v>799879</v>
      </c>
      <c r="AJV2">
        <v>8.0148399999999995E-2</v>
      </c>
      <c r="AJW2">
        <v>799879</v>
      </c>
      <c r="AJX2">
        <v>6.4581E-2</v>
      </c>
      <c r="AJY2">
        <v>799879</v>
      </c>
      <c r="AJZ2">
        <v>5.5770899999999998E-2</v>
      </c>
      <c r="AKA2">
        <v>799879</v>
      </c>
      <c r="AKB2">
        <v>4.1305000000000001E-2</v>
      </c>
      <c r="AKC2">
        <v>799879</v>
      </c>
      <c r="AKD2">
        <v>2.97808E-2</v>
      </c>
      <c r="AKE2">
        <v>799879</v>
      </c>
      <c r="AKF2">
        <v>2.0691899999999999E-2</v>
      </c>
      <c r="AKG2">
        <v>799879</v>
      </c>
      <c r="AKH2">
        <v>2.2528400000000001E-2</v>
      </c>
      <c r="AKI2">
        <v>799879</v>
      </c>
      <c r="AKJ2">
        <v>1.4060899999999999E-2</v>
      </c>
      <c r="AKK2">
        <v>799879</v>
      </c>
      <c r="AKL2">
        <v>6.7698000000000003E-3</v>
      </c>
      <c r="AKM2">
        <v>2175924</v>
      </c>
      <c r="AKN2">
        <v>0.42586000000000002</v>
      </c>
      <c r="AKO2">
        <v>926639</v>
      </c>
      <c r="AKP2">
        <v>0.87001729999999999</v>
      </c>
      <c r="AKQ2">
        <v>806192</v>
      </c>
      <c r="AKR2">
        <v>2.8899999999999998E-4</v>
      </c>
      <c r="AKS2">
        <v>806192</v>
      </c>
      <c r="AKT2">
        <v>8.8440000000000003E-4</v>
      </c>
      <c r="AKU2">
        <v>806192</v>
      </c>
      <c r="AKV2">
        <v>1.8011800000000001E-2</v>
      </c>
      <c r="AKW2">
        <v>806192</v>
      </c>
      <c r="AKX2">
        <v>5.9483300000000003E-2</v>
      </c>
      <c r="AKY2">
        <v>806192</v>
      </c>
      <c r="AKZ2">
        <v>0.1068282</v>
      </c>
      <c r="ALA2">
        <v>806192</v>
      </c>
      <c r="ALB2">
        <v>0.12958700000000001</v>
      </c>
      <c r="ALC2">
        <v>806192</v>
      </c>
      <c r="ALD2">
        <v>0.1225639</v>
      </c>
      <c r="ALE2">
        <v>806192</v>
      </c>
      <c r="ALF2">
        <v>0.12713969999999999</v>
      </c>
      <c r="ALG2">
        <v>806192</v>
      </c>
      <c r="ALH2">
        <v>0.1219734</v>
      </c>
      <c r="ALI2">
        <v>806192</v>
      </c>
      <c r="ALJ2">
        <v>0.1031876</v>
      </c>
      <c r="ALK2">
        <v>806192</v>
      </c>
      <c r="ALL2">
        <v>7.2594400000000003E-2</v>
      </c>
      <c r="ALM2">
        <v>806192</v>
      </c>
      <c r="ALN2">
        <v>9.0678099999999998E-2</v>
      </c>
      <c r="ALO2">
        <v>806192</v>
      </c>
      <c r="ALP2">
        <v>4.0162900000000001E-2</v>
      </c>
      <c r="ALQ2">
        <v>806192</v>
      </c>
      <c r="ALR2">
        <v>6.6163000000000003E-3</v>
      </c>
      <c r="ALS2">
        <v>926639</v>
      </c>
      <c r="ALT2">
        <v>0.12998270000000001</v>
      </c>
      <c r="ALU2">
        <v>120447</v>
      </c>
      <c r="ALV2">
        <v>0.4797961</v>
      </c>
      <c r="ALW2">
        <v>57790</v>
      </c>
      <c r="ALX2">
        <v>4.4644000000000003E-3</v>
      </c>
      <c r="ALY2">
        <v>57790</v>
      </c>
      <c r="ALZ2">
        <v>0</v>
      </c>
      <c r="AMA2">
        <v>57790</v>
      </c>
      <c r="AMB2">
        <v>1.9328600000000001E-2</v>
      </c>
      <c r="AMC2">
        <v>57790</v>
      </c>
      <c r="AMD2">
        <v>6.2986700000000007E-2</v>
      </c>
      <c r="AME2">
        <v>57790</v>
      </c>
      <c r="AMF2">
        <v>8.4980100000000003E-2</v>
      </c>
      <c r="AMG2">
        <v>57790</v>
      </c>
      <c r="AMH2">
        <v>0.1284651</v>
      </c>
      <c r="AMI2">
        <v>57790</v>
      </c>
      <c r="AMJ2">
        <v>0.1318394</v>
      </c>
      <c r="AMK2">
        <v>57790</v>
      </c>
      <c r="AML2">
        <v>0.15125449999999999</v>
      </c>
      <c r="AMM2">
        <v>57790</v>
      </c>
      <c r="AMN2">
        <v>0.1410971</v>
      </c>
      <c r="AMO2">
        <v>57790</v>
      </c>
      <c r="AMP2">
        <v>0.11659460000000001</v>
      </c>
      <c r="AMQ2">
        <v>57790</v>
      </c>
      <c r="AMR2">
        <v>6.4544000000000004E-2</v>
      </c>
      <c r="AMS2">
        <v>57790</v>
      </c>
      <c r="AMT2">
        <v>6.3280799999999998E-2</v>
      </c>
      <c r="AMU2">
        <v>57790</v>
      </c>
      <c r="AMV2">
        <v>2.8292100000000001E-2</v>
      </c>
      <c r="AMW2">
        <v>57790</v>
      </c>
      <c r="AMX2">
        <v>2.8725000000000001E-3</v>
      </c>
      <c r="AMY2">
        <v>120447</v>
      </c>
      <c r="AMZ2">
        <v>0.52020390000000005</v>
      </c>
      <c r="ANA2">
        <v>62657</v>
      </c>
      <c r="ANB2">
        <v>6.0327999999999996E-3</v>
      </c>
      <c r="ANC2">
        <v>62657</v>
      </c>
      <c r="AND2">
        <v>1.7587800000000001E-2</v>
      </c>
      <c r="ANE2">
        <v>62657</v>
      </c>
      <c r="ANF2">
        <v>6.0057100000000002E-2</v>
      </c>
      <c r="ANG2">
        <v>62657</v>
      </c>
      <c r="ANH2">
        <v>8.9008400000000001E-2</v>
      </c>
      <c r="ANI2">
        <v>62657</v>
      </c>
      <c r="ANJ2">
        <v>0.1191407</v>
      </c>
      <c r="ANK2">
        <v>62657</v>
      </c>
      <c r="ANL2">
        <v>9.6828800000000007E-2</v>
      </c>
      <c r="ANM2">
        <v>62657</v>
      </c>
      <c r="ANN2">
        <v>9.6206299999999995E-2</v>
      </c>
      <c r="ANO2">
        <v>62657</v>
      </c>
      <c r="ANP2">
        <v>0.1140495</v>
      </c>
      <c r="ANQ2">
        <v>62657</v>
      </c>
      <c r="ANR2">
        <v>0.1229871</v>
      </c>
      <c r="ANS2">
        <v>62657</v>
      </c>
      <c r="ANT2">
        <v>8.2592499999999999E-2</v>
      </c>
      <c r="ANU2">
        <v>62657</v>
      </c>
      <c r="ANV2">
        <v>6.8563799999999994E-2</v>
      </c>
      <c r="ANW2">
        <v>62657</v>
      </c>
      <c r="ANX2">
        <v>6.2818200000000005E-2</v>
      </c>
      <c r="ANY2">
        <v>62657</v>
      </c>
      <c r="ANZ2">
        <v>5.1119600000000001E-2</v>
      </c>
      <c r="AOA2">
        <v>62657</v>
      </c>
      <c r="AOB2">
        <v>1.3007299999999999E-2</v>
      </c>
      <c r="AOC2">
        <v>2175924</v>
      </c>
      <c r="AOD2">
        <v>0.1003105</v>
      </c>
      <c r="AOE2">
        <v>218268</v>
      </c>
      <c r="AOF2">
        <v>0</v>
      </c>
      <c r="AOG2">
        <v>218268</v>
      </c>
      <c r="AOH2">
        <v>3.6190000000000001E-4</v>
      </c>
      <c r="AOI2">
        <v>218268</v>
      </c>
      <c r="AOJ2">
        <v>1.0629000000000001E-3</v>
      </c>
      <c r="AOK2">
        <v>218268</v>
      </c>
      <c r="AOL2">
        <v>3.2069999999999999E-4</v>
      </c>
      <c r="AOM2">
        <v>218268</v>
      </c>
      <c r="AON2">
        <v>4.7649999999999998E-4</v>
      </c>
      <c r="AOO2">
        <v>218268</v>
      </c>
      <c r="AOP2">
        <v>4.0454999999999996E-3</v>
      </c>
      <c r="AOQ2">
        <v>218268</v>
      </c>
      <c r="AOR2">
        <v>1.5719199999999999E-2</v>
      </c>
      <c r="AOS2">
        <v>218268</v>
      </c>
      <c r="AOT2">
        <v>2.6710299999999999E-2</v>
      </c>
      <c r="AOU2">
        <v>218268</v>
      </c>
      <c r="AOV2">
        <v>3.9396500000000001E-2</v>
      </c>
      <c r="AOW2">
        <v>218268</v>
      </c>
      <c r="AOX2">
        <v>6.0132499999999998E-2</v>
      </c>
      <c r="AOY2">
        <v>218268</v>
      </c>
      <c r="AOZ2">
        <v>7.1128200000000003E-2</v>
      </c>
      <c r="APA2">
        <v>218268</v>
      </c>
      <c r="APB2">
        <v>0.25326199999999999</v>
      </c>
      <c r="APC2">
        <v>218268</v>
      </c>
      <c r="APD2">
        <v>0.3152913</v>
      </c>
      <c r="APE2">
        <v>218268</v>
      </c>
      <c r="APF2">
        <v>0.21209249999999999</v>
      </c>
      <c r="APG2">
        <v>2175924</v>
      </c>
      <c r="APH2">
        <v>0.10622520000000001</v>
      </c>
      <c r="API2">
        <v>231138</v>
      </c>
      <c r="APJ2">
        <v>2.855E-4</v>
      </c>
      <c r="APK2">
        <v>231138</v>
      </c>
      <c r="APL2">
        <v>0</v>
      </c>
      <c r="APM2">
        <v>231138</v>
      </c>
      <c r="APN2">
        <v>3.5866000000000001E-3</v>
      </c>
      <c r="APO2">
        <v>231138</v>
      </c>
      <c r="APP2">
        <v>2.0624E-2</v>
      </c>
      <c r="APQ2">
        <v>231138</v>
      </c>
      <c r="APR2">
        <v>5.2501100000000002E-2</v>
      </c>
      <c r="APS2">
        <v>231138</v>
      </c>
      <c r="APT2">
        <v>7.6465099999999994E-2</v>
      </c>
      <c r="APU2">
        <v>231138</v>
      </c>
      <c r="APV2">
        <v>0.1034144</v>
      </c>
      <c r="APW2">
        <v>231138</v>
      </c>
      <c r="APX2">
        <v>0.13936699999999999</v>
      </c>
      <c r="APY2">
        <v>231138</v>
      </c>
      <c r="APZ2">
        <v>0.1401154</v>
      </c>
      <c r="AQA2">
        <v>231138</v>
      </c>
      <c r="AQB2">
        <v>0.15307309999999999</v>
      </c>
      <c r="AQC2">
        <v>231138</v>
      </c>
      <c r="AQD2">
        <v>0.1233895</v>
      </c>
      <c r="AQE2">
        <v>231138</v>
      </c>
      <c r="AQF2">
        <v>0.1242504</v>
      </c>
      <c r="AQG2">
        <v>231138</v>
      </c>
      <c r="AQH2">
        <v>5.1077699999999997E-2</v>
      </c>
      <c r="AQI2">
        <v>231138</v>
      </c>
      <c r="AQJ2">
        <v>1.1850100000000001E-2</v>
      </c>
      <c r="AQK2">
        <v>567760</v>
      </c>
      <c r="AQL2">
        <v>0.26795999999999998</v>
      </c>
      <c r="AQM2">
        <v>1941698</v>
      </c>
      <c r="AQN2">
        <v>0.61138700000000001</v>
      </c>
      <c r="AQO2">
        <v>1187129</v>
      </c>
      <c r="AQP2">
        <v>0.70048829999999995</v>
      </c>
      <c r="AQQ2">
        <v>831570</v>
      </c>
      <c r="AQR2">
        <v>0.77464560000000005</v>
      </c>
      <c r="AQS2">
        <v>644172</v>
      </c>
      <c r="AQT2">
        <v>0.45817259999999999</v>
      </c>
      <c r="AQU2">
        <v>644172</v>
      </c>
      <c r="AQV2">
        <v>0.54182730000000001</v>
      </c>
      <c r="AQW2">
        <v>831570</v>
      </c>
      <c r="AQX2">
        <v>0.22535440000000001</v>
      </c>
      <c r="AQY2">
        <v>187398</v>
      </c>
      <c r="AQZ2">
        <v>0.28227089999999999</v>
      </c>
      <c r="ARA2">
        <v>52897</v>
      </c>
      <c r="ARB2">
        <v>0.32610539999999999</v>
      </c>
      <c r="ARC2">
        <v>52897</v>
      </c>
      <c r="ARD2">
        <v>0.67389449999999995</v>
      </c>
      <c r="ARE2">
        <v>187398</v>
      </c>
      <c r="ARF2">
        <v>0.71772910000000001</v>
      </c>
      <c r="ARG2">
        <v>134501</v>
      </c>
      <c r="ARH2">
        <v>0.33863690000000002</v>
      </c>
      <c r="ARI2">
        <v>134501</v>
      </c>
      <c r="ARJ2">
        <v>0.66136309999999998</v>
      </c>
      <c r="ARK2">
        <v>1187129</v>
      </c>
      <c r="ARL2">
        <v>0.29951169999999999</v>
      </c>
      <c r="ARM2">
        <v>1941698</v>
      </c>
      <c r="ARN2">
        <v>0.38861299999999999</v>
      </c>
      <c r="ARO2">
        <v>754569</v>
      </c>
      <c r="ARP2">
        <v>0.48632259999999999</v>
      </c>
      <c r="ARQ2">
        <v>366964</v>
      </c>
      <c r="ARR2">
        <v>0.43676759999999998</v>
      </c>
      <c r="ARS2">
        <v>160278</v>
      </c>
      <c r="ART2">
        <v>0.51653380000000004</v>
      </c>
      <c r="ARU2">
        <v>160278</v>
      </c>
      <c r="ARV2">
        <v>0.48346620000000001</v>
      </c>
      <c r="ARW2">
        <v>366964</v>
      </c>
      <c r="ARX2">
        <v>0.56323239999999997</v>
      </c>
      <c r="ARY2">
        <v>206686</v>
      </c>
      <c r="ARZ2">
        <v>0.20938039999999999</v>
      </c>
      <c r="ASA2">
        <v>43276</v>
      </c>
      <c r="ASB2">
        <v>0.47236339999999999</v>
      </c>
      <c r="ASC2">
        <v>43276</v>
      </c>
      <c r="ASD2">
        <v>0.52763660000000001</v>
      </c>
      <c r="ASE2">
        <v>206686</v>
      </c>
      <c r="ASF2">
        <v>0.79061959999999998</v>
      </c>
      <c r="ASG2">
        <v>163410</v>
      </c>
      <c r="ASH2">
        <v>0.65228560000000002</v>
      </c>
      <c r="ASI2">
        <v>163410</v>
      </c>
      <c r="ASJ2">
        <v>0.34771429999999998</v>
      </c>
      <c r="ASK2">
        <v>754569</v>
      </c>
      <c r="ASL2">
        <v>0.51367739999999995</v>
      </c>
      <c r="ASM2">
        <v>1813900</v>
      </c>
      <c r="ASN2">
        <v>0.5610039</v>
      </c>
      <c r="ASO2">
        <v>1017605</v>
      </c>
      <c r="ASP2">
        <v>0.35911480000000001</v>
      </c>
      <c r="ASQ2">
        <v>365437</v>
      </c>
      <c r="ASR2">
        <v>0.50003969999999998</v>
      </c>
      <c r="ASS2">
        <v>182733</v>
      </c>
      <c r="AST2">
        <v>0.66458709999999999</v>
      </c>
      <c r="ASU2">
        <v>182733</v>
      </c>
      <c r="ASV2">
        <v>0.33541290000000001</v>
      </c>
      <c r="ASW2">
        <v>365437</v>
      </c>
      <c r="ASX2">
        <v>0.49996030000000002</v>
      </c>
      <c r="ASY2">
        <v>182704</v>
      </c>
      <c r="ASZ2">
        <v>0.2068209</v>
      </c>
      <c r="ATA2">
        <v>182704</v>
      </c>
      <c r="ATB2">
        <v>0.1629466</v>
      </c>
      <c r="ATC2">
        <v>182704</v>
      </c>
      <c r="ATD2">
        <v>4.8855000000000003E-2</v>
      </c>
      <c r="ATE2">
        <v>365437</v>
      </c>
      <c r="ATF2">
        <v>3.2150499999999999E-2</v>
      </c>
      <c r="ATG2">
        <v>11749</v>
      </c>
      <c r="ATH2">
        <v>1.778619</v>
      </c>
      <c r="ATI2">
        <v>11749</v>
      </c>
      <c r="ATJ2">
        <v>1.844838</v>
      </c>
      <c r="ATK2">
        <v>11749</v>
      </c>
      <c r="ATL2">
        <v>2.0768580000000001</v>
      </c>
      <c r="ATM2">
        <v>11749</v>
      </c>
      <c r="ATN2">
        <v>2.340455</v>
      </c>
      <c r="ATO2">
        <v>365437</v>
      </c>
      <c r="ATP2">
        <v>5.9501400000000003E-2</v>
      </c>
      <c r="ATQ2">
        <v>21744</v>
      </c>
      <c r="ATR2">
        <v>0.26462469999999999</v>
      </c>
      <c r="ATS2">
        <v>21744</v>
      </c>
      <c r="ATT2">
        <v>6.2551509999999997</v>
      </c>
      <c r="ATU2">
        <v>1017605</v>
      </c>
      <c r="ATV2">
        <v>4.1774999999999998E-3</v>
      </c>
      <c r="ATW2">
        <v>4251</v>
      </c>
      <c r="ATX2">
        <v>8.7337089999999993</v>
      </c>
      <c r="ATY2">
        <v>4251</v>
      </c>
      <c r="ATZ2">
        <v>5.0395200000000004</v>
      </c>
      <c r="AUA2">
        <v>21423</v>
      </c>
      <c r="AUB2">
        <v>0.73304389999999997</v>
      </c>
      <c r="AUC2">
        <v>21423</v>
      </c>
      <c r="AUD2">
        <v>2.006068</v>
      </c>
      <c r="AUE2">
        <v>4251</v>
      </c>
      <c r="AUF2">
        <v>9.2394730000000003</v>
      </c>
      <c r="AUG2">
        <v>4251</v>
      </c>
      <c r="AUH2">
        <v>2.9124910000000002</v>
      </c>
      <c r="AUI2">
        <v>4251</v>
      </c>
      <c r="AUJ2">
        <v>44.113149999999997</v>
      </c>
      <c r="AUK2">
        <v>1017605</v>
      </c>
      <c r="AUL2">
        <v>0.10697859999999999</v>
      </c>
      <c r="AUM2">
        <v>108862</v>
      </c>
      <c r="AUN2">
        <v>0.72259370000000001</v>
      </c>
      <c r="AUO2">
        <v>108862</v>
      </c>
      <c r="AUP2">
        <v>1.53589E-2</v>
      </c>
      <c r="AUQ2">
        <v>1017605</v>
      </c>
      <c r="AUR2">
        <v>0.1187445</v>
      </c>
      <c r="AUS2">
        <v>120835</v>
      </c>
      <c r="AUT2">
        <v>0.59860970000000002</v>
      </c>
      <c r="AUU2">
        <v>120835</v>
      </c>
      <c r="AUV2">
        <v>0.40139029999999998</v>
      </c>
      <c r="AUW2">
        <v>120835</v>
      </c>
      <c r="AUX2">
        <v>1.70583</v>
      </c>
      <c r="AUY2">
        <v>1017605</v>
      </c>
      <c r="AUZ2">
        <v>9.7260700000000005E-2</v>
      </c>
      <c r="AVA2">
        <v>98973</v>
      </c>
      <c r="AVB2">
        <v>1.0826290000000001</v>
      </c>
      <c r="AVC2">
        <v>98973</v>
      </c>
      <c r="AVD2">
        <v>0.1216796</v>
      </c>
      <c r="AVE2">
        <v>98973</v>
      </c>
      <c r="AVF2">
        <v>0.52927570000000002</v>
      </c>
      <c r="AVG2">
        <v>1813900</v>
      </c>
      <c r="AVH2">
        <v>2.35537E-2</v>
      </c>
      <c r="AVI2">
        <v>42724</v>
      </c>
      <c r="AVJ2">
        <v>18.638120000000001</v>
      </c>
      <c r="AVK2">
        <v>796295</v>
      </c>
      <c r="AVL2">
        <v>0.4329827</v>
      </c>
      <c r="AVM2">
        <v>344782</v>
      </c>
      <c r="AVN2">
        <v>0.4353417</v>
      </c>
      <c r="AVO2">
        <v>344782</v>
      </c>
      <c r="AVP2">
        <v>0.26521400000000001</v>
      </c>
      <c r="AVQ2">
        <v>796295</v>
      </c>
      <c r="AVR2">
        <v>7.3662400000000003E-2</v>
      </c>
      <c r="AVS2">
        <v>58657</v>
      </c>
      <c r="AVT2">
        <v>3.3190240000000002</v>
      </c>
      <c r="AVU2">
        <v>58657</v>
      </c>
      <c r="AVV2">
        <v>0.2584687</v>
      </c>
      <c r="AVW2">
        <v>58657</v>
      </c>
      <c r="AVX2">
        <v>0.10170990000000001</v>
      </c>
      <c r="AVY2">
        <v>796295</v>
      </c>
      <c r="AVZ2">
        <v>1.16364E-2</v>
      </c>
      <c r="AWA2">
        <v>9266</v>
      </c>
      <c r="AWB2">
        <v>2.2801640000000001</v>
      </c>
      <c r="AWC2">
        <v>9266</v>
      </c>
      <c r="AWD2">
        <v>1.506691</v>
      </c>
      <c r="AWE2">
        <v>9266</v>
      </c>
      <c r="AWF2">
        <v>5.5719839999999996</v>
      </c>
      <c r="AWG2">
        <v>9266</v>
      </c>
      <c r="AWH2">
        <v>1.9210020000000001</v>
      </c>
      <c r="AWI2">
        <v>796295</v>
      </c>
      <c r="AWJ2">
        <v>7.5062599999999993E-2</v>
      </c>
      <c r="AWK2">
        <v>59772</v>
      </c>
      <c r="AWL2">
        <v>0.69388680000000003</v>
      </c>
      <c r="AWM2">
        <v>59772</v>
      </c>
      <c r="AWN2">
        <v>0.30611319999999997</v>
      </c>
      <c r="AWO2">
        <v>42724</v>
      </c>
      <c r="AWP2">
        <v>2.8531270000000002</v>
      </c>
      <c r="AWQ2">
        <v>121897</v>
      </c>
      <c r="AWR2">
        <v>0.23449310000000001</v>
      </c>
      <c r="AWS2">
        <v>121897</v>
      </c>
      <c r="AWT2">
        <v>8.3201399999999995E-2</v>
      </c>
      <c r="AWU2">
        <v>10142</v>
      </c>
      <c r="AWV2">
        <v>0.4988168</v>
      </c>
      <c r="AWW2">
        <v>10142</v>
      </c>
      <c r="AWX2">
        <v>0.50118320000000005</v>
      </c>
      <c r="AWY2">
        <v>121897</v>
      </c>
      <c r="AWZ2">
        <v>0.21635480000000001</v>
      </c>
      <c r="AXA2">
        <v>121897</v>
      </c>
      <c r="AXB2">
        <v>0.21509139999999999</v>
      </c>
      <c r="AXC2">
        <v>121897</v>
      </c>
      <c r="AXD2">
        <v>0.25085930000000001</v>
      </c>
      <c r="AXE2">
        <v>42724</v>
      </c>
      <c r="AXF2">
        <v>6.2484080000000004</v>
      </c>
      <c r="AXG2">
        <v>266957</v>
      </c>
      <c r="AXH2">
        <v>0.29440699999999997</v>
      </c>
      <c r="AXI2">
        <v>266957</v>
      </c>
      <c r="AXJ2">
        <v>0.70559300000000003</v>
      </c>
      <c r="AXK2">
        <v>42724</v>
      </c>
      <c r="AXL2">
        <v>1.6197E-2</v>
      </c>
      <c r="AXM2">
        <v>692</v>
      </c>
      <c r="AXN2">
        <v>6.5635839999999996</v>
      </c>
      <c r="AXO2">
        <v>692</v>
      </c>
      <c r="AXP2">
        <v>3.3771680000000002</v>
      </c>
      <c r="AXQ2">
        <v>692</v>
      </c>
      <c r="AXR2">
        <v>3.1864159999999999</v>
      </c>
      <c r="AXS2">
        <v>42724</v>
      </c>
      <c r="AXT2">
        <v>1.3440920000000001</v>
      </c>
      <c r="AXU2">
        <v>57425</v>
      </c>
      <c r="AXV2">
        <v>0.70112319999999995</v>
      </c>
      <c r="AXW2">
        <v>57425</v>
      </c>
      <c r="AXX2">
        <v>0.2988768</v>
      </c>
      <c r="AXY2">
        <v>57425</v>
      </c>
      <c r="AXZ2">
        <v>4.5067500000000003E-2</v>
      </c>
      <c r="AYA2">
        <v>264959</v>
      </c>
      <c r="AYB2">
        <v>3.3680700000000001E-2</v>
      </c>
      <c r="AYC2">
        <v>264959</v>
      </c>
      <c r="AYD2">
        <v>0.1691356</v>
      </c>
      <c r="AYE2">
        <v>264959</v>
      </c>
      <c r="AYF2">
        <v>0.29941610000000002</v>
      </c>
      <c r="AYG2">
        <v>264959</v>
      </c>
      <c r="AYH2">
        <v>0.33460649999999997</v>
      </c>
      <c r="AYI2">
        <v>264959</v>
      </c>
      <c r="AYJ2">
        <v>3.8149299999999997E-2</v>
      </c>
      <c r="AYK2">
        <v>264959</v>
      </c>
      <c r="AYL2">
        <v>0.11654630000000001</v>
      </c>
      <c r="AYM2">
        <v>264959</v>
      </c>
      <c r="AYN2">
        <v>8.4655000000000008E-3</v>
      </c>
      <c r="AYO2">
        <v>371979</v>
      </c>
      <c r="AYP2">
        <v>6.8235000000000004E-2</v>
      </c>
      <c r="AYQ2">
        <v>371979</v>
      </c>
      <c r="AYR2">
        <v>0.1043177</v>
      </c>
      <c r="AYS2">
        <v>371979</v>
      </c>
      <c r="AYT2">
        <v>0.23426050000000001</v>
      </c>
      <c r="AYU2">
        <v>371979</v>
      </c>
      <c r="AYV2">
        <v>0.1834163</v>
      </c>
      <c r="AYW2">
        <v>371979</v>
      </c>
      <c r="AYX2">
        <v>6.02211E-2</v>
      </c>
      <c r="AYY2">
        <v>371979</v>
      </c>
      <c r="AYZ2">
        <v>0.23901349999999999</v>
      </c>
      <c r="AZA2">
        <v>371979</v>
      </c>
      <c r="AZB2">
        <v>0.1105358</v>
      </c>
      <c r="AZC2">
        <v>394328</v>
      </c>
      <c r="AZD2">
        <v>7.5594400000000006E-2</v>
      </c>
      <c r="AZE2">
        <v>394328</v>
      </c>
      <c r="AZF2">
        <v>7.7478599999999995E-2</v>
      </c>
      <c r="AZG2">
        <v>394328</v>
      </c>
      <c r="AZH2">
        <v>0.2349136</v>
      </c>
      <c r="AZI2">
        <v>394328</v>
      </c>
      <c r="AZJ2">
        <v>0.18818599999999999</v>
      </c>
      <c r="AZK2">
        <v>394328</v>
      </c>
      <c r="AZL2">
        <v>5.8433600000000002E-2</v>
      </c>
      <c r="AZM2">
        <v>394328</v>
      </c>
      <c r="AZN2">
        <v>0.2164239</v>
      </c>
      <c r="AZO2">
        <v>394328</v>
      </c>
      <c r="AZP2">
        <v>0.14896989999999999</v>
      </c>
      <c r="AZQ2">
        <v>630939</v>
      </c>
      <c r="AZR2">
        <v>8.5605700000000007E-2</v>
      </c>
      <c r="AZS2">
        <v>630939</v>
      </c>
      <c r="AZT2">
        <v>8.4199899999999994E-2</v>
      </c>
      <c r="AZU2">
        <v>630939</v>
      </c>
      <c r="AZV2">
        <v>0.25147910000000001</v>
      </c>
      <c r="AZW2">
        <v>630939</v>
      </c>
      <c r="AZX2">
        <v>0.1975817</v>
      </c>
      <c r="AZY2">
        <v>630939</v>
      </c>
      <c r="AZZ2">
        <v>6.0888600000000001E-2</v>
      </c>
      <c r="BAA2">
        <v>630939</v>
      </c>
      <c r="BAB2">
        <v>0.18396870000000001</v>
      </c>
      <c r="BAC2">
        <v>630939</v>
      </c>
      <c r="BAD2">
        <v>0.13627619999999999</v>
      </c>
      <c r="BAE2">
        <v>252100</v>
      </c>
      <c r="BAF2">
        <v>0.15636649999999999</v>
      </c>
      <c r="BAG2">
        <v>252100</v>
      </c>
      <c r="BAH2">
        <v>0.1162991</v>
      </c>
      <c r="BAI2">
        <v>252100</v>
      </c>
      <c r="BAJ2">
        <v>0.26981749999999999</v>
      </c>
      <c r="BAK2">
        <v>252100</v>
      </c>
      <c r="BAL2">
        <v>0.17772309999999999</v>
      </c>
      <c r="BAM2">
        <v>252100</v>
      </c>
      <c r="BAN2">
        <v>3.24633E-2</v>
      </c>
      <c r="BAO2">
        <v>252100</v>
      </c>
      <c r="BAP2">
        <v>0.1184014</v>
      </c>
      <c r="BAQ2">
        <v>252100</v>
      </c>
      <c r="BAR2">
        <v>0.12892899999999999</v>
      </c>
      <c r="BAS2">
        <v>260281</v>
      </c>
      <c r="BAT2">
        <v>2.1050300000000001E-2</v>
      </c>
      <c r="BAU2">
        <v>260281</v>
      </c>
      <c r="BAV2">
        <v>0.1286725</v>
      </c>
      <c r="BAW2">
        <v>260281</v>
      </c>
      <c r="BAX2">
        <v>0.26024950000000002</v>
      </c>
      <c r="BAY2">
        <v>260281</v>
      </c>
      <c r="BAZ2">
        <v>0.38169520000000001</v>
      </c>
      <c r="BBA2">
        <v>260281</v>
      </c>
      <c r="BBB2">
        <v>4.6726400000000001E-2</v>
      </c>
      <c r="BBC2">
        <v>260281</v>
      </c>
      <c r="BBD2">
        <v>0.147287</v>
      </c>
      <c r="BBE2">
        <v>260281</v>
      </c>
      <c r="BBF2">
        <v>1.43191E-2</v>
      </c>
      <c r="BBG2">
        <v>358070</v>
      </c>
      <c r="BBH2">
        <v>4.6837200000000002E-2</v>
      </c>
      <c r="BBI2">
        <v>358070</v>
      </c>
      <c r="BBJ2">
        <v>7.6353799999999999E-2</v>
      </c>
      <c r="BBK2">
        <v>358070</v>
      </c>
      <c r="BBL2">
        <v>0.18553910000000001</v>
      </c>
      <c r="BBM2">
        <v>358070</v>
      </c>
      <c r="BBN2">
        <v>0.19591140000000001</v>
      </c>
      <c r="BBO2">
        <v>358070</v>
      </c>
      <c r="BBP2">
        <v>7.0173399999999997E-2</v>
      </c>
      <c r="BBQ2">
        <v>358070</v>
      </c>
      <c r="BBR2">
        <v>0.28257330000000003</v>
      </c>
      <c r="BBS2">
        <v>358070</v>
      </c>
      <c r="BBT2">
        <v>0.14261180000000001</v>
      </c>
      <c r="BBU2">
        <v>392077</v>
      </c>
      <c r="BBV2">
        <v>5.8998599999999998E-2</v>
      </c>
      <c r="BBW2">
        <v>392077</v>
      </c>
      <c r="BBX2">
        <v>6.5497299999999994E-2</v>
      </c>
      <c r="BBY2">
        <v>392077</v>
      </c>
      <c r="BBZ2">
        <v>0.1973056</v>
      </c>
      <c r="BCA2">
        <v>392077</v>
      </c>
      <c r="BCB2">
        <v>0.20377120000000001</v>
      </c>
      <c r="BCC2">
        <v>392077</v>
      </c>
      <c r="BCD2">
        <v>7.6666100000000001E-2</v>
      </c>
      <c r="BCE2">
        <v>392077</v>
      </c>
      <c r="BCF2">
        <v>0.24556149999999999</v>
      </c>
      <c r="BCG2">
        <v>392077</v>
      </c>
      <c r="BCH2">
        <v>0.15219969999999999</v>
      </c>
      <c r="BCI2">
        <v>683833</v>
      </c>
      <c r="BCJ2">
        <v>7.8487000000000001E-2</v>
      </c>
      <c r="BCK2">
        <v>683833</v>
      </c>
      <c r="BCL2">
        <v>7.1416599999999997E-2</v>
      </c>
      <c r="BCM2">
        <v>683833</v>
      </c>
      <c r="BCN2">
        <v>0.24532010000000001</v>
      </c>
      <c r="BCO2">
        <v>683833</v>
      </c>
      <c r="BCP2">
        <v>0.21733669999999999</v>
      </c>
      <c r="BCQ2">
        <v>683833</v>
      </c>
      <c r="BCR2">
        <v>8.05284E-2</v>
      </c>
      <c r="BCS2">
        <v>683833</v>
      </c>
      <c r="BCT2">
        <v>0.1800542</v>
      </c>
      <c r="BCU2">
        <v>683833</v>
      </c>
      <c r="BCV2">
        <v>0.126857</v>
      </c>
      <c r="BCW2">
        <v>372565</v>
      </c>
      <c r="BCX2">
        <v>0.1533397</v>
      </c>
      <c r="BCY2">
        <v>372565</v>
      </c>
      <c r="BCZ2">
        <v>0.1182049</v>
      </c>
      <c r="BDA2">
        <v>372565</v>
      </c>
      <c r="BDB2">
        <v>0.35176410000000002</v>
      </c>
      <c r="BDC2">
        <v>372565</v>
      </c>
      <c r="BDD2">
        <v>0.1677372</v>
      </c>
      <c r="BDE2">
        <v>372565</v>
      </c>
      <c r="BDF2">
        <v>3.51536E-2</v>
      </c>
      <c r="BDG2">
        <v>372565</v>
      </c>
      <c r="BDH2">
        <v>0.102519</v>
      </c>
      <c r="BDI2">
        <v>372565</v>
      </c>
      <c r="BDJ2">
        <v>7.1281499999999998E-2</v>
      </c>
      <c r="BDK2">
        <v>1325591</v>
      </c>
      <c r="BDL2">
        <v>5.4223399999999998E-2</v>
      </c>
      <c r="BDM2">
        <v>71878</v>
      </c>
      <c r="BDN2">
        <v>0.63038760000000005</v>
      </c>
      <c r="BDO2">
        <v>45311</v>
      </c>
      <c r="BDP2">
        <v>0.53560949999999996</v>
      </c>
      <c r="BDQ2">
        <v>45311</v>
      </c>
      <c r="BDR2">
        <v>0.46439049999999998</v>
      </c>
      <c r="BDS2">
        <v>71878</v>
      </c>
      <c r="BDT2">
        <v>0.36961240000000001</v>
      </c>
      <c r="BDU2">
        <v>26567</v>
      </c>
      <c r="BDV2">
        <v>0.6311213</v>
      </c>
      <c r="BDW2">
        <v>26567</v>
      </c>
      <c r="BDX2">
        <v>0.3688787</v>
      </c>
      <c r="BDY2">
        <v>1325591</v>
      </c>
      <c r="BDZ2">
        <v>0.94577659999999997</v>
      </c>
      <c r="BEA2">
        <v>1253713</v>
      </c>
      <c r="BEB2">
        <v>0.40324140000000003</v>
      </c>
      <c r="BEC2">
        <v>505549</v>
      </c>
      <c r="BED2">
        <v>0.73087279999999999</v>
      </c>
      <c r="BEE2">
        <v>505549</v>
      </c>
      <c r="BEF2">
        <v>0.26912720000000001</v>
      </c>
      <c r="BEG2">
        <v>1253713</v>
      </c>
      <c r="BEH2">
        <v>0.59675860000000003</v>
      </c>
      <c r="BEI2">
        <v>748164</v>
      </c>
      <c r="BEJ2">
        <v>0.73737710000000001</v>
      </c>
      <c r="BEK2">
        <v>748164</v>
      </c>
      <c r="BEL2">
        <v>0.26262289999999999</v>
      </c>
      <c r="BEM2">
        <v>2488910</v>
      </c>
      <c r="BEN2">
        <v>0.52606200000000003</v>
      </c>
      <c r="BEO2">
        <v>1309321</v>
      </c>
      <c r="BEP2">
        <v>0.97952989999999995</v>
      </c>
      <c r="BEQ2">
        <v>1282519</v>
      </c>
      <c r="BER2">
        <v>0.43880599999999997</v>
      </c>
      <c r="BES2">
        <v>1282519</v>
      </c>
      <c r="BET2">
        <v>0.56119399999999997</v>
      </c>
      <c r="BEU2">
        <v>1309321</v>
      </c>
      <c r="BEV2">
        <v>2.0470200000000001E-2</v>
      </c>
      <c r="BEW2">
        <v>2488910</v>
      </c>
      <c r="BEX2">
        <v>0.47393800000000003</v>
      </c>
      <c r="BEY2">
        <v>1179589</v>
      </c>
      <c r="BEZ2">
        <v>0.97939620000000005</v>
      </c>
      <c r="BFA2">
        <v>1155285</v>
      </c>
      <c r="BFB2">
        <v>0.47895710000000002</v>
      </c>
      <c r="BFC2">
        <v>1155285</v>
      </c>
      <c r="BFD2">
        <v>0.52104289999999998</v>
      </c>
      <c r="BFE2">
        <v>1179589</v>
      </c>
      <c r="BFF2">
        <v>2.0603799999999999E-2</v>
      </c>
      <c r="BFG2">
        <v>2585734</v>
      </c>
      <c r="BFH2">
        <v>0.25966669999999997</v>
      </c>
      <c r="BFI2">
        <v>671429</v>
      </c>
      <c r="BFJ2">
        <v>0.95029560000000002</v>
      </c>
      <c r="BFK2">
        <v>671429</v>
      </c>
      <c r="BFL2">
        <v>4.9704400000000003E-2</v>
      </c>
      <c r="BFM2">
        <v>33373</v>
      </c>
      <c r="BFN2">
        <v>0.22218560000000001</v>
      </c>
      <c r="BFO2">
        <v>33373</v>
      </c>
      <c r="BFP2">
        <v>0.77781440000000002</v>
      </c>
      <c r="BFQ2">
        <v>2585734</v>
      </c>
      <c r="BFR2">
        <v>0.74033329999999997</v>
      </c>
      <c r="BFS2">
        <v>1914305</v>
      </c>
      <c r="BFT2">
        <v>0.71543199999999996</v>
      </c>
      <c r="BFU2">
        <v>1914305</v>
      </c>
      <c r="BFV2">
        <v>0.28456799999999999</v>
      </c>
      <c r="BFW2">
        <v>544750</v>
      </c>
      <c r="BFX2">
        <v>0.43892059999999999</v>
      </c>
      <c r="BFY2">
        <v>544750</v>
      </c>
      <c r="BFZ2">
        <v>0.56107940000000001</v>
      </c>
      <c r="BGA2">
        <v>2708930</v>
      </c>
      <c r="BGB2">
        <v>0.2370323</v>
      </c>
      <c r="BGC2">
        <v>642104</v>
      </c>
      <c r="BGD2">
        <v>0.95038500000000004</v>
      </c>
      <c r="BGE2">
        <v>642104</v>
      </c>
      <c r="BGF2">
        <v>4.9614999999999999E-2</v>
      </c>
      <c r="BGG2">
        <v>31858</v>
      </c>
      <c r="BGH2">
        <v>0.2317785</v>
      </c>
      <c r="BGI2">
        <v>31858</v>
      </c>
      <c r="BGJ2">
        <v>0.7682215</v>
      </c>
      <c r="BGK2">
        <v>2708930</v>
      </c>
      <c r="BGL2">
        <v>0.76296759999999997</v>
      </c>
      <c r="BGM2">
        <v>2066826</v>
      </c>
      <c r="BGN2">
        <v>0.75452549999999996</v>
      </c>
      <c r="BGO2">
        <v>2066826</v>
      </c>
      <c r="BGP2">
        <v>0.24547450000000001</v>
      </c>
      <c r="BGQ2">
        <v>507353</v>
      </c>
      <c r="BGR2">
        <v>0.495645</v>
      </c>
      <c r="BGS2">
        <v>507353</v>
      </c>
      <c r="BGT2">
        <v>0.504355</v>
      </c>
    </row>
    <row r="3" spans="1:1554" x14ac:dyDescent="0.25">
      <c r="A3" t="s">
        <v>136</v>
      </c>
      <c r="B3">
        <v>2009</v>
      </c>
      <c r="C3">
        <v>1</v>
      </c>
      <c r="D3" t="s">
        <v>541</v>
      </c>
      <c r="E3">
        <v>825870</v>
      </c>
      <c r="F3">
        <v>0.45250829999999997</v>
      </c>
      <c r="G3">
        <v>373713</v>
      </c>
      <c r="H3">
        <v>0.118591</v>
      </c>
      <c r="I3">
        <v>373713</v>
      </c>
      <c r="J3">
        <v>2.4055900000000002E-2</v>
      </c>
      <c r="K3">
        <v>373713</v>
      </c>
      <c r="L3">
        <v>0.1364764</v>
      </c>
      <c r="M3">
        <v>373713</v>
      </c>
      <c r="N3">
        <v>5.47693E-2</v>
      </c>
      <c r="O3">
        <v>373713</v>
      </c>
      <c r="P3">
        <v>2.2404899999999998E-2</v>
      </c>
      <c r="Q3">
        <v>373713</v>
      </c>
      <c r="R3">
        <v>3.8197799999999997E-2</v>
      </c>
      <c r="S3">
        <v>373713</v>
      </c>
      <c r="T3">
        <v>0.13490830000000001</v>
      </c>
      <c r="U3">
        <v>373713</v>
      </c>
      <c r="V3">
        <v>0.13637469999999999</v>
      </c>
      <c r="W3">
        <v>373713</v>
      </c>
      <c r="X3">
        <v>0.10443040000000001</v>
      </c>
      <c r="Y3">
        <v>373713</v>
      </c>
      <c r="Z3">
        <v>9.67026E-2</v>
      </c>
      <c r="AA3">
        <v>373713</v>
      </c>
      <c r="AB3">
        <v>7.0498000000000005E-2</v>
      </c>
      <c r="AC3">
        <v>373713</v>
      </c>
      <c r="AD3">
        <v>3.4285700000000002E-2</v>
      </c>
      <c r="AE3">
        <v>373713</v>
      </c>
      <c r="AF3">
        <v>2.83051E-2</v>
      </c>
      <c r="AG3">
        <v>825870</v>
      </c>
      <c r="AH3">
        <v>0.54749170000000003</v>
      </c>
      <c r="AI3">
        <v>452157</v>
      </c>
      <c r="AJ3">
        <v>9.3186699999999997E-2</v>
      </c>
      <c r="AK3">
        <v>452157</v>
      </c>
      <c r="AL3">
        <v>1.8876199999999999E-2</v>
      </c>
      <c r="AM3">
        <v>452157</v>
      </c>
      <c r="AN3">
        <v>0.1009384</v>
      </c>
      <c r="AO3">
        <v>452157</v>
      </c>
      <c r="AP3">
        <v>5.0385199999999998E-2</v>
      </c>
      <c r="AQ3">
        <v>452157</v>
      </c>
      <c r="AR3">
        <v>1.81441E-2</v>
      </c>
      <c r="AS3">
        <v>452157</v>
      </c>
      <c r="AT3">
        <v>3.2676700000000003E-2</v>
      </c>
      <c r="AU3">
        <v>452157</v>
      </c>
      <c r="AV3">
        <v>0.13320599999999999</v>
      </c>
      <c r="AW3">
        <v>452157</v>
      </c>
      <c r="AX3">
        <v>0.1584052</v>
      </c>
      <c r="AY3">
        <v>452157</v>
      </c>
      <c r="AZ3">
        <v>0.1182642</v>
      </c>
      <c r="BA3">
        <v>452157</v>
      </c>
      <c r="BB3">
        <v>9.8662600000000003E-2</v>
      </c>
      <c r="BC3">
        <v>452157</v>
      </c>
      <c r="BD3">
        <v>7.0864800000000006E-2</v>
      </c>
      <c r="BE3">
        <v>452157</v>
      </c>
      <c r="BF3">
        <v>5.19996E-2</v>
      </c>
      <c r="BG3">
        <v>452157</v>
      </c>
      <c r="BH3">
        <v>5.4390399999999998E-2</v>
      </c>
      <c r="BI3">
        <v>4375209</v>
      </c>
      <c r="BJ3">
        <v>0.49163000000000001</v>
      </c>
      <c r="BK3">
        <v>2150984</v>
      </c>
      <c r="BL3">
        <v>6.8794999999999995E-2</v>
      </c>
      <c r="BM3">
        <v>2150984</v>
      </c>
      <c r="BN3">
        <v>1.0651900000000001E-2</v>
      </c>
      <c r="BO3">
        <v>2150984</v>
      </c>
      <c r="BP3">
        <v>7.2386900000000004E-2</v>
      </c>
      <c r="BQ3">
        <v>2150984</v>
      </c>
      <c r="BR3">
        <v>4.1596300000000003E-2</v>
      </c>
      <c r="BS3">
        <v>2150984</v>
      </c>
      <c r="BT3">
        <v>1.36291E-2</v>
      </c>
      <c r="BU3">
        <v>2150984</v>
      </c>
      <c r="BV3">
        <v>2.5567400000000001E-2</v>
      </c>
      <c r="BW3">
        <v>2150984</v>
      </c>
      <c r="BX3">
        <v>8.64428E-2</v>
      </c>
      <c r="BY3">
        <v>2150984</v>
      </c>
      <c r="BZ3">
        <v>0.1748934</v>
      </c>
      <c r="CA3">
        <v>2150984</v>
      </c>
      <c r="CB3">
        <v>0.15023359999999999</v>
      </c>
      <c r="CC3">
        <v>2150984</v>
      </c>
      <c r="CD3">
        <v>0.14714099999999999</v>
      </c>
      <c r="CE3">
        <v>2150984</v>
      </c>
      <c r="CF3">
        <v>0.1063109</v>
      </c>
      <c r="CG3">
        <v>2150984</v>
      </c>
      <c r="CH3">
        <v>5.8852599999999998E-2</v>
      </c>
      <c r="CI3">
        <v>2150984</v>
      </c>
      <c r="CJ3">
        <v>4.3499200000000002E-2</v>
      </c>
      <c r="CK3">
        <v>4375209</v>
      </c>
      <c r="CL3">
        <v>0.50836999999999999</v>
      </c>
      <c r="CM3">
        <v>2224225</v>
      </c>
      <c r="CN3">
        <v>6.4186400000000005E-2</v>
      </c>
      <c r="CO3">
        <v>2224225</v>
      </c>
      <c r="CP3">
        <v>1.04288E-2</v>
      </c>
      <c r="CQ3">
        <v>2224225</v>
      </c>
      <c r="CR3">
        <v>6.8811399999999995E-2</v>
      </c>
      <c r="CS3">
        <v>2224225</v>
      </c>
      <c r="CT3">
        <v>3.6233300000000003E-2</v>
      </c>
      <c r="CU3">
        <v>2224225</v>
      </c>
      <c r="CV3">
        <v>1.21782E-2</v>
      </c>
      <c r="CW3">
        <v>2224225</v>
      </c>
      <c r="CX3">
        <v>2.3978200000000002E-2</v>
      </c>
      <c r="CY3">
        <v>2224225</v>
      </c>
      <c r="CZ3">
        <v>7.9455100000000001E-2</v>
      </c>
      <c r="DA3">
        <v>2224225</v>
      </c>
      <c r="DB3">
        <v>0.1615606</v>
      </c>
      <c r="DC3">
        <v>2224225</v>
      </c>
      <c r="DD3">
        <v>0.1402767</v>
      </c>
      <c r="DE3">
        <v>2224225</v>
      </c>
      <c r="DF3">
        <v>0.14695910000000001</v>
      </c>
      <c r="DG3">
        <v>2224225</v>
      </c>
      <c r="DH3">
        <v>0.1168106</v>
      </c>
      <c r="DI3">
        <v>2224225</v>
      </c>
      <c r="DJ3">
        <v>6.9980299999999995E-2</v>
      </c>
      <c r="DK3">
        <v>2224225</v>
      </c>
      <c r="DL3">
        <v>6.9141400000000006E-2</v>
      </c>
      <c r="DM3">
        <v>3457870</v>
      </c>
      <c r="DN3">
        <v>0.1231174</v>
      </c>
      <c r="DO3">
        <v>425724</v>
      </c>
      <c r="DP3">
        <v>0.41310330000000001</v>
      </c>
      <c r="DQ3">
        <v>1640539</v>
      </c>
      <c r="DR3">
        <v>0.1072014</v>
      </c>
      <c r="DS3">
        <v>175868</v>
      </c>
      <c r="DT3">
        <v>0.34656100000000001</v>
      </c>
      <c r="DU3">
        <v>276564</v>
      </c>
      <c r="DV3">
        <v>0.2203794</v>
      </c>
      <c r="DW3">
        <v>175868</v>
      </c>
      <c r="DX3">
        <v>0.27533150000000001</v>
      </c>
      <c r="DY3">
        <v>402951</v>
      </c>
      <c r="DZ3">
        <v>0.1201685</v>
      </c>
      <c r="EA3">
        <v>175868</v>
      </c>
      <c r="EB3">
        <v>0.22839860000000001</v>
      </c>
      <c r="EC3">
        <v>403113</v>
      </c>
      <c r="ED3">
        <v>9.9644499999999997E-2</v>
      </c>
      <c r="EE3">
        <v>175868</v>
      </c>
      <c r="EF3">
        <v>0.14970890000000001</v>
      </c>
      <c r="EG3">
        <v>557911</v>
      </c>
      <c r="EH3">
        <v>4.7192100000000001E-2</v>
      </c>
      <c r="EI3">
        <v>425724</v>
      </c>
      <c r="EJ3">
        <v>0.58689670000000005</v>
      </c>
      <c r="EK3">
        <v>1817331</v>
      </c>
      <c r="EL3">
        <v>0.1374851</v>
      </c>
      <c r="EM3">
        <v>249856</v>
      </c>
      <c r="EN3">
        <v>0.32126100000000002</v>
      </c>
      <c r="EO3">
        <v>284357</v>
      </c>
      <c r="EP3">
        <v>0.28228249999999999</v>
      </c>
      <c r="EQ3">
        <v>249856</v>
      </c>
      <c r="ER3">
        <v>0.29881609999999997</v>
      </c>
      <c r="ES3">
        <v>428130</v>
      </c>
      <c r="ET3">
        <v>0.1743886</v>
      </c>
      <c r="EU3">
        <v>249856</v>
      </c>
      <c r="EV3">
        <v>0.25518299999999999</v>
      </c>
      <c r="EW3">
        <v>487876</v>
      </c>
      <c r="EX3">
        <v>0.13068689999999999</v>
      </c>
      <c r="EY3">
        <v>249856</v>
      </c>
      <c r="EZ3">
        <v>0.1247398</v>
      </c>
      <c r="FA3">
        <v>616968</v>
      </c>
      <c r="FB3">
        <v>5.0516400000000003E-2</v>
      </c>
      <c r="FC3">
        <v>3457870</v>
      </c>
      <c r="FD3">
        <v>0.87688259999999996</v>
      </c>
      <c r="FE3">
        <v>3032146</v>
      </c>
      <c r="FF3">
        <v>0.48304770000000002</v>
      </c>
      <c r="FG3">
        <v>1640539</v>
      </c>
      <c r="FH3">
        <v>0.89279869999999995</v>
      </c>
      <c r="FI3">
        <v>1464671</v>
      </c>
      <c r="FJ3">
        <v>0.14721049999999999</v>
      </c>
      <c r="FK3">
        <v>276564</v>
      </c>
      <c r="FL3">
        <v>0.7796206</v>
      </c>
      <c r="FM3">
        <v>1464671</v>
      </c>
      <c r="FN3">
        <v>0.24205370000000001</v>
      </c>
      <c r="FO3">
        <v>402951</v>
      </c>
      <c r="FP3">
        <v>0.87983160000000005</v>
      </c>
      <c r="FQ3">
        <v>1464671</v>
      </c>
      <c r="FR3">
        <v>0.24779970000000001</v>
      </c>
      <c r="FS3">
        <v>403113</v>
      </c>
      <c r="FT3">
        <v>0.90035549999999998</v>
      </c>
      <c r="FU3">
        <v>1464671</v>
      </c>
      <c r="FV3">
        <v>0.36293609999999998</v>
      </c>
      <c r="FW3">
        <v>557911</v>
      </c>
      <c r="FX3">
        <v>0.95280790000000004</v>
      </c>
      <c r="FY3">
        <v>3032146</v>
      </c>
      <c r="FZ3">
        <v>0.51695230000000003</v>
      </c>
      <c r="GA3">
        <v>1817331</v>
      </c>
      <c r="GB3">
        <v>0.86251489999999997</v>
      </c>
      <c r="GC3">
        <v>1567475</v>
      </c>
      <c r="GD3">
        <v>0.13020180000000001</v>
      </c>
      <c r="GE3">
        <v>284357</v>
      </c>
      <c r="GF3">
        <v>0.71771750000000001</v>
      </c>
      <c r="GG3">
        <v>1567475</v>
      </c>
      <c r="GH3">
        <v>0.22550220000000001</v>
      </c>
      <c r="GI3">
        <v>428130</v>
      </c>
      <c r="GJ3">
        <v>0.8256114</v>
      </c>
      <c r="GK3">
        <v>1567475</v>
      </c>
      <c r="GL3">
        <v>0.27057340000000002</v>
      </c>
      <c r="GM3">
        <v>487876</v>
      </c>
      <c r="GN3">
        <v>0.86931309999999995</v>
      </c>
      <c r="GO3">
        <v>1567475</v>
      </c>
      <c r="GP3">
        <v>0.37372270000000002</v>
      </c>
      <c r="GQ3">
        <v>616968</v>
      </c>
      <c r="GR3">
        <v>0.94948359999999998</v>
      </c>
      <c r="GS3">
        <v>4068558</v>
      </c>
      <c r="GT3">
        <v>0.13897329999999999</v>
      </c>
      <c r="GU3">
        <v>565421</v>
      </c>
      <c r="GV3">
        <v>0.42545290000000002</v>
      </c>
      <c r="GW3">
        <v>240560</v>
      </c>
      <c r="GX3">
        <v>0.1041445</v>
      </c>
      <c r="GY3">
        <v>240560</v>
      </c>
      <c r="GZ3">
        <v>0.29323660000000001</v>
      </c>
      <c r="HA3">
        <v>240560</v>
      </c>
      <c r="HB3">
        <v>0.60261889999999996</v>
      </c>
      <c r="HC3">
        <v>240560</v>
      </c>
      <c r="HD3">
        <v>0.46758810000000001</v>
      </c>
      <c r="HE3">
        <v>240560</v>
      </c>
      <c r="HF3">
        <v>0.53241190000000005</v>
      </c>
      <c r="HG3">
        <v>112483</v>
      </c>
      <c r="HH3">
        <v>0.61318600000000001</v>
      </c>
      <c r="HI3">
        <v>112483</v>
      </c>
      <c r="HJ3">
        <v>0.38681399999999999</v>
      </c>
      <c r="HK3">
        <v>565421</v>
      </c>
      <c r="HL3">
        <v>0.57454709999999998</v>
      </c>
      <c r="HM3">
        <v>324861</v>
      </c>
      <c r="HN3">
        <v>6.5464900000000006E-2</v>
      </c>
      <c r="HO3">
        <v>324861</v>
      </c>
      <c r="HP3">
        <v>0.28719670000000003</v>
      </c>
      <c r="HQ3">
        <v>324861</v>
      </c>
      <c r="HR3">
        <v>0.64733839999999998</v>
      </c>
      <c r="HS3">
        <v>324861</v>
      </c>
      <c r="HT3">
        <v>0.39983869999999999</v>
      </c>
      <c r="HU3">
        <v>324861</v>
      </c>
      <c r="HV3">
        <v>0.60016130000000001</v>
      </c>
      <c r="HW3">
        <v>129892</v>
      </c>
      <c r="HX3">
        <v>0.63106269999999998</v>
      </c>
      <c r="HY3">
        <v>129892</v>
      </c>
      <c r="HZ3">
        <v>0.36893730000000002</v>
      </c>
      <c r="IA3">
        <v>4068558</v>
      </c>
      <c r="IB3">
        <v>0.86102670000000003</v>
      </c>
      <c r="IC3">
        <v>3503137</v>
      </c>
      <c r="ID3">
        <v>0.4868788</v>
      </c>
      <c r="IE3">
        <v>1705603</v>
      </c>
      <c r="IF3">
        <v>0.53520129999999999</v>
      </c>
      <c r="IG3">
        <v>1705603</v>
      </c>
      <c r="IH3">
        <v>0.23736119999999999</v>
      </c>
      <c r="II3">
        <v>1705603</v>
      </c>
      <c r="IJ3">
        <v>0.22743749999999999</v>
      </c>
      <c r="IK3">
        <v>1702907</v>
      </c>
      <c r="IL3">
        <v>0.77534179999999997</v>
      </c>
      <c r="IM3">
        <v>1702907</v>
      </c>
      <c r="IN3">
        <v>0.2246582</v>
      </c>
      <c r="IO3">
        <v>1320335</v>
      </c>
      <c r="IP3">
        <v>0.88999079999999997</v>
      </c>
      <c r="IQ3">
        <v>1320335</v>
      </c>
      <c r="IR3">
        <v>0.1100092</v>
      </c>
      <c r="IS3">
        <v>3503137</v>
      </c>
      <c r="IT3">
        <v>0.51312120000000006</v>
      </c>
      <c r="IU3">
        <v>1797534</v>
      </c>
      <c r="IV3">
        <v>0.41937730000000001</v>
      </c>
      <c r="IW3">
        <v>1797534</v>
      </c>
      <c r="IX3">
        <v>0.2545888</v>
      </c>
      <c r="IY3">
        <v>1797534</v>
      </c>
      <c r="IZ3">
        <v>0.32603389999999999</v>
      </c>
      <c r="JA3">
        <v>1797118</v>
      </c>
      <c r="JB3">
        <v>0.66335770000000005</v>
      </c>
      <c r="JC3">
        <v>1797118</v>
      </c>
      <c r="JD3">
        <v>0.33664230000000001</v>
      </c>
      <c r="JE3">
        <v>1192132</v>
      </c>
      <c r="JF3">
        <v>0.91646810000000001</v>
      </c>
      <c r="JG3">
        <v>1192132</v>
      </c>
      <c r="JH3">
        <v>8.3531900000000006E-2</v>
      </c>
      <c r="JI3">
        <v>1185225</v>
      </c>
      <c r="JJ3">
        <v>0.17636650000000001</v>
      </c>
      <c r="JK3">
        <v>209034</v>
      </c>
      <c r="JL3">
        <v>0.36664849999999999</v>
      </c>
      <c r="JM3">
        <v>76642</v>
      </c>
      <c r="JN3">
        <v>0.71592599999999995</v>
      </c>
      <c r="JO3">
        <v>76642</v>
      </c>
      <c r="JP3">
        <v>0.71592599999999995</v>
      </c>
      <c r="JQ3">
        <v>76642</v>
      </c>
      <c r="JR3">
        <v>0.71592599999999995</v>
      </c>
      <c r="JS3">
        <v>76642</v>
      </c>
      <c r="JT3">
        <v>0.71592599999999995</v>
      </c>
      <c r="JU3">
        <v>76642</v>
      </c>
      <c r="JV3">
        <v>0.28407399999999999</v>
      </c>
      <c r="JW3">
        <v>209034</v>
      </c>
      <c r="JX3">
        <v>0.63335149999999996</v>
      </c>
      <c r="JY3">
        <v>132392</v>
      </c>
      <c r="JZ3">
        <v>0.17630970000000001</v>
      </c>
      <c r="KA3">
        <v>23342</v>
      </c>
      <c r="KB3">
        <v>0.72834379999999999</v>
      </c>
      <c r="KC3">
        <v>17001</v>
      </c>
      <c r="KD3">
        <v>0.22092819999999999</v>
      </c>
      <c r="KE3">
        <v>17001</v>
      </c>
      <c r="KF3">
        <v>0.3402153</v>
      </c>
      <c r="KG3">
        <v>17001</v>
      </c>
      <c r="KH3">
        <v>0.43885649999999998</v>
      </c>
      <c r="KI3">
        <v>23342</v>
      </c>
      <c r="KJ3">
        <v>0.27165620000000001</v>
      </c>
      <c r="KK3">
        <v>132392</v>
      </c>
      <c r="KL3">
        <v>0.82369020000000004</v>
      </c>
      <c r="KM3">
        <v>109050</v>
      </c>
      <c r="KN3">
        <v>0.83159099999999997</v>
      </c>
      <c r="KO3">
        <v>90685</v>
      </c>
      <c r="KP3">
        <v>0.13685839999999999</v>
      </c>
      <c r="KQ3">
        <v>90685</v>
      </c>
      <c r="KR3">
        <v>0.28966199999999998</v>
      </c>
      <c r="KS3">
        <v>90685</v>
      </c>
      <c r="KT3">
        <v>0.57347970000000004</v>
      </c>
      <c r="KU3">
        <v>109050</v>
      </c>
      <c r="KV3">
        <v>0.168409</v>
      </c>
      <c r="KW3">
        <v>1185225</v>
      </c>
      <c r="KX3">
        <v>3.3672100000000003E-2</v>
      </c>
      <c r="KY3">
        <v>39909</v>
      </c>
      <c r="KZ3">
        <v>0.53975300000000004</v>
      </c>
      <c r="LA3">
        <v>21541</v>
      </c>
      <c r="LB3">
        <v>0.7423054</v>
      </c>
      <c r="LC3">
        <v>21541</v>
      </c>
      <c r="LD3">
        <v>0.7423054</v>
      </c>
      <c r="LE3">
        <v>21541</v>
      </c>
      <c r="LF3">
        <v>0.7423054</v>
      </c>
      <c r="LG3">
        <v>21541</v>
      </c>
      <c r="LH3">
        <v>0.7423054</v>
      </c>
      <c r="LI3">
        <v>21541</v>
      </c>
      <c r="LJ3">
        <v>0.2576946</v>
      </c>
      <c r="LK3">
        <v>39909</v>
      </c>
      <c r="LL3">
        <v>0.46024710000000002</v>
      </c>
      <c r="LM3">
        <v>18368</v>
      </c>
      <c r="LN3">
        <v>0.20900479999999999</v>
      </c>
      <c r="LO3">
        <v>3839</v>
      </c>
      <c r="LP3">
        <v>0.56499089999999996</v>
      </c>
      <c r="LQ3">
        <v>2169</v>
      </c>
      <c r="LR3">
        <v>0.17796219999999999</v>
      </c>
      <c r="LS3">
        <v>2169</v>
      </c>
      <c r="LT3">
        <v>0.17565700000000001</v>
      </c>
      <c r="LU3">
        <v>2169</v>
      </c>
      <c r="LV3">
        <v>0.64638079999999998</v>
      </c>
      <c r="LW3">
        <v>3839</v>
      </c>
      <c r="LX3">
        <v>0.43500909999999998</v>
      </c>
      <c r="LY3">
        <v>18368</v>
      </c>
      <c r="LZ3">
        <v>0.79099520000000001</v>
      </c>
      <c r="MA3">
        <v>14529</v>
      </c>
      <c r="MB3">
        <v>0.8039094</v>
      </c>
      <c r="MC3">
        <v>11680</v>
      </c>
      <c r="MD3">
        <v>0.153339</v>
      </c>
      <c r="ME3">
        <v>11680</v>
      </c>
      <c r="MF3">
        <v>0.26010270000000002</v>
      </c>
      <c r="MG3">
        <v>11680</v>
      </c>
      <c r="MH3">
        <v>0.58655820000000003</v>
      </c>
      <c r="MI3">
        <v>14529</v>
      </c>
      <c r="MJ3">
        <v>0.1960906</v>
      </c>
      <c r="MK3">
        <v>1185225</v>
      </c>
      <c r="ML3">
        <v>5.6314999999999997E-2</v>
      </c>
      <c r="MM3">
        <v>66746</v>
      </c>
      <c r="MN3">
        <v>0.56172659999999996</v>
      </c>
      <c r="MO3">
        <v>37493</v>
      </c>
      <c r="MP3">
        <v>0.63134449999999998</v>
      </c>
      <c r="MQ3">
        <v>37493</v>
      </c>
      <c r="MR3">
        <v>0.63134449999999998</v>
      </c>
      <c r="MS3">
        <v>37493</v>
      </c>
      <c r="MT3">
        <v>0.63134449999999998</v>
      </c>
      <c r="MU3">
        <v>37493</v>
      </c>
      <c r="MV3">
        <v>0.63134449999999998</v>
      </c>
      <c r="MW3">
        <v>37493</v>
      </c>
      <c r="MX3">
        <v>0.36865550000000002</v>
      </c>
      <c r="MY3">
        <v>66746</v>
      </c>
      <c r="MZ3">
        <v>0.43827349999999998</v>
      </c>
      <c r="NA3">
        <v>29253</v>
      </c>
      <c r="NB3">
        <v>0.193963</v>
      </c>
      <c r="NC3">
        <v>5674</v>
      </c>
      <c r="ND3">
        <v>0.68699330000000003</v>
      </c>
      <c r="NE3">
        <v>3898</v>
      </c>
      <c r="NF3">
        <v>0.16110830000000001</v>
      </c>
      <c r="NG3">
        <v>3898</v>
      </c>
      <c r="NH3">
        <v>0.21549509999999999</v>
      </c>
      <c r="NI3">
        <v>3898</v>
      </c>
      <c r="NJ3">
        <v>0.62339659999999997</v>
      </c>
      <c r="NK3">
        <v>5674</v>
      </c>
      <c r="NL3">
        <v>0.31300670000000003</v>
      </c>
      <c r="NM3">
        <v>29253</v>
      </c>
      <c r="NN3">
        <v>0.806037</v>
      </c>
      <c r="NO3">
        <v>23579</v>
      </c>
      <c r="NP3">
        <v>0.68862120000000004</v>
      </c>
      <c r="NQ3">
        <v>16237</v>
      </c>
      <c r="NR3">
        <v>0.18630289999999999</v>
      </c>
      <c r="NS3">
        <v>16237</v>
      </c>
      <c r="NT3">
        <v>0.2331712</v>
      </c>
      <c r="NU3">
        <v>16237</v>
      </c>
      <c r="NV3">
        <v>0.58052590000000004</v>
      </c>
      <c r="NW3">
        <v>23579</v>
      </c>
      <c r="NX3">
        <v>0.31137880000000001</v>
      </c>
      <c r="NY3">
        <v>1185225</v>
      </c>
      <c r="NZ3">
        <v>0.73364629999999997</v>
      </c>
      <c r="OA3">
        <v>869536</v>
      </c>
      <c r="OB3">
        <v>0.76382119999999998</v>
      </c>
      <c r="OC3">
        <v>664170</v>
      </c>
      <c r="OD3">
        <v>0.4394267</v>
      </c>
      <c r="OE3">
        <v>664170</v>
      </c>
      <c r="OF3">
        <v>0.4394267</v>
      </c>
      <c r="OG3">
        <v>664170</v>
      </c>
      <c r="OH3">
        <v>0.4394267</v>
      </c>
      <c r="OI3">
        <v>664170</v>
      </c>
      <c r="OJ3">
        <v>0.4394267</v>
      </c>
      <c r="OK3">
        <v>664170</v>
      </c>
      <c r="OL3">
        <v>0.56057330000000005</v>
      </c>
      <c r="OM3">
        <v>869536</v>
      </c>
      <c r="ON3">
        <v>0.23617879999999999</v>
      </c>
      <c r="OO3">
        <v>205366</v>
      </c>
      <c r="OP3">
        <v>0.29384120000000002</v>
      </c>
      <c r="OQ3">
        <v>60345</v>
      </c>
      <c r="OR3">
        <v>0.39749770000000001</v>
      </c>
      <c r="OS3">
        <v>23987</v>
      </c>
      <c r="OT3">
        <v>0.25876519999999997</v>
      </c>
      <c r="OU3">
        <v>23987</v>
      </c>
      <c r="OV3">
        <v>0.1209822</v>
      </c>
      <c r="OW3">
        <v>23987</v>
      </c>
      <c r="OX3">
        <v>0.62025260000000004</v>
      </c>
      <c r="OY3">
        <v>60345</v>
      </c>
      <c r="OZ3">
        <v>0.60250230000000005</v>
      </c>
      <c r="PA3">
        <v>205366</v>
      </c>
      <c r="PB3">
        <v>0.70615879999999998</v>
      </c>
      <c r="PC3">
        <v>145021</v>
      </c>
      <c r="PD3">
        <v>0.48380580000000001</v>
      </c>
      <c r="PE3">
        <v>70162</v>
      </c>
      <c r="PF3">
        <v>0.14768680000000001</v>
      </c>
      <c r="PG3">
        <v>70162</v>
      </c>
      <c r="PH3">
        <v>0.1083635</v>
      </c>
      <c r="PI3">
        <v>70162</v>
      </c>
      <c r="PJ3">
        <v>0.74394970000000005</v>
      </c>
      <c r="PK3">
        <v>145021</v>
      </c>
      <c r="PL3">
        <v>0.51619420000000005</v>
      </c>
      <c r="PM3">
        <v>5287037</v>
      </c>
      <c r="PN3">
        <v>0.48665799999999998</v>
      </c>
      <c r="PO3">
        <v>2572979</v>
      </c>
      <c r="PP3">
        <v>7.5528399999999996E-2</v>
      </c>
      <c r="PQ3">
        <v>2572979</v>
      </c>
      <c r="PR3">
        <v>6.6156000000000006E-2</v>
      </c>
      <c r="PS3">
        <v>2572979</v>
      </c>
      <c r="PT3">
        <v>7.0653499999999994E-2</v>
      </c>
      <c r="PU3">
        <v>2572979</v>
      </c>
      <c r="PV3">
        <v>4.2115E-2</v>
      </c>
      <c r="PW3">
        <v>2572979</v>
      </c>
      <c r="PX3">
        <v>2.8717300000000001E-2</v>
      </c>
      <c r="PY3">
        <v>2572979</v>
      </c>
      <c r="PZ3">
        <v>1.4735099999999999E-2</v>
      </c>
      <c r="QA3">
        <v>2572979</v>
      </c>
      <c r="QB3">
        <v>1.30308E-2</v>
      </c>
      <c r="QC3">
        <v>2572979</v>
      </c>
      <c r="QD3">
        <v>4.26611E-2</v>
      </c>
      <c r="QE3">
        <v>2572979</v>
      </c>
      <c r="QF3">
        <v>8.7010799999999999E-2</v>
      </c>
      <c r="QG3">
        <v>2572979</v>
      </c>
      <c r="QH3">
        <v>8.0613900000000002E-2</v>
      </c>
      <c r="QI3">
        <v>2572979</v>
      </c>
      <c r="QJ3">
        <v>7.2819099999999998E-2</v>
      </c>
      <c r="QK3">
        <v>2572979</v>
      </c>
      <c r="QL3">
        <v>6.9205799999999998E-2</v>
      </c>
      <c r="QM3">
        <v>2572979</v>
      </c>
      <c r="QN3">
        <v>7.1399699999999997E-2</v>
      </c>
      <c r="QO3">
        <v>2572979</v>
      </c>
      <c r="QP3">
        <v>6.7355799999999993E-2</v>
      </c>
      <c r="QQ3">
        <v>2572979</v>
      </c>
      <c r="QR3">
        <v>5.6494799999999998E-2</v>
      </c>
      <c r="QS3">
        <v>2572979</v>
      </c>
      <c r="QT3">
        <v>2.00375E-2</v>
      </c>
      <c r="QU3">
        <v>2572979</v>
      </c>
      <c r="QV3">
        <v>2.3999800000000002E-2</v>
      </c>
      <c r="QW3">
        <v>2572979</v>
      </c>
      <c r="QX3">
        <v>1.38975E-2</v>
      </c>
      <c r="QY3">
        <v>2572979</v>
      </c>
      <c r="QZ3">
        <v>1.7180500000000001E-2</v>
      </c>
      <c r="RA3">
        <v>2572979</v>
      </c>
      <c r="RB3">
        <v>2.4069400000000001E-2</v>
      </c>
      <c r="RC3">
        <v>2572979</v>
      </c>
      <c r="RD3">
        <v>1.8057299999999998E-2</v>
      </c>
      <c r="RE3">
        <v>2572979</v>
      </c>
      <c r="RF3">
        <v>1.3599399999999999E-2</v>
      </c>
      <c r="RG3">
        <v>2572979</v>
      </c>
      <c r="RH3">
        <v>1.06616E-2</v>
      </c>
      <c r="RI3">
        <v>5287037</v>
      </c>
      <c r="RJ3">
        <v>0.51334199999999996</v>
      </c>
      <c r="RK3">
        <v>2714058</v>
      </c>
      <c r="RL3">
        <v>6.8685700000000002E-2</v>
      </c>
      <c r="RM3">
        <v>2714058</v>
      </c>
      <c r="RN3">
        <v>6.0694400000000003E-2</v>
      </c>
      <c r="RO3">
        <v>2714058</v>
      </c>
      <c r="RP3">
        <v>6.3774200000000003E-2</v>
      </c>
      <c r="RQ3">
        <v>2714058</v>
      </c>
      <c r="RR3">
        <v>3.8396399999999997E-2</v>
      </c>
      <c r="RS3">
        <v>2714058</v>
      </c>
      <c r="RT3">
        <v>2.62481E-2</v>
      </c>
      <c r="RU3">
        <v>2714058</v>
      </c>
      <c r="RV3">
        <v>1.21799E-2</v>
      </c>
      <c r="RW3">
        <v>2714058</v>
      </c>
      <c r="RX3">
        <v>1.39728E-2</v>
      </c>
      <c r="RY3">
        <v>2714058</v>
      </c>
      <c r="RZ3">
        <v>4.00036E-2</v>
      </c>
      <c r="SA3">
        <v>2714058</v>
      </c>
      <c r="SB3">
        <v>8.2295199999999999E-2</v>
      </c>
      <c r="SC3">
        <v>2714058</v>
      </c>
      <c r="SD3">
        <v>7.6743800000000001E-2</v>
      </c>
      <c r="SE3">
        <v>2714058</v>
      </c>
      <c r="SF3">
        <v>6.8427799999999997E-2</v>
      </c>
      <c r="SG3">
        <v>2714058</v>
      </c>
      <c r="SH3">
        <v>6.6378499999999993E-2</v>
      </c>
      <c r="SI3">
        <v>2714058</v>
      </c>
      <c r="SJ3">
        <v>6.9615300000000005E-2</v>
      </c>
      <c r="SK3">
        <v>2714058</v>
      </c>
      <c r="SL3">
        <v>6.7874400000000001E-2</v>
      </c>
      <c r="SM3">
        <v>2714058</v>
      </c>
      <c r="SN3">
        <v>5.86203E-2</v>
      </c>
      <c r="SO3">
        <v>2714058</v>
      </c>
      <c r="SP3">
        <v>2.2447600000000002E-2</v>
      </c>
      <c r="SQ3">
        <v>2714058</v>
      </c>
      <c r="SR3">
        <v>2.7104400000000001E-2</v>
      </c>
      <c r="SS3">
        <v>2714058</v>
      </c>
      <c r="ST3">
        <v>1.75243E-2</v>
      </c>
      <c r="SU3">
        <v>2714058</v>
      </c>
      <c r="SV3">
        <v>1.9091299999999999E-2</v>
      </c>
      <c r="SW3">
        <v>2714058</v>
      </c>
      <c r="SX3">
        <v>3.0376299999999998E-2</v>
      </c>
      <c r="SY3">
        <v>2714058</v>
      </c>
      <c r="SZ3">
        <v>2.4974400000000001E-2</v>
      </c>
      <c r="TA3">
        <v>2714058</v>
      </c>
      <c r="TB3">
        <v>2.08227E-2</v>
      </c>
      <c r="TC3">
        <v>2714058</v>
      </c>
      <c r="TD3">
        <v>2.3748600000000002E-2</v>
      </c>
      <c r="TE3">
        <v>2954600</v>
      </c>
      <c r="TF3">
        <v>0.4927916</v>
      </c>
      <c r="TG3">
        <v>1334594</v>
      </c>
      <c r="TH3">
        <v>0.45620319999999998</v>
      </c>
      <c r="TI3">
        <v>12368</v>
      </c>
      <c r="TJ3">
        <v>0.53897150000000005</v>
      </c>
      <c r="TK3">
        <v>310669</v>
      </c>
      <c r="TL3">
        <v>0.48999740000000003</v>
      </c>
      <c r="TM3"/>
      <c r="TN3"/>
      <c r="TO3">
        <v>590091</v>
      </c>
      <c r="TP3">
        <v>0.52236689999999997</v>
      </c>
      <c r="TQ3">
        <v>83960</v>
      </c>
      <c r="TR3">
        <v>0.4858266</v>
      </c>
      <c r="TS3">
        <v>2367016</v>
      </c>
      <c r="TT3">
        <v>0.48598659999999999</v>
      </c>
      <c r="TU3">
        <v>1224589</v>
      </c>
      <c r="TV3">
        <v>0.5204742</v>
      </c>
      <c r="TW3">
        <v>2954600</v>
      </c>
      <c r="TX3">
        <v>0.5072084</v>
      </c>
      <c r="TY3">
        <v>1334594</v>
      </c>
      <c r="TZ3">
        <v>0.54379679999999997</v>
      </c>
      <c r="UA3">
        <v>12368</v>
      </c>
      <c r="UB3">
        <v>0.46102850000000001</v>
      </c>
      <c r="UC3">
        <v>310669</v>
      </c>
      <c r="UD3">
        <v>0.51000259999999997</v>
      </c>
      <c r="UE3"/>
      <c r="UF3"/>
      <c r="UG3">
        <v>590091</v>
      </c>
      <c r="UH3">
        <v>0.47763309999999998</v>
      </c>
      <c r="UI3">
        <v>83960</v>
      </c>
      <c r="UJ3">
        <v>0.5141734</v>
      </c>
      <c r="UK3">
        <v>2367016</v>
      </c>
      <c r="UL3">
        <v>0.51401339999999995</v>
      </c>
      <c r="UM3">
        <v>1224589</v>
      </c>
      <c r="UN3">
        <v>0.4795258</v>
      </c>
      <c r="UO3">
        <v>1216690</v>
      </c>
      <c r="UP3">
        <v>1216690</v>
      </c>
      <c r="UQ3">
        <v>1216690</v>
      </c>
      <c r="UR3">
        <v>1113532</v>
      </c>
      <c r="US3">
        <v>1113532</v>
      </c>
      <c r="UT3">
        <v>1113532</v>
      </c>
      <c r="UU3">
        <v>2.1738999999999999E-3</v>
      </c>
      <c r="UV3">
        <v>0.8760095</v>
      </c>
      <c r="UW3">
        <v>0.1218166</v>
      </c>
      <c r="UX3">
        <v>1.994E-4</v>
      </c>
      <c r="UY3">
        <v>0.89906169999999996</v>
      </c>
      <c r="UZ3">
        <v>0.10073890000000001</v>
      </c>
      <c r="VA3">
        <v>87618</v>
      </c>
      <c r="VB3">
        <v>5.6267000000000001E-3</v>
      </c>
      <c r="VC3">
        <v>87618</v>
      </c>
      <c r="VD3">
        <v>0.81433040000000001</v>
      </c>
      <c r="VE3">
        <v>87618</v>
      </c>
      <c r="VF3">
        <v>0.18004290000000001</v>
      </c>
      <c r="VG3">
        <v>193729</v>
      </c>
      <c r="VH3">
        <v>5.2186000000000003E-3</v>
      </c>
      <c r="VI3">
        <v>193729</v>
      </c>
      <c r="VJ3">
        <v>0.85735229999999996</v>
      </c>
      <c r="VK3">
        <v>193729</v>
      </c>
      <c r="VL3">
        <v>0.1374291</v>
      </c>
      <c r="VM3">
        <v>186386</v>
      </c>
      <c r="VN3">
        <v>2.8435999999999999E-3</v>
      </c>
      <c r="VO3">
        <v>186386</v>
      </c>
      <c r="VP3">
        <v>0.87274799999999997</v>
      </c>
      <c r="VQ3">
        <v>186386</v>
      </c>
      <c r="VR3">
        <v>0.12440850000000001</v>
      </c>
      <c r="VS3">
        <v>330472</v>
      </c>
      <c r="VT3">
        <v>1.5221E-3</v>
      </c>
      <c r="VU3">
        <v>330472</v>
      </c>
      <c r="VV3">
        <v>0.89229650000000005</v>
      </c>
      <c r="VW3">
        <v>330472</v>
      </c>
      <c r="VX3">
        <v>0.1061815</v>
      </c>
      <c r="VY3">
        <v>305223</v>
      </c>
      <c r="VZ3">
        <v>1.1790000000000001E-4</v>
      </c>
      <c r="WA3">
        <v>305223</v>
      </c>
      <c r="WB3">
        <v>0.89066679999999998</v>
      </c>
      <c r="WC3">
        <v>305223</v>
      </c>
      <c r="WD3">
        <v>0.1092152</v>
      </c>
      <c r="WE3">
        <v>113262</v>
      </c>
      <c r="WF3">
        <v>6.357E-4</v>
      </c>
      <c r="WG3">
        <v>113262</v>
      </c>
      <c r="WH3">
        <v>0.87398240000000005</v>
      </c>
      <c r="WI3">
        <v>113262</v>
      </c>
      <c r="WJ3">
        <v>0.12538189999999999</v>
      </c>
      <c r="WK3">
        <v>83081</v>
      </c>
      <c r="WL3">
        <v>1.2156999999999999E-3</v>
      </c>
      <c r="WM3">
        <v>83081</v>
      </c>
      <c r="WN3">
        <v>0.85218039999999995</v>
      </c>
      <c r="WO3">
        <v>83081</v>
      </c>
      <c r="WP3">
        <v>0.14660390000000001</v>
      </c>
      <c r="WQ3">
        <v>180914</v>
      </c>
      <c r="WR3">
        <v>0</v>
      </c>
      <c r="WS3">
        <v>180914</v>
      </c>
      <c r="WT3">
        <v>0.89571290000000003</v>
      </c>
      <c r="WU3">
        <v>180914</v>
      </c>
      <c r="WV3">
        <v>0.10428709999999999</v>
      </c>
      <c r="WW3">
        <v>163527</v>
      </c>
      <c r="WX3">
        <v>0</v>
      </c>
      <c r="WY3">
        <v>163527</v>
      </c>
      <c r="WZ3">
        <v>0.91028390000000003</v>
      </c>
      <c r="XA3">
        <v>163527</v>
      </c>
      <c r="XB3">
        <v>8.9716099999999993E-2</v>
      </c>
      <c r="XC3">
        <v>286277</v>
      </c>
      <c r="XD3">
        <v>4.2269999999999997E-4</v>
      </c>
      <c r="XE3">
        <v>286277</v>
      </c>
      <c r="XF3">
        <v>0.89806719999999995</v>
      </c>
      <c r="XG3">
        <v>286277</v>
      </c>
      <c r="XH3">
        <v>0.10151010000000001</v>
      </c>
      <c r="XI3">
        <v>289813</v>
      </c>
      <c r="XJ3">
        <v>0</v>
      </c>
      <c r="XK3">
        <v>289813</v>
      </c>
      <c r="XL3">
        <v>0.90093610000000002</v>
      </c>
      <c r="XM3">
        <v>289813</v>
      </c>
      <c r="XN3">
        <v>9.9063899999999996E-2</v>
      </c>
      <c r="XO3">
        <v>109920</v>
      </c>
      <c r="XP3">
        <v>0</v>
      </c>
      <c r="XQ3">
        <v>109920</v>
      </c>
      <c r="XR3">
        <v>0.92096069999999997</v>
      </c>
      <c r="XS3">
        <v>109920</v>
      </c>
      <c r="XT3">
        <v>7.9039300000000007E-2</v>
      </c>
      <c r="XU3">
        <v>3521742</v>
      </c>
      <c r="XV3">
        <v>0.49346519999999999</v>
      </c>
      <c r="XW3">
        <v>1737857</v>
      </c>
      <c r="XX3">
        <v>0.7859197</v>
      </c>
      <c r="XY3">
        <v>1737857</v>
      </c>
      <c r="XZ3">
        <v>0.2140803</v>
      </c>
      <c r="YA3">
        <v>1365816</v>
      </c>
      <c r="YB3">
        <v>0.82694889999999999</v>
      </c>
      <c r="YC3">
        <v>1129460</v>
      </c>
      <c r="YD3">
        <v>0.80762140000000004</v>
      </c>
      <c r="YE3">
        <v>1129460</v>
      </c>
      <c r="YF3">
        <v>2.2925999999999998E-2</v>
      </c>
      <c r="YG3">
        <v>1129460</v>
      </c>
      <c r="YH3">
        <v>5.0061099999999997E-2</v>
      </c>
      <c r="YI3">
        <v>1129460</v>
      </c>
      <c r="YJ3">
        <v>5.1174900000000002E-2</v>
      </c>
      <c r="YK3">
        <v>1129460</v>
      </c>
      <c r="YL3">
        <v>3.4418200000000003E-2</v>
      </c>
      <c r="YM3">
        <v>1129460</v>
      </c>
      <c r="YN3">
        <v>3.3798500000000002E-2</v>
      </c>
      <c r="YO3">
        <v>1365816</v>
      </c>
      <c r="YP3">
        <v>0.14358889999999999</v>
      </c>
      <c r="YQ3">
        <v>196116</v>
      </c>
      <c r="YR3">
        <v>0.4682943</v>
      </c>
      <c r="YS3">
        <v>196116</v>
      </c>
      <c r="YT3">
        <v>2.81619E-2</v>
      </c>
      <c r="YU3">
        <v>196116</v>
      </c>
      <c r="YV3">
        <v>9.9155599999999997E-2</v>
      </c>
      <c r="YW3">
        <v>196116</v>
      </c>
      <c r="YX3">
        <v>0.13286010000000001</v>
      </c>
      <c r="YY3">
        <v>196116</v>
      </c>
      <c r="YZ3">
        <v>0.12248870000000001</v>
      </c>
      <c r="ZA3">
        <v>196116</v>
      </c>
      <c r="ZB3">
        <v>0.14903930000000001</v>
      </c>
      <c r="ZC3">
        <v>1365816</v>
      </c>
      <c r="ZD3">
        <v>2.9462200000000001E-2</v>
      </c>
      <c r="ZE3">
        <v>40240</v>
      </c>
      <c r="ZF3">
        <v>0.27229120000000001</v>
      </c>
      <c r="ZG3">
        <v>40240</v>
      </c>
      <c r="ZH3">
        <v>2.3335000000000002E-2</v>
      </c>
      <c r="ZI3">
        <v>40240</v>
      </c>
      <c r="ZJ3">
        <v>6.6202800000000006E-2</v>
      </c>
      <c r="ZK3">
        <v>40240</v>
      </c>
      <c r="ZL3">
        <v>0.12974649999999999</v>
      </c>
      <c r="ZM3">
        <v>40240</v>
      </c>
      <c r="ZN3">
        <v>0.1138668</v>
      </c>
      <c r="ZO3">
        <v>40240</v>
      </c>
      <c r="ZP3">
        <v>0.39455770000000001</v>
      </c>
      <c r="ZQ3">
        <v>3521742</v>
      </c>
      <c r="ZR3">
        <v>0.50653479999999995</v>
      </c>
      <c r="ZS3">
        <v>1783885</v>
      </c>
      <c r="ZT3">
        <v>0.72040970000000004</v>
      </c>
      <c r="ZU3">
        <v>1783885</v>
      </c>
      <c r="ZV3">
        <v>0.27959030000000001</v>
      </c>
      <c r="ZW3">
        <v>1285128</v>
      </c>
      <c r="ZX3">
        <v>0.71113000000000004</v>
      </c>
      <c r="ZY3">
        <v>913893</v>
      </c>
      <c r="ZZ3">
        <v>0.82783980000000001</v>
      </c>
      <c r="AAA3">
        <v>913893</v>
      </c>
      <c r="AAB3">
        <v>1.7753700000000001E-2</v>
      </c>
      <c r="AAC3">
        <v>913893</v>
      </c>
      <c r="AAD3">
        <v>4.8308700000000003E-2</v>
      </c>
      <c r="AAE3">
        <v>913893</v>
      </c>
      <c r="AAF3">
        <v>4.2856199999999997E-2</v>
      </c>
      <c r="AAG3">
        <v>913893</v>
      </c>
      <c r="AAH3">
        <v>3.1291399999999997E-2</v>
      </c>
      <c r="AAI3">
        <v>913893</v>
      </c>
      <c r="AAJ3">
        <v>3.1950100000000002E-2</v>
      </c>
      <c r="AAK3">
        <v>1285128</v>
      </c>
      <c r="AAL3">
        <v>0.23892089999999999</v>
      </c>
      <c r="AAM3">
        <v>307044</v>
      </c>
      <c r="AAN3">
        <v>0.52715900000000004</v>
      </c>
      <c r="AAO3">
        <v>307044</v>
      </c>
      <c r="AAP3">
        <v>2.8184899999999999E-2</v>
      </c>
      <c r="AAQ3">
        <v>307044</v>
      </c>
      <c r="AAR3">
        <v>9.3299300000000002E-2</v>
      </c>
      <c r="AAS3">
        <v>307044</v>
      </c>
      <c r="AAT3">
        <v>0.1256302</v>
      </c>
      <c r="AAU3">
        <v>307044</v>
      </c>
      <c r="AAV3">
        <v>0.1067665</v>
      </c>
      <c r="AAW3">
        <v>307044</v>
      </c>
      <c r="AAX3">
        <v>0.1189601</v>
      </c>
      <c r="AAY3">
        <v>1285128</v>
      </c>
      <c r="AAZ3">
        <v>4.9949100000000003E-2</v>
      </c>
      <c r="ABA3">
        <v>64191</v>
      </c>
      <c r="ABB3">
        <v>0.25872780000000001</v>
      </c>
      <c r="ABC3">
        <v>64191</v>
      </c>
      <c r="ABD3">
        <v>2.3087300000000002E-2</v>
      </c>
      <c r="ABE3">
        <v>64191</v>
      </c>
      <c r="ABF3">
        <v>0.103675</v>
      </c>
      <c r="ABG3">
        <v>64191</v>
      </c>
      <c r="ABH3">
        <v>0.15628359999999999</v>
      </c>
      <c r="ABI3">
        <v>64191</v>
      </c>
      <c r="ABJ3">
        <v>0.13712199999999999</v>
      </c>
      <c r="ABK3">
        <v>64191</v>
      </c>
      <c r="ABL3">
        <v>0.32110420000000001</v>
      </c>
      <c r="ABM3">
        <v>1931361</v>
      </c>
      <c r="ABN3">
        <v>0.61367340000000004</v>
      </c>
      <c r="ABO3">
        <v>1185225</v>
      </c>
      <c r="ABP3">
        <v>0.67484739999999999</v>
      </c>
      <c r="ABQ3">
        <v>1185225</v>
      </c>
      <c r="ABR3">
        <v>0.32515260000000001</v>
      </c>
      <c r="ABS3">
        <v>385379</v>
      </c>
      <c r="ABT3">
        <v>0.2418399</v>
      </c>
      <c r="ABU3">
        <v>385379</v>
      </c>
      <c r="ABV3">
        <v>0.75816019999999995</v>
      </c>
      <c r="ABW3">
        <v>1931361</v>
      </c>
      <c r="ABX3">
        <v>0.38632650000000002</v>
      </c>
      <c r="ABY3">
        <v>746136</v>
      </c>
      <c r="ABZ3">
        <v>0.83858840000000001</v>
      </c>
      <c r="ACA3">
        <v>746136</v>
      </c>
      <c r="ACB3">
        <v>0.16141159999999999</v>
      </c>
      <c r="ACC3">
        <v>4216464</v>
      </c>
      <c r="ACD3">
        <v>0.48064869999999998</v>
      </c>
      <c r="ACE3">
        <v>2026638</v>
      </c>
      <c r="ACF3">
        <v>0.43834269999999997</v>
      </c>
      <c r="ACG3">
        <v>888362</v>
      </c>
      <c r="ACH3">
        <v>0.1208606</v>
      </c>
      <c r="ACI3">
        <v>888362</v>
      </c>
      <c r="ACJ3">
        <v>8.2264900000000002E-2</v>
      </c>
      <c r="ACK3">
        <v>888362</v>
      </c>
      <c r="ACL3">
        <v>0.19117319999999999</v>
      </c>
      <c r="ACM3">
        <v>888362</v>
      </c>
      <c r="ACN3">
        <v>0.18794250000000001</v>
      </c>
      <c r="ACO3">
        <v>888362</v>
      </c>
      <c r="ACP3">
        <v>0.1199511</v>
      </c>
      <c r="ACQ3">
        <v>888362</v>
      </c>
      <c r="ACR3">
        <v>7.7634999999999996E-2</v>
      </c>
      <c r="ACS3">
        <v>888362</v>
      </c>
      <c r="ACT3">
        <v>5.7355000000000003E-2</v>
      </c>
      <c r="ACU3">
        <v>888362</v>
      </c>
      <c r="ACV3">
        <v>5.3912700000000001E-2</v>
      </c>
      <c r="ACW3">
        <v>888362</v>
      </c>
      <c r="ACX3">
        <v>4.1125099999999998E-2</v>
      </c>
      <c r="ACY3">
        <v>888362</v>
      </c>
      <c r="ACZ3">
        <v>2.7590099999999999E-2</v>
      </c>
      <c r="ADA3">
        <v>888362</v>
      </c>
      <c r="ADB3">
        <v>1.5856100000000001E-2</v>
      </c>
      <c r="ADC3">
        <v>888362</v>
      </c>
      <c r="ADD3">
        <v>1.3776999999999999E-2</v>
      </c>
      <c r="ADE3">
        <v>888362</v>
      </c>
      <c r="ADF3">
        <v>8.2465999999999998E-3</v>
      </c>
      <c r="ADG3">
        <v>888362</v>
      </c>
      <c r="ADH3">
        <v>2.3099000000000001E-3</v>
      </c>
      <c r="ADI3">
        <v>2026638</v>
      </c>
      <c r="ADJ3">
        <v>0.46353759999999999</v>
      </c>
      <c r="ADK3">
        <v>939423</v>
      </c>
      <c r="ADL3">
        <v>0.89309289999999997</v>
      </c>
      <c r="ADM3">
        <v>838992</v>
      </c>
      <c r="ADN3">
        <v>0</v>
      </c>
      <c r="ADO3">
        <v>838992</v>
      </c>
      <c r="ADP3">
        <v>2.455E-4</v>
      </c>
      <c r="ADQ3">
        <v>838992</v>
      </c>
      <c r="ADR3">
        <v>8.3803000000000002E-3</v>
      </c>
      <c r="ADS3">
        <v>838992</v>
      </c>
      <c r="ADT3">
        <v>5.1697800000000002E-2</v>
      </c>
      <c r="ADU3">
        <v>838992</v>
      </c>
      <c r="ADV3">
        <v>9.7073599999999996E-2</v>
      </c>
      <c r="ADW3">
        <v>838992</v>
      </c>
      <c r="ADX3">
        <v>0.10958030000000001</v>
      </c>
      <c r="ADY3">
        <v>838992</v>
      </c>
      <c r="ADZ3">
        <v>0.1199702</v>
      </c>
      <c r="AEA3">
        <v>838992</v>
      </c>
      <c r="AEB3">
        <v>0.12197139999999999</v>
      </c>
      <c r="AEC3">
        <v>838992</v>
      </c>
      <c r="AED3">
        <v>0.11538370000000001</v>
      </c>
      <c r="AEE3">
        <v>838992</v>
      </c>
      <c r="AEF3">
        <v>0.10898910000000001</v>
      </c>
      <c r="AEG3">
        <v>838992</v>
      </c>
      <c r="AEH3">
        <v>8.6331000000000005E-2</v>
      </c>
      <c r="AEI3">
        <v>838992</v>
      </c>
      <c r="AEJ3">
        <v>0.1089593</v>
      </c>
      <c r="AEK3">
        <v>838992</v>
      </c>
      <c r="AEL3">
        <v>5.7203200000000003E-2</v>
      </c>
      <c r="AEM3">
        <v>838992</v>
      </c>
      <c r="AEN3">
        <v>1.42147E-2</v>
      </c>
      <c r="AEO3">
        <v>939423</v>
      </c>
      <c r="AEP3">
        <v>0.1069071</v>
      </c>
      <c r="AEQ3">
        <v>100431</v>
      </c>
      <c r="AER3">
        <v>0.369149</v>
      </c>
      <c r="AES3">
        <v>37074</v>
      </c>
      <c r="AET3">
        <v>5.4485999999999996E-3</v>
      </c>
      <c r="AEU3">
        <v>37074</v>
      </c>
      <c r="AEV3">
        <v>0</v>
      </c>
      <c r="AEW3">
        <v>37074</v>
      </c>
      <c r="AEX3">
        <v>1.11938E-2</v>
      </c>
      <c r="AEY3">
        <v>37074</v>
      </c>
      <c r="AEZ3">
        <v>7.8437699999999999E-2</v>
      </c>
      <c r="AFA3">
        <v>37074</v>
      </c>
      <c r="AFB3">
        <v>7.86805E-2</v>
      </c>
      <c r="AFC3">
        <v>37074</v>
      </c>
      <c r="AFD3">
        <v>9.7534700000000002E-2</v>
      </c>
      <c r="AFE3">
        <v>37074</v>
      </c>
      <c r="AFF3">
        <v>0.1150132</v>
      </c>
      <c r="AFG3">
        <v>37074</v>
      </c>
      <c r="AFH3">
        <v>0.1430652</v>
      </c>
      <c r="AFI3">
        <v>37074</v>
      </c>
      <c r="AFJ3">
        <v>0.136268</v>
      </c>
      <c r="AFK3">
        <v>37074</v>
      </c>
      <c r="AFL3">
        <v>0.1084048</v>
      </c>
      <c r="AFM3">
        <v>37074</v>
      </c>
      <c r="AFN3">
        <v>6.1768400000000001E-2</v>
      </c>
      <c r="AFO3">
        <v>37074</v>
      </c>
      <c r="AFP3">
        <v>0.11749469999999999</v>
      </c>
      <c r="AFQ3">
        <v>37074</v>
      </c>
      <c r="AFR3">
        <v>3.7492600000000001E-2</v>
      </c>
      <c r="AFS3">
        <v>37074</v>
      </c>
      <c r="AFT3">
        <v>9.1978000000000008E-3</v>
      </c>
      <c r="AFU3">
        <v>100431</v>
      </c>
      <c r="AFV3">
        <v>0.63085100000000005</v>
      </c>
      <c r="AFW3">
        <v>63357</v>
      </c>
      <c r="AFX3">
        <v>8.3969000000000005E-3</v>
      </c>
      <c r="AFY3">
        <v>63357</v>
      </c>
      <c r="AFZ3">
        <v>8.0812000000000002E-3</v>
      </c>
      <c r="AGA3">
        <v>63357</v>
      </c>
      <c r="AGB3">
        <v>5.4043000000000001E-2</v>
      </c>
      <c r="AGC3">
        <v>63357</v>
      </c>
      <c r="AGD3">
        <v>0.11795070000000001</v>
      </c>
      <c r="AGE3">
        <v>63357</v>
      </c>
      <c r="AGF3">
        <v>0.1233013</v>
      </c>
      <c r="AGG3">
        <v>63357</v>
      </c>
      <c r="AGH3">
        <v>0.13354479999999999</v>
      </c>
      <c r="AGI3">
        <v>63357</v>
      </c>
      <c r="AGJ3">
        <v>8.87984E-2</v>
      </c>
      <c r="AGK3">
        <v>63357</v>
      </c>
      <c r="AGL3">
        <v>0.1025775</v>
      </c>
      <c r="AGM3">
        <v>63357</v>
      </c>
      <c r="AGN3">
        <v>0.1176823</v>
      </c>
      <c r="AGO3">
        <v>63357</v>
      </c>
      <c r="AGP3">
        <v>6.3086900000000001E-2</v>
      </c>
      <c r="AGQ3">
        <v>63357</v>
      </c>
      <c r="AGR3">
        <v>6.5391400000000002E-2</v>
      </c>
      <c r="AGS3">
        <v>63357</v>
      </c>
      <c r="AGT3">
        <v>7.4024999999999994E-2</v>
      </c>
      <c r="AGU3">
        <v>63357</v>
      </c>
      <c r="AGV3">
        <v>2.8426199999999999E-2</v>
      </c>
      <c r="AGW3">
        <v>63357</v>
      </c>
      <c r="AGX3">
        <v>1.4694499999999999E-2</v>
      </c>
      <c r="AGY3">
        <v>2026638</v>
      </c>
      <c r="AGZ3">
        <v>2.6163499999999999E-2</v>
      </c>
      <c r="AHA3">
        <v>53024</v>
      </c>
      <c r="AHB3">
        <v>3.0552000000000001E-3</v>
      </c>
      <c r="AHC3">
        <v>53024</v>
      </c>
      <c r="AHD3">
        <v>0</v>
      </c>
      <c r="AHE3">
        <v>53024</v>
      </c>
      <c r="AHF3">
        <v>2.6215000000000001E-3</v>
      </c>
      <c r="AHG3">
        <v>53024</v>
      </c>
      <c r="AHH3">
        <v>0</v>
      </c>
      <c r="AHI3">
        <v>53024</v>
      </c>
      <c r="AHJ3">
        <v>0</v>
      </c>
      <c r="AHK3">
        <v>53024</v>
      </c>
      <c r="AHL3">
        <v>8.2416E-3</v>
      </c>
      <c r="AHM3">
        <v>53024</v>
      </c>
      <c r="AHN3">
        <v>1.6105899999999999E-2</v>
      </c>
      <c r="AHO3">
        <v>53024</v>
      </c>
      <c r="AHP3">
        <v>1.48612E-2</v>
      </c>
      <c r="AHQ3">
        <v>53024</v>
      </c>
      <c r="AHR3">
        <v>4.3716100000000001E-2</v>
      </c>
      <c r="AHS3">
        <v>53024</v>
      </c>
      <c r="AHT3">
        <v>5.52203E-2</v>
      </c>
      <c r="AHU3">
        <v>53024</v>
      </c>
      <c r="AHV3">
        <v>0.1098182</v>
      </c>
      <c r="AHW3">
        <v>53024</v>
      </c>
      <c r="AHX3">
        <v>0.23881640000000001</v>
      </c>
      <c r="AHY3">
        <v>53024</v>
      </c>
      <c r="AHZ3">
        <v>0.30510710000000002</v>
      </c>
      <c r="AIA3">
        <v>53024</v>
      </c>
      <c r="AIB3">
        <v>0.20243659999999999</v>
      </c>
      <c r="AIC3">
        <v>2026638</v>
      </c>
      <c r="AID3">
        <v>7.1956099999999995E-2</v>
      </c>
      <c r="AIE3">
        <v>145829</v>
      </c>
      <c r="AIF3">
        <v>6.6520000000000001E-4</v>
      </c>
      <c r="AIG3">
        <v>145829</v>
      </c>
      <c r="AIH3">
        <v>6.1720000000000004E-4</v>
      </c>
      <c r="AII3">
        <v>145829</v>
      </c>
      <c r="AIJ3">
        <v>2.5165999999999999E-3</v>
      </c>
      <c r="AIK3">
        <v>145829</v>
      </c>
      <c r="AIL3">
        <v>2.16761E-2</v>
      </c>
      <c r="AIM3">
        <v>145829</v>
      </c>
      <c r="AIN3">
        <v>5.9556100000000001E-2</v>
      </c>
      <c r="AIO3">
        <v>145829</v>
      </c>
      <c r="AIP3">
        <v>9.5612000000000003E-2</v>
      </c>
      <c r="AIQ3">
        <v>145829</v>
      </c>
      <c r="AIR3">
        <v>0.1077632</v>
      </c>
      <c r="AIS3">
        <v>145829</v>
      </c>
      <c r="AIT3">
        <v>0.14326369999999999</v>
      </c>
      <c r="AIU3">
        <v>145829</v>
      </c>
      <c r="AIV3">
        <v>0.17238680000000001</v>
      </c>
      <c r="AIW3">
        <v>145829</v>
      </c>
      <c r="AIX3">
        <v>0.12662090000000001</v>
      </c>
      <c r="AIY3">
        <v>145829</v>
      </c>
      <c r="AIZ3">
        <v>9.9664699999999995E-2</v>
      </c>
      <c r="AJA3">
        <v>145829</v>
      </c>
      <c r="AJB3">
        <v>0.1133451</v>
      </c>
      <c r="AJC3">
        <v>145829</v>
      </c>
      <c r="AJD3">
        <v>4.6383099999999997E-2</v>
      </c>
      <c r="AJE3">
        <v>145829</v>
      </c>
      <c r="AJF3">
        <v>9.9293999999999997E-3</v>
      </c>
      <c r="AJG3">
        <v>4216464</v>
      </c>
      <c r="AJH3">
        <v>0.51935129999999996</v>
      </c>
      <c r="AJI3">
        <v>2189826</v>
      </c>
      <c r="AJJ3">
        <v>0.3774729</v>
      </c>
      <c r="AJK3">
        <v>826600</v>
      </c>
      <c r="AJL3">
        <v>0.125692</v>
      </c>
      <c r="AJM3">
        <v>826600</v>
      </c>
      <c r="AJN3">
        <v>8.3796300000000004E-2</v>
      </c>
      <c r="AJO3">
        <v>826600</v>
      </c>
      <c r="AJP3">
        <v>0.19083839999999999</v>
      </c>
      <c r="AJQ3">
        <v>826600</v>
      </c>
      <c r="AJR3">
        <v>0.17975679999999999</v>
      </c>
      <c r="AJS3">
        <v>826600</v>
      </c>
      <c r="AJT3">
        <v>0.10961650000000001</v>
      </c>
      <c r="AJU3">
        <v>826600</v>
      </c>
      <c r="AJV3">
        <v>6.9245100000000004E-2</v>
      </c>
      <c r="AJW3">
        <v>826600</v>
      </c>
      <c r="AJX3">
        <v>5.9046700000000001E-2</v>
      </c>
      <c r="AJY3">
        <v>826600</v>
      </c>
      <c r="AJZ3">
        <v>4.8214399999999998E-2</v>
      </c>
      <c r="AKA3">
        <v>826600</v>
      </c>
      <c r="AKB3">
        <v>4.6699699999999997E-2</v>
      </c>
      <c r="AKC3">
        <v>826600</v>
      </c>
      <c r="AKD3">
        <v>2.81865E-2</v>
      </c>
      <c r="AKE3">
        <v>826600</v>
      </c>
      <c r="AKF3">
        <v>2.1814699999999999E-2</v>
      </c>
      <c r="AKG3">
        <v>826600</v>
      </c>
      <c r="AKH3">
        <v>2.1636800000000001E-2</v>
      </c>
      <c r="AKI3">
        <v>826600</v>
      </c>
      <c r="AKJ3">
        <v>1.0067700000000001E-2</v>
      </c>
      <c r="AKK3">
        <v>826600</v>
      </c>
      <c r="AKL3">
        <v>5.3883000000000004E-3</v>
      </c>
      <c r="AKM3">
        <v>2189826</v>
      </c>
      <c r="AKN3">
        <v>0.42434470000000002</v>
      </c>
      <c r="AKO3">
        <v>929241</v>
      </c>
      <c r="AKP3">
        <v>0.88361789999999996</v>
      </c>
      <c r="AKQ3">
        <v>821094</v>
      </c>
      <c r="AKR3">
        <v>3.7799999999999997E-5</v>
      </c>
      <c r="AKS3">
        <v>821094</v>
      </c>
      <c r="AKT3">
        <v>1.0510000000000001E-3</v>
      </c>
      <c r="AKU3">
        <v>821094</v>
      </c>
      <c r="AKV3">
        <v>1.8422999999999998E-2</v>
      </c>
      <c r="AKW3">
        <v>821094</v>
      </c>
      <c r="AKX3">
        <v>7.1153800000000003E-2</v>
      </c>
      <c r="AKY3">
        <v>821094</v>
      </c>
      <c r="AKZ3">
        <v>0.1140259</v>
      </c>
      <c r="ALA3">
        <v>821094</v>
      </c>
      <c r="ALB3">
        <v>0.1199692</v>
      </c>
      <c r="ALC3">
        <v>821094</v>
      </c>
      <c r="ALD3">
        <v>0.11803520000000001</v>
      </c>
      <c r="ALE3">
        <v>821094</v>
      </c>
      <c r="ALF3">
        <v>0.1198438</v>
      </c>
      <c r="ALG3">
        <v>821094</v>
      </c>
      <c r="ALH3">
        <v>0.1136484</v>
      </c>
      <c r="ALI3">
        <v>821094</v>
      </c>
      <c r="ALJ3">
        <v>0.1030065</v>
      </c>
      <c r="ALK3">
        <v>821094</v>
      </c>
      <c r="ALL3">
        <v>7.8710799999999997E-2</v>
      </c>
      <c r="ALM3">
        <v>821094</v>
      </c>
      <c r="ALN3">
        <v>9.1504699999999994E-2</v>
      </c>
      <c r="ALO3">
        <v>821094</v>
      </c>
      <c r="ALP3">
        <v>4.2084099999999999E-2</v>
      </c>
      <c r="ALQ3">
        <v>821094</v>
      </c>
      <c r="ALR3">
        <v>8.5056999999999997E-3</v>
      </c>
      <c r="ALS3">
        <v>929241</v>
      </c>
      <c r="ALT3">
        <v>0.1163821</v>
      </c>
      <c r="ALU3">
        <v>108147</v>
      </c>
      <c r="ALV3">
        <v>0.51068449999999999</v>
      </c>
      <c r="ALW3">
        <v>55229</v>
      </c>
      <c r="ALX3">
        <v>2.2452000000000001E-3</v>
      </c>
      <c r="ALY3">
        <v>55229</v>
      </c>
      <c r="ALZ3">
        <v>3.9652999999999997E-3</v>
      </c>
      <c r="AMA3">
        <v>55229</v>
      </c>
      <c r="AMB3">
        <v>2.4407499999999999E-2</v>
      </c>
      <c r="AMC3">
        <v>55229</v>
      </c>
      <c r="AMD3">
        <v>6.5146899999999994E-2</v>
      </c>
      <c r="AME3">
        <v>55229</v>
      </c>
      <c r="AMF3">
        <v>0.10088900000000001</v>
      </c>
      <c r="AMG3">
        <v>55229</v>
      </c>
      <c r="AMH3">
        <v>9.7647999999999999E-2</v>
      </c>
      <c r="AMI3">
        <v>55229</v>
      </c>
      <c r="AMJ3">
        <v>8.9083599999999999E-2</v>
      </c>
      <c r="AMK3">
        <v>55229</v>
      </c>
      <c r="AML3">
        <v>0.1841786</v>
      </c>
      <c r="AMM3">
        <v>55229</v>
      </c>
      <c r="AMN3">
        <v>0.14104910000000001</v>
      </c>
      <c r="AMO3">
        <v>55229</v>
      </c>
      <c r="AMP3">
        <v>0.1082583</v>
      </c>
      <c r="AMQ3">
        <v>55229</v>
      </c>
      <c r="AMR3">
        <v>6.6341999999999998E-2</v>
      </c>
      <c r="AMS3">
        <v>55229</v>
      </c>
      <c r="AMT3">
        <v>8.5498599999999994E-2</v>
      </c>
      <c r="AMU3">
        <v>55229</v>
      </c>
      <c r="AMV3">
        <v>2.1057800000000002E-2</v>
      </c>
      <c r="AMW3">
        <v>55229</v>
      </c>
      <c r="AMX3">
        <v>1.0230100000000001E-2</v>
      </c>
      <c r="AMY3">
        <v>108147</v>
      </c>
      <c r="AMZ3">
        <v>0.48931550000000001</v>
      </c>
      <c r="ANA3">
        <v>52918</v>
      </c>
      <c r="ANB3">
        <v>2.9857999999999998E-3</v>
      </c>
      <c r="ANC3">
        <v>52918</v>
      </c>
      <c r="AND3">
        <v>1.6837399999999999E-2</v>
      </c>
      <c r="ANE3">
        <v>52918</v>
      </c>
      <c r="ANF3">
        <v>8.7626099999999998E-2</v>
      </c>
      <c r="ANG3">
        <v>52918</v>
      </c>
      <c r="ANH3">
        <v>0.13112740000000001</v>
      </c>
      <c r="ANI3">
        <v>52918</v>
      </c>
      <c r="ANJ3">
        <v>0.1095279</v>
      </c>
      <c r="ANK3">
        <v>52918</v>
      </c>
      <c r="ANL3">
        <v>9.3106300000000003E-2</v>
      </c>
      <c r="ANM3">
        <v>52918</v>
      </c>
      <c r="ANN3">
        <v>9.8529800000000001E-2</v>
      </c>
      <c r="ANO3">
        <v>52918</v>
      </c>
      <c r="ANP3">
        <v>0.1132507</v>
      </c>
      <c r="ANQ3">
        <v>52918</v>
      </c>
      <c r="ANR3">
        <v>7.3698899999999998E-2</v>
      </c>
      <c r="ANS3">
        <v>52918</v>
      </c>
      <c r="ANT3">
        <v>7.8801200000000002E-2</v>
      </c>
      <c r="ANU3">
        <v>52918</v>
      </c>
      <c r="ANV3">
        <v>6.3891299999999998E-2</v>
      </c>
      <c r="ANW3">
        <v>52918</v>
      </c>
      <c r="ANX3">
        <v>7.1544700000000003E-2</v>
      </c>
      <c r="ANY3">
        <v>52918</v>
      </c>
      <c r="ANZ3">
        <v>4.2065100000000001E-2</v>
      </c>
      <c r="AOA3">
        <v>52918</v>
      </c>
      <c r="AOB3">
        <v>1.7007399999999999E-2</v>
      </c>
      <c r="AOC3">
        <v>2189826</v>
      </c>
      <c r="AOD3">
        <v>9.3917500000000001E-2</v>
      </c>
      <c r="AOE3">
        <v>205663</v>
      </c>
      <c r="AOF3">
        <v>0</v>
      </c>
      <c r="AOG3">
        <v>205663</v>
      </c>
      <c r="AOH3">
        <v>0</v>
      </c>
      <c r="AOI3">
        <v>205663</v>
      </c>
      <c r="AOJ3">
        <v>4.5219999999999999E-4</v>
      </c>
      <c r="AOK3">
        <v>205663</v>
      </c>
      <c r="AOL3">
        <v>5.932E-4</v>
      </c>
      <c r="AOM3">
        <v>205663</v>
      </c>
      <c r="AON3">
        <v>1.6628999999999999E-3</v>
      </c>
      <c r="AOO3">
        <v>205663</v>
      </c>
      <c r="AOP3">
        <v>6.0147000000000004E-3</v>
      </c>
      <c r="AOQ3">
        <v>205663</v>
      </c>
      <c r="AOR3">
        <v>1.0546399999999999E-2</v>
      </c>
      <c r="AOS3">
        <v>205663</v>
      </c>
      <c r="AOT3">
        <v>1.99598E-2</v>
      </c>
      <c r="AOU3">
        <v>205663</v>
      </c>
      <c r="AOV3">
        <v>3.6763999999999998E-2</v>
      </c>
      <c r="AOW3">
        <v>205663</v>
      </c>
      <c r="AOX3">
        <v>5.6801699999999997E-2</v>
      </c>
      <c r="AOY3">
        <v>205663</v>
      </c>
      <c r="AOZ3">
        <v>8.3364499999999994E-2</v>
      </c>
      <c r="APA3">
        <v>205663</v>
      </c>
      <c r="APB3">
        <v>0.24157970000000001</v>
      </c>
      <c r="APC3">
        <v>205663</v>
      </c>
      <c r="APD3">
        <v>0.31132969999999999</v>
      </c>
      <c r="APE3">
        <v>205663</v>
      </c>
      <c r="APF3">
        <v>0.2309312</v>
      </c>
      <c r="APG3">
        <v>2189826</v>
      </c>
      <c r="APH3">
        <v>0.10426489999999999</v>
      </c>
      <c r="API3">
        <v>228322</v>
      </c>
      <c r="APJ3">
        <v>0</v>
      </c>
      <c r="APK3">
        <v>228322</v>
      </c>
      <c r="APL3">
        <v>0</v>
      </c>
      <c r="APM3">
        <v>228322</v>
      </c>
      <c r="APN3">
        <v>2.6278999999999999E-3</v>
      </c>
      <c r="APO3">
        <v>228322</v>
      </c>
      <c r="APP3">
        <v>2.4894699999999999E-2</v>
      </c>
      <c r="APQ3">
        <v>228322</v>
      </c>
      <c r="APR3">
        <v>5.4055199999999998E-2</v>
      </c>
      <c r="APS3">
        <v>228322</v>
      </c>
      <c r="APT3">
        <v>8.0657999999999994E-2</v>
      </c>
      <c r="APU3">
        <v>228322</v>
      </c>
      <c r="APV3">
        <v>9.6906999999999993E-2</v>
      </c>
      <c r="APW3">
        <v>228322</v>
      </c>
      <c r="APX3">
        <v>0.13320219999999999</v>
      </c>
      <c r="APY3">
        <v>228322</v>
      </c>
      <c r="APZ3">
        <v>0.14473420000000001</v>
      </c>
      <c r="AQA3">
        <v>228322</v>
      </c>
      <c r="AQB3">
        <v>0.12872610000000001</v>
      </c>
      <c r="AQC3">
        <v>228322</v>
      </c>
      <c r="AQD3">
        <v>0.1210396</v>
      </c>
      <c r="AQE3">
        <v>228322</v>
      </c>
      <c r="AQF3">
        <v>0.1340607</v>
      </c>
      <c r="AQG3">
        <v>228322</v>
      </c>
      <c r="AQH3">
        <v>6.1321300000000002E-2</v>
      </c>
      <c r="AQI3">
        <v>228322</v>
      </c>
      <c r="AQJ3">
        <v>1.77731E-2</v>
      </c>
      <c r="AQK3">
        <v>550421</v>
      </c>
      <c r="AQL3">
        <v>0.27550180000000002</v>
      </c>
      <c r="AQM3">
        <v>1931361</v>
      </c>
      <c r="AQN3">
        <v>0.59327700000000005</v>
      </c>
      <c r="AQO3">
        <v>1145832</v>
      </c>
      <c r="AQP3">
        <v>0.703878</v>
      </c>
      <c r="AQQ3">
        <v>806526</v>
      </c>
      <c r="AQR3">
        <v>0.78022780000000003</v>
      </c>
      <c r="AQS3">
        <v>629274</v>
      </c>
      <c r="AQT3">
        <v>0.43086479999999999</v>
      </c>
      <c r="AQU3">
        <v>629274</v>
      </c>
      <c r="AQV3">
        <v>0.56913519999999995</v>
      </c>
      <c r="AQW3">
        <v>806526</v>
      </c>
      <c r="AQX3">
        <v>0.2197722</v>
      </c>
      <c r="AQY3">
        <v>177252</v>
      </c>
      <c r="AQZ3">
        <v>0.27810119999999999</v>
      </c>
      <c r="ARA3">
        <v>49294</v>
      </c>
      <c r="ARB3">
        <v>0.31539339999999999</v>
      </c>
      <c r="ARC3">
        <v>49294</v>
      </c>
      <c r="ARD3">
        <v>0.68460670000000001</v>
      </c>
      <c r="ARE3">
        <v>177252</v>
      </c>
      <c r="ARF3">
        <v>0.72189879999999995</v>
      </c>
      <c r="ARG3">
        <v>127958</v>
      </c>
      <c r="ARH3">
        <v>0.33855639999999998</v>
      </c>
      <c r="ARI3">
        <v>127958</v>
      </c>
      <c r="ARJ3">
        <v>0.66144360000000002</v>
      </c>
      <c r="ARK3">
        <v>1145832</v>
      </c>
      <c r="ARL3">
        <v>0.296122</v>
      </c>
      <c r="ARM3">
        <v>1931361</v>
      </c>
      <c r="ARN3">
        <v>0.406723</v>
      </c>
      <c r="ARO3">
        <v>785529</v>
      </c>
      <c r="ARP3">
        <v>0.48209419999999997</v>
      </c>
      <c r="ARQ3">
        <v>378699</v>
      </c>
      <c r="ARR3">
        <v>0.45041579999999998</v>
      </c>
      <c r="ARS3">
        <v>170572</v>
      </c>
      <c r="ART3">
        <v>0.53262549999999997</v>
      </c>
      <c r="ARU3">
        <v>170572</v>
      </c>
      <c r="ARV3">
        <v>0.46737450000000003</v>
      </c>
      <c r="ARW3">
        <v>378699</v>
      </c>
      <c r="ARX3">
        <v>0.54958419999999997</v>
      </c>
      <c r="ARY3">
        <v>208127</v>
      </c>
      <c r="ARZ3">
        <v>0.2109577</v>
      </c>
      <c r="ASA3">
        <v>43906</v>
      </c>
      <c r="ASB3">
        <v>0.4839658</v>
      </c>
      <c r="ASC3">
        <v>43906</v>
      </c>
      <c r="ASD3">
        <v>0.5160342</v>
      </c>
      <c r="ASE3">
        <v>208127</v>
      </c>
      <c r="ASF3">
        <v>0.78904229999999997</v>
      </c>
      <c r="ASG3">
        <v>164221</v>
      </c>
      <c r="ASH3">
        <v>0.659605</v>
      </c>
      <c r="ASI3">
        <v>164221</v>
      </c>
      <c r="ASJ3">
        <v>0.3403949</v>
      </c>
      <c r="ASK3">
        <v>785529</v>
      </c>
      <c r="ASL3">
        <v>0.51790579999999997</v>
      </c>
      <c r="ASM3">
        <v>1696914</v>
      </c>
      <c r="ASN3">
        <v>0.54720040000000003</v>
      </c>
      <c r="ASO3">
        <v>928552</v>
      </c>
      <c r="ASP3">
        <v>0.37787330000000002</v>
      </c>
      <c r="ASQ3">
        <v>350875</v>
      </c>
      <c r="ASR3">
        <v>0.49953690000000001</v>
      </c>
      <c r="ASS3">
        <v>175275</v>
      </c>
      <c r="AST3">
        <v>0.68138069999999995</v>
      </c>
      <c r="ASU3">
        <v>175275</v>
      </c>
      <c r="ASV3">
        <v>0.31861929999999999</v>
      </c>
      <c r="ASW3">
        <v>350875</v>
      </c>
      <c r="ASX3">
        <v>0.50046310000000005</v>
      </c>
      <c r="ASY3">
        <v>175600</v>
      </c>
      <c r="ASZ3">
        <v>0.23444760000000001</v>
      </c>
      <c r="ATA3">
        <v>175600</v>
      </c>
      <c r="ATB3">
        <v>0.1448633</v>
      </c>
      <c r="ATC3">
        <v>175600</v>
      </c>
      <c r="ATD3">
        <v>5.5467000000000002E-2</v>
      </c>
      <c r="ATE3">
        <v>350875</v>
      </c>
      <c r="ATF3">
        <v>3.7044500000000001E-2</v>
      </c>
      <c r="ATG3">
        <v>12998</v>
      </c>
      <c r="ATH3">
        <v>1.4456070000000001</v>
      </c>
      <c r="ATI3">
        <v>12998</v>
      </c>
      <c r="ATJ3">
        <v>1.941222</v>
      </c>
      <c r="ATK3">
        <v>12998</v>
      </c>
      <c r="ATL3">
        <v>1.2760419999999999</v>
      </c>
      <c r="ATM3">
        <v>12998</v>
      </c>
      <c r="ATN3">
        <v>1.97315</v>
      </c>
      <c r="ATO3">
        <v>350875</v>
      </c>
      <c r="ATP3">
        <v>5.4446700000000001E-2</v>
      </c>
      <c r="ATQ3">
        <v>19104</v>
      </c>
      <c r="ATR3">
        <v>0.34249370000000001</v>
      </c>
      <c r="ATS3">
        <v>19104</v>
      </c>
      <c r="ATT3">
        <v>6.947603</v>
      </c>
      <c r="ATU3">
        <v>928552</v>
      </c>
      <c r="ATV3">
        <v>4.4952000000000004E-3</v>
      </c>
      <c r="ATW3">
        <v>4174</v>
      </c>
      <c r="ATX3">
        <v>8.6039770000000004</v>
      </c>
      <c r="ATY3">
        <v>4174</v>
      </c>
      <c r="ATZ3">
        <v>5.0840920000000001</v>
      </c>
      <c r="AUA3">
        <v>21221</v>
      </c>
      <c r="AUB3">
        <v>0.69233299999999998</v>
      </c>
      <c r="AUC3">
        <v>21221</v>
      </c>
      <c r="AUD3">
        <v>2.0933980000000001</v>
      </c>
      <c r="AUE3">
        <v>4174</v>
      </c>
      <c r="AUF3">
        <v>8.9647819999999996</v>
      </c>
      <c r="AUG3">
        <v>4174</v>
      </c>
      <c r="AUH3">
        <v>2.5867270000000002</v>
      </c>
      <c r="AUI3">
        <v>4174</v>
      </c>
      <c r="AUJ3">
        <v>40.2149</v>
      </c>
      <c r="AUK3">
        <v>928552</v>
      </c>
      <c r="AUL3">
        <v>0.1067253</v>
      </c>
      <c r="AUM3">
        <v>99100</v>
      </c>
      <c r="AUN3">
        <v>0.69381429999999999</v>
      </c>
      <c r="AUO3">
        <v>99100</v>
      </c>
      <c r="AUP3">
        <v>1.50858E-2</v>
      </c>
      <c r="AUQ3">
        <v>928552</v>
      </c>
      <c r="AUR3">
        <v>0.1097655</v>
      </c>
      <c r="AUS3">
        <v>101923</v>
      </c>
      <c r="AUT3">
        <v>0.53795510000000002</v>
      </c>
      <c r="AUU3">
        <v>101923</v>
      </c>
      <c r="AUV3">
        <v>0.46204489999999998</v>
      </c>
      <c r="AUW3">
        <v>101923</v>
      </c>
      <c r="AUX3">
        <v>1.7039820000000001</v>
      </c>
      <c r="AUY3">
        <v>928552</v>
      </c>
      <c r="AUZ3">
        <v>9.0831700000000001E-2</v>
      </c>
      <c r="AVA3">
        <v>84342</v>
      </c>
      <c r="AVB3">
        <v>1.0591759999999999</v>
      </c>
      <c r="AVC3">
        <v>84342</v>
      </c>
      <c r="AVD3">
        <v>0.1192763</v>
      </c>
      <c r="AVE3">
        <v>84342</v>
      </c>
      <c r="AVF3">
        <v>0.51733419999999997</v>
      </c>
      <c r="AVG3">
        <v>1696914</v>
      </c>
      <c r="AVH3">
        <v>2.1002799999999999E-2</v>
      </c>
      <c r="AVI3">
        <v>35640</v>
      </c>
      <c r="AVJ3">
        <v>21.558979999999998</v>
      </c>
      <c r="AVK3">
        <v>768362</v>
      </c>
      <c r="AVL3">
        <v>0.45710220000000001</v>
      </c>
      <c r="AVM3">
        <v>351220</v>
      </c>
      <c r="AVN3">
        <v>0.42296850000000003</v>
      </c>
      <c r="AVO3">
        <v>351220</v>
      </c>
      <c r="AVP3">
        <v>0.26325660000000001</v>
      </c>
      <c r="AVQ3">
        <v>768362</v>
      </c>
      <c r="AVR3">
        <v>7.3004600000000003E-2</v>
      </c>
      <c r="AVS3">
        <v>56094</v>
      </c>
      <c r="AVT3">
        <v>3.6129530000000001</v>
      </c>
      <c r="AVU3">
        <v>56094</v>
      </c>
      <c r="AVV3">
        <v>0.29133239999999999</v>
      </c>
      <c r="AVW3">
        <v>56094</v>
      </c>
      <c r="AVX3">
        <v>6.8492200000000003E-2</v>
      </c>
      <c r="AVY3">
        <v>768362</v>
      </c>
      <c r="AVZ3">
        <v>1.11276E-2</v>
      </c>
      <c r="AWA3">
        <v>8550</v>
      </c>
      <c r="AWB3">
        <v>2.5402339999999999</v>
      </c>
      <c r="AWC3">
        <v>8550</v>
      </c>
      <c r="AWD3">
        <v>2.0521639999999999</v>
      </c>
      <c r="AWE3">
        <v>8550</v>
      </c>
      <c r="AWF3">
        <v>6.7653800000000004</v>
      </c>
      <c r="AWG3">
        <v>8550</v>
      </c>
      <c r="AWH3">
        <v>1.889591</v>
      </c>
      <c r="AWI3">
        <v>768362</v>
      </c>
      <c r="AWJ3">
        <v>7.8954999999999997E-2</v>
      </c>
      <c r="AWK3">
        <v>60666</v>
      </c>
      <c r="AWL3">
        <v>0.71910130000000005</v>
      </c>
      <c r="AWM3">
        <v>60666</v>
      </c>
      <c r="AWN3">
        <v>0.2808987</v>
      </c>
      <c r="AWO3">
        <v>35640</v>
      </c>
      <c r="AWP3">
        <v>3.3448929999999999</v>
      </c>
      <c r="AWQ3">
        <v>119212</v>
      </c>
      <c r="AWR3">
        <v>0.2091904</v>
      </c>
      <c r="AWS3">
        <v>119212</v>
      </c>
      <c r="AWT3">
        <v>0.1181425</v>
      </c>
      <c r="AWU3">
        <v>14084</v>
      </c>
      <c r="AWV3">
        <v>0.57966490000000004</v>
      </c>
      <c r="AWW3">
        <v>14084</v>
      </c>
      <c r="AWX3">
        <v>0.42033510000000002</v>
      </c>
      <c r="AWY3">
        <v>119212</v>
      </c>
      <c r="AWZ3">
        <v>0.1959283</v>
      </c>
      <c r="AXA3">
        <v>119212</v>
      </c>
      <c r="AXB3">
        <v>0.21898799999999999</v>
      </c>
      <c r="AXC3">
        <v>119212</v>
      </c>
      <c r="AXD3">
        <v>0.25775090000000001</v>
      </c>
      <c r="AXE3">
        <v>35640</v>
      </c>
      <c r="AXF3">
        <v>6.8611950000000004</v>
      </c>
      <c r="AXG3">
        <v>244533</v>
      </c>
      <c r="AXH3">
        <v>0.30429840000000002</v>
      </c>
      <c r="AXI3">
        <v>244533</v>
      </c>
      <c r="AXJ3">
        <v>0.69570160000000003</v>
      </c>
      <c r="AXK3">
        <v>35640</v>
      </c>
      <c r="AXL3">
        <v>2.3989900000000002E-2</v>
      </c>
      <c r="AXM3">
        <v>855</v>
      </c>
      <c r="AXN3">
        <v>5.2795319999999997</v>
      </c>
      <c r="AXO3">
        <v>855</v>
      </c>
      <c r="AXP3">
        <v>2.3906429999999999</v>
      </c>
      <c r="AXQ3">
        <v>855</v>
      </c>
      <c r="AXR3">
        <v>2.8888889999999998</v>
      </c>
      <c r="AXS3">
        <v>35640</v>
      </c>
      <c r="AXT3">
        <v>1.3475870000000001</v>
      </c>
      <c r="AXU3">
        <v>48028</v>
      </c>
      <c r="AXV3">
        <v>0.7161864</v>
      </c>
      <c r="AXW3">
        <v>48028</v>
      </c>
      <c r="AXX3">
        <v>0.2838136</v>
      </c>
      <c r="AXY3">
        <v>48028</v>
      </c>
      <c r="AXZ3">
        <v>2.28825E-2</v>
      </c>
      <c r="AYA3">
        <v>255096</v>
      </c>
      <c r="AYB3">
        <v>2.80953E-2</v>
      </c>
      <c r="AYC3">
        <v>255096</v>
      </c>
      <c r="AYD3">
        <v>0.19678870000000001</v>
      </c>
      <c r="AYE3">
        <v>255096</v>
      </c>
      <c r="AYF3">
        <v>0.29483799999999999</v>
      </c>
      <c r="AYG3">
        <v>255096</v>
      </c>
      <c r="AYH3">
        <v>0.32920149999999998</v>
      </c>
      <c r="AYI3">
        <v>255096</v>
      </c>
      <c r="AYJ3">
        <v>3.7080200000000001E-2</v>
      </c>
      <c r="AYK3">
        <v>255096</v>
      </c>
      <c r="AYL3">
        <v>0.1072145</v>
      </c>
      <c r="AYM3">
        <v>255096</v>
      </c>
      <c r="AYN3">
        <v>6.7818000000000002E-3</v>
      </c>
      <c r="AYO3">
        <v>431295</v>
      </c>
      <c r="AYP3">
        <v>5.4902100000000002E-2</v>
      </c>
      <c r="AYQ3">
        <v>431295</v>
      </c>
      <c r="AYR3">
        <v>7.6149700000000001E-2</v>
      </c>
      <c r="AYS3">
        <v>431295</v>
      </c>
      <c r="AYT3">
        <v>0.2298357</v>
      </c>
      <c r="AYU3">
        <v>431295</v>
      </c>
      <c r="AYV3">
        <v>0.19059580000000001</v>
      </c>
      <c r="AYW3">
        <v>431295</v>
      </c>
      <c r="AYX3">
        <v>6.3529600000000006E-2</v>
      </c>
      <c r="AYY3">
        <v>431295</v>
      </c>
      <c r="AYZ3">
        <v>0.26453589999999999</v>
      </c>
      <c r="AZA3">
        <v>431295</v>
      </c>
      <c r="AZB3">
        <v>0.12045119999999999</v>
      </c>
      <c r="AZC3">
        <v>365427</v>
      </c>
      <c r="AZD3">
        <v>7.7057799999999996E-2</v>
      </c>
      <c r="AZE3">
        <v>365427</v>
      </c>
      <c r="AZF3">
        <v>8.0048800000000003E-2</v>
      </c>
      <c r="AZG3">
        <v>365427</v>
      </c>
      <c r="AZH3">
        <v>0.2482685</v>
      </c>
      <c r="AZI3">
        <v>365427</v>
      </c>
      <c r="AZJ3">
        <v>0.19146920000000001</v>
      </c>
      <c r="AZK3">
        <v>365427</v>
      </c>
      <c r="AZL3">
        <v>6.1656599999999999E-2</v>
      </c>
      <c r="AZM3">
        <v>365427</v>
      </c>
      <c r="AZN3">
        <v>0.20260130000000001</v>
      </c>
      <c r="AZO3">
        <v>365427</v>
      </c>
      <c r="AZP3">
        <v>0.13889779999999999</v>
      </c>
      <c r="AZQ3">
        <v>615682</v>
      </c>
      <c r="AZR3">
        <v>8.1977400000000006E-2</v>
      </c>
      <c r="AZS3">
        <v>615682</v>
      </c>
      <c r="AZT3">
        <v>8.6213300000000007E-2</v>
      </c>
      <c r="AZU3">
        <v>615682</v>
      </c>
      <c r="AZV3">
        <v>0.25078689999999998</v>
      </c>
      <c r="AZW3">
        <v>615682</v>
      </c>
      <c r="AZX3">
        <v>0.1981299</v>
      </c>
      <c r="AZY3">
        <v>615682</v>
      </c>
      <c r="AZZ3">
        <v>5.4685699999999997E-2</v>
      </c>
      <c r="BAA3">
        <v>615682</v>
      </c>
      <c r="BAB3">
        <v>0.18001010000000001</v>
      </c>
      <c r="BAC3">
        <v>615682</v>
      </c>
      <c r="BAD3">
        <v>0.14819660000000001</v>
      </c>
      <c r="BAE3">
        <v>250777</v>
      </c>
      <c r="BAF3">
        <v>0.14893709999999999</v>
      </c>
      <c r="BAG3">
        <v>250777</v>
      </c>
      <c r="BAH3">
        <v>0.11943280000000001</v>
      </c>
      <c r="BAI3">
        <v>250777</v>
      </c>
      <c r="BAJ3">
        <v>0.27041549999999998</v>
      </c>
      <c r="BAK3">
        <v>250777</v>
      </c>
      <c r="BAL3">
        <v>0.16204840000000001</v>
      </c>
      <c r="BAM3">
        <v>250777</v>
      </c>
      <c r="BAN3">
        <v>3.2829999999999998E-2</v>
      </c>
      <c r="BAO3">
        <v>250777</v>
      </c>
      <c r="BAP3">
        <v>0.12862419999999999</v>
      </c>
      <c r="BAQ3">
        <v>250777</v>
      </c>
      <c r="BAR3">
        <v>0.137712</v>
      </c>
      <c r="BAS3">
        <v>250791</v>
      </c>
      <c r="BAT3">
        <v>1.38721E-2</v>
      </c>
      <c r="BAU3">
        <v>250791</v>
      </c>
      <c r="BAV3">
        <v>0.1323173</v>
      </c>
      <c r="BAW3">
        <v>250791</v>
      </c>
      <c r="BAX3">
        <v>0.26495770000000002</v>
      </c>
      <c r="BAY3">
        <v>250791</v>
      </c>
      <c r="BAZ3">
        <v>0.38429210000000003</v>
      </c>
      <c r="BBA3">
        <v>250791</v>
      </c>
      <c r="BBB3">
        <v>4.66484E-2</v>
      </c>
      <c r="BBC3">
        <v>250791</v>
      </c>
      <c r="BBD3">
        <v>0.14860180000000001</v>
      </c>
      <c r="BBE3">
        <v>250791</v>
      </c>
      <c r="BBF3">
        <v>9.3104999999999993E-3</v>
      </c>
      <c r="BBG3">
        <v>431641</v>
      </c>
      <c r="BBH3">
        <v>3.4853000000000002E-2</v>
      </c>
      <c r="BBI3">
        <v>431641</v>
      </c>
      <c r="BBJ3">
        <v>5.6560899999999997E-2</v>
      </c>
      <c r="BBK3">
        <v>431641</v>
      </c>
      <c r="BBL3">
        <v>0.15319440000000001</v>
      </c>
      <c r="BBM3">
        <v>431641</v>
      </c>
      <c r="BBN3">
        <v>0.20458899999999999</v>
      </c>
      <c r="BBO3">
        <v>431641</v>
      </c>
      <c r="BBP3">
        <v>7.4221400000000007E-2</v>
      </c>
      <c r="BBQ3">
        <v>431641</v>
      </c>
      <c r="BBR3">
        <v>0.3020427</v>
      </c>
      <c r="BBS3">
        <v>431641</v>
      </c>
      <c r="BBT3">
        <v>0.17453859999999999</v>
      </c>
      <c r="BBU3">
        <v>365872</v>
      </c>
      <c r="BBV3">
        <v>6.3459399999999999E-2</v>
      </c>
      <c r="BBW3">
        <v>365872</v>
      </c>
      <c r="BBX3">
        <v>6.8450200000000003E-2</v>
      </c>
      <c r="BBY3">
        <v>365872</v>
      </c>
      <c r="BBZ3">
        <v>0.22013440000000001</v>
      </c>
      <c r="BCA3">
        <v>365872</v>
      </c>
      <c r="BCB3">
        <v>0.20017109999999999</v>
      </c>
      <c r="BCC3">
        <v>365872</v>
      </c>
      <c r="BCD3">
        <v>6.8963999999999998E-2</v>
      </c>
      <c r="BCE3">
        <v>365872</v>
      </c>
      <c r="BCF3">
        <v>0.22111829999999999</v>
      </c>
      <c r="BCG3">
        <v>365872</v>
      </c>
      <c r="BCH3">
        <v>0.1577027</v>
      </c>
      <c r="BCI3">
        <v>666741</v>
      </c>
      <c r="BCJ3">
        <v>8.0104599999999998E-2</v>
      </c>
      <c r="BCK3">
        <v>666741</v>
      </c>
      <c r="BCL3">
        <v>6.7381499999999997E-2</v>
      </c>
      <c r="BCM3">
        <v>666741</v>
      </c>
      <c r="BCN3">
        <v>0.25049759999999999</v>
      </c>
      <c r="BCO3">
        <v>666741</v>
      </c>
      <c r="BCP3">
        <v>0.20990159999999999</v>
      </c>
      <c r="BCQ3">
        <v>666741</v>
      </c>
      <c r="BCR3">
        <v>7.7844300000000005E-2</v>
      </c>
      <c r="BCS3">
        <v>666741</v>
      </c>
      <c r="BCT3">
        <v>0.18055589999999999</v>
      </c>
      <c r="BCU3">
        <v>666741</v>
      </c>
      <c r="BCV3">
        <v>0.13371459999999999</v>
      </c>
      <c r="BCW3">
        <v>370571</v>
      </c>
      <c r="BCX3">
        <v>0.15447240000000001</v>
      </c>
      <c r="BCY3">
        <v>370571</v>
      </c>
      <c r="BCZ3">
        <v>0.12397080000000001</v>
      </c>
      <c r="BDA3">
        <v>370571</v>
      </c>
      <c r="BDB3">
        <v>0.32741629999999999</v>
      </c>
      <c r="BDC3">
        <v>370571</v>
      </c>
      <c r="BDD3">
        <v>0.17967949999999999</v>
      </c>
      <c r="BDE3">
        <v>370571</v>
      </c>
      <c r="BDF3">
        <v>3.7766000000000001E-2</v>
      </c>
      <c r="BDG3">
        <v>370571</v>
      </c>
      <c r="BDH3">
        <v>9.89149E-2</v>
      </c>
      <c r="BDI3">
        <v>370571</v>
      </c>
      <c r="BDJ3">
        <v>7.7780000000000002E-2</v>
      </c>
      <c r="BDK3">
        <v>1346091</v>
      </c>
      <c r="BDL3">
        <v>5.9815399999999998E-2</v>
      </c>
      <c r="BDM3">
        <v>80517</v>
      </c>
      <c r="BDN3">
        <v>0.62891070000000004</v>
      </c>
      <c r="BDO3">
        <v>50638</v>
      </c>
      <c r="BDP3">
        <v>0.61333389999999999</v>
      </c>
      <c r="BDQ3">
        <v>50638</v>
      </c>
      <c r="BDR3">
        <v>0.38666610000000001</v>
      </c>
      <c r="BDS3">
        <v>80517</v>
      </c>
      <c r="BDT3">
        <v>0.37108930000000001</v>
      </c>
      <c r="BDU3">
        <v>29879</v>
      </c>
      <c r="BDV3">
        <v>0.61119849999999998</v>
      </c>
      <c r="BDW3">
        <v>29879</v>
      </c>
      <c r="BDX3">
        <v>0.38880150000000002</v>
      </c>
      <c r="BDY3">
        <v>1346091</v>
      </c>
      <c r="BDZ3">
        <v>0.94018460000000004</v>
      </c>
      <c r="BEA3">
        <v>1265574</v>
      </c>
      <c r="BEB3">
        <v>0.3959626</v>
      </c>
      <c r="BEC3">
        <v>501120</v>
      </c>
      <c r="BED3">
        <v>0.74432869999999995</v>
      </c>
      <c r="BEE3">
        <v>501120</v>
      </c>
      <c r="BEF3">
        <v>0.25567129999999999</v>
      </c>
      <c r="BEG3">
        <v>1265574</v>
      </c>
      <c r="BEH3">
        <v>0.60403739999999995</v>
      </c>
      <c r="BEI3">
        <v>764454</v>
      </c>
      <c r="BEJ3">
        <v>0.74318669999999998</v>
      </c>
      <c r="BEK3">
        <v>764454</v>
      </c>
      <c r="BEL3">
        <v>0.25681330000000002</v>
      </c>
      <c r="BEM3">
        <v>2382785</v>
      </c>
      <c r="BEN3">
        <v>0.51714990000000005</v>
      </c>
      <c r="BEO3">
        <v>1232257</v>
      </c>
      <c r="BEP3">
        <v>0.97847850000000003</v>
      </c>
      <c r="BEQ3">
        <v>1205737</v>
      </c>
      <c r="BER3">
        <v>0.47088210000000003</v>
      </c>
      <c r="BES3">
        <v>1205737</v>
      </c>
      <c r="BET3">
        <v>0.52911790000000003</v>
      </c>
      <c r="BEU3">
        <v>1232257</v>
      </c>
      <c r="BEV3">
        <v>2.1521499999999999E-2</v>
      </c>
      <c r="BEW3">
        <v>2382785</v>
      </c>
      <c r="BEX3">
        <v>0.4828501</v>
      </c>
      <c r="BEY3">
        <v>1150528</v>
      </c>
      <c r="BEZ3">
        <v>0.97937640000000004</v>
      </c>
      <c r="BFA3">
        <v>1126800</v>
      </c>
      <c r="BFB3">
        <v>0.50300319999999998</v>
      </c>
      <c r="BFC3">
        <v>1126800</v>
      </c>
      <c r="BFD3">
        <v>0.49699680000000002</v>
      </c>
      <c r="BFE3">
        <v>1150528</v>
      </c>
      <c r="BFF3">
        <v>2.0623599999999999E-2</v>
      </c>
      <c r="BFG3">
        <v>2572979</v>
      </c>
      <c r="BFH3">
        <v>0.25445289999999998</v>
      </c>
      <c r="BFI3">
        <v>654702</v>
      </c>
      <c r="BFJ3">
        <v>0.95611889999999999</v>
      </c>
      <c r="BFK3">
        <v>654702</v>
      </c>
      <c r="BFL3">
        <v>4.3881000000000003E-2</v>
      </c>
      <c r="BFM3">
        <v>28729</v>
      </c>
      <c r="BFN3">
        <v>0.1700372</v>
      </c>
      <c r="BFO3">
        <v>28729</v>
      </c>
      <c r="BFP3">
        <v>0.82996270000000005</v>
      </c>
      <c r="BFQ3">
        <v>2572979</v>
      </c>
      <c r="BFR3">
        <v>0.74554710000000002</v>
      </c>
      <c r="BFS3">
        <v>1918277</v>
      </c>
      <c r="BFT3">
        <v>0.72589570000000003</v>
      </c>
      <c r="BFU3">
        <v>1918277</v>
      </c>
      <c r="BFV3">
        <v>0.27410430000000002</v>
      </c>
      <c r="BFW3">
        <v>525808</v>
      </c>
      <c r="BFX3">
        <v>0.43020079999999999</v>
      </c>
      <c r="BFY3">
        <v>525808</v>
      </c>
      <c r="BFZ3">
        <v>0.56979919999999995</v>
      </c>
      <c r="BGA3">
        <v>2714058</v>
      </c>
      <c r="BGB3">
        <v>0.2315507</v>
      </c>
      <c r="BGC3">
        <v>628442</v>
      </c>
      <c r="BGD3">
        <v>0.9486715</v>
      </c>
      <c r="BGE3">
        <v>628442</v>
      </c>
      <c r="BGF3">
        <v>5.1328499999999999E-2</v>
      </c>
      <c r="BGG3">
        <v>32257</v>
      </c>
      <c r="BGH3">
        <v>0.22835349999999999</v>
      </c>
      <c r="BGI3">
        <v>32257</v>
      </c>
      <c r="BGJ3">
        <v>0.77164639999999995</v>
      </c>
      <c r="BGK3">
        <v>2714058</v>
      </c>
      <c r="BGL3">
        <v>0.7684493</v>
      </c>
      <c r="BGM3">
        <v>2085616</v>
      </c>
      <c r="BGN3">
        <v>0.7581329</v>
      </c>
      <c r="BGO3">
        <v>2085616</v>
      </c>
      <c r="BGP3">
        <v>0.2418672</v>
      </c>
      <c r="BGQ3">
        <v>504442</v>
      </c>
      <c r="BGR3">
        <v>0.49257400000000001</v>
      </c>
      <c r="BGS3">
        <v>504442</v>
      </c>
      <c r="BGT3">
        <v>0.50742600000000004</v>
      </c>
    </row>
    <row r="4" spans="1:1554" x14ac:dyDescent="0.25">
      <c r="A4" t="s">
        <v>136</v>
      </c>
      <c r="B4">
        <v>2010</v>
      </c>
      <c r="C4">
        <v>1</v>
      </c>
      <c r="D4" t="s">
        <v>547</v>
      </c>
      <c r="E4">
        <v>856360</v>
      </c>
      <c r="F4">
        <v>0.43836589999999998</v>
      </c>
      <c r="G4">
        <v>375399</v>
      </c>
      <c r="H4">
        <v>0.110906</v>
      </c>
      <c r="I4">
        <v>375399</v>
      </c>
      <c r="J4">
        <v>1.9246200000000002E-2</v>
      </c>
      <c r="K4">
        <v>375399</v>
      </c>
      <c r="L4">
        <v>0.12838340000000001</v>
      </c>
      <c r="M4">
        <v>375399</v>
      </c>
      <c r="N4">
        <v>6.9224999999999995E-2</v>
      </c>
      <c r="O4">
        <v>375399</v>
      </c>
      <c r="P4">
        <v>2.0788500000000001E-2</v>
      </c>
      <c r="Q4">
        <v>375399</v>
      </c>
      <c r="R4">
        <v>4.3050199999999997E-2</v>
      </c>
      <c r="S4">
        <v>375399</v>
      </c>
      <c r="T4">
        <v>0.1237856</v>
      </c>
      <c r="U4">
        <v>375399</v>
      </c>
      <c r="V4">
        <v>0.13448360000000001</v>
      </c>
      <c r="W4">
        <v>375399</v>
      </c>
      <c r="X4">
        <v>0.1148831</v>
      </c>
      <c r="Y4">
        <v>375399</v>
      </c>
      <c r="Z4">
        <v>0.1004371</v>
      </c>
      <c r="AA4">
        <v>375399</v>
      </c>
      <c r="AB4">
        <v>7.44142E-2</v>
      </c>
      <c r="AC4">
        <v>375399</v>
      </c>
      <c r="AD4">
        <v>3.0586100000000001E-2</v>
      </c>
      <c r="AE4">
        <v>375399</v>
      </c>
      <c r="AF4">
        <v>2.9810900000000001E-2</v>
      </c>
      <c r="AG4">
        <v>856360</v>
      </c>
      <c r="AH4">
        <v>0.56163410000000002</v>
      </c>
      <c r="AI4">
        <v>480961</v>
      </c>
      <c r="AJ4">
        <v>9.1955499999999996E-2</v>
      </c>
      <c r="AK4">
        <v>480961</v>
      </c>
      <c r="AL4">
        <v>2.0357199999999999E-2</v>
      </c>
      <c r="AM4">
        <v>480961</v>
      </c>
      <c r="AN4">
        <v>0.101713</v>
      </c>
      <c r="AO4">
        <v>480961</v>
      </c>
      <c r="AP4">
        <v>5.0305500000000003E-2</v>
      </c>
      <c r="AQ4">
        <v>480961</v>
      </c>
      <c r="AR4">
        <v>1.6843400000000001E-2</v>
      </c>
      <c r="AS4">
        <v>480961</v>
      </c>
      <c r="AT4">
        <v>3.5102599999999998E-2</v>
      </c>
      <c r="AU4">
        <v>480961</v>
      </c>
      <c r="AV4">
        <v>0.14487040000000001</v>
      </c>
      <c r="AW4">
        <v>480961</v>
      </c>
      <c r="AX4">
        <v>0.15624759999999999</v>
      </c>
      <c r="AY4">
        <v>480961</v>
      </c>
      <c r="AZ4">
        <v>0.1124956</v>
      </c>
      <c r="BA4">
        <v>480961</v>
      </c>
      <c r="BB4">
        <v>0.1012618</v>
      </c>
      <c r="BC4">
        <v>480961</v>
      </c>
      <c r="BD4">
        <v>7.3690000000000005E-2</v>
      </c>
      <c r="BE4">
        <v>480961</v>
      </c>
      <c r="BF4">
        <v>4.4984900000000001E-2</v>
      </c>
      <c r="BG4">
        <v>480961</v>
      </c>
      <c r="BH4">
        <v>5.0172500000000002E-2</v>
      </c>
      <c r="BI4">
        <v>4271764</v>
      </c>
      <c r="BJ4">
        <v>0.49264469999999999</v>
      </c>
      <c r="BK4">
        <v>2104462</v>
      </c>
      <c r="BL4">
        <v>6.1754499999999997E-2</v>
      </c>
      <c r="BM4">
        <v>2104462</v>
      </c>
      <c r="BN4">
        <v>1.08194E-2</v>
      </c>
      <c r="BO4">
        <v>2104462</v>
      </c>
      <c r="BP4">
        <v>7.3051000000000005E-2</v>
      </c>
      <c r="BQ4">
        <v>2104462</v>
      </c>
      <c r="BR4">
        <v>3.8508199999999999E-2</v>
      </c>
      <c r="BS4">
        <v>2104462</v>
      </c>
      <c r="BT4">
        <v>1.36534E-2</v>
      </c>
      <c r="BU4">
        <v>2104462</v>
      </c>
      <c r="BV4">
        <v>2.7315300000000001E-2</v>
      </c>
      <c r="BW4">
        <v>2104462</v>
      </c>
      <c r="BX4">
        <v>9.4322000000000003E-2</v>
      </c>
      <c r="BY4">
        <v>2104462</v>
      </c>
      <c r="BZ4">
        <v>0.17056089999999999</v>
      </c>
      <c r="CA4">
        <v>2104462</v>
      </c>
      <c r="CB4">
        <v>0.14490400000000001</v>
      </c>
      <c r="CC4">
        <v>2104462</v>
      </c>
      <c r="CD4">
        <v>0.14510600000000001</v>
      </c>
      <c r="CE4">
        <v>2104462</v>
      </c>
      <c r="CF4">
        <v>0.1132118</v>
      </c>
      <c r="CG4">
        <v>2104462</v>
      </c>
      <c r="CH4">
        <v>6.1658999999999999E-2</v>
      </c>
      <c r="CI4">
        <v>2104462</v>
      </c>
      <c r="CJ4">
        <v>4.5134599999999997E-2</v>
      </c>
      <c r="CK4">
        <v>4271764</v>
      </c>
      <c r="CL4">
        <v>0.50735529999999995</v>
      </c>
      <c r="CM4">
        <v>2167302</v>
      </c>
      <c r="CN4">
        <v>5.6378900000000003E-2</v>
      </c>
      <c r="CO4">
        <v>2167302</v>
      </c>
      <c r="CP4">
        <v>1.08088E-2</v>
      </c>
      <c r="CQ4">
        <v>2167302</v>
      </c>
      <c r="CR4">
        <v>6.6739699999999999E-2</v>
      </c>
      <c r="CS4">
        <v>2167302</v>
      </c>
      <c r="CT4">
        <v>3.4944799999999998E-2</v>
      </c>
      <c r="CU4">
        <v>2167302</v>
      </c>
      <c r="CV4">
        <v>1.2700599999999999E-2</v>
      </c>
      <c r="CW4">
        <v>2167302</v>
      </c>
      <c r="CX4">
        <v>2.4398099999999999E-2</v>
      </c>
      <c r="CY4">
        <v>2167302</v>
      </c>
      <c r="CZ4">
        <v>8.1553899999999999E-2</v>
      </c>
      <c r="DA4">
        <v>2167302</v>
      </c>
      <c r="DB4">
        <v>0.15925149999999999</v>
      </c>
      <c r="DC4">
        <v>2167302</v>
      </c>
      <c r="DD4">
        <v>0.13934050000000001</v>
      </c>
      <c r="DE4">
        <v>2167302</v>
      </c>
      <c r="DF4">
        <v>0.14754010000000001</v>
      </c>
      <c r="DG4">
        <v>2167302</v>
      </c>
      <c r="DH4">
        <v>0.1229427</v>
      </c>
      <c r="DI4">
        <v>2167302</v>
      </c>
      <c r="DJ4">
        <v>7.2988899999999995E-2</v>
      </c>
      <c r="DK4">
        <v>2167302</v>
      </c>
      <c r="DL4">
        <v>7.0411500000000002E-2</v>
      </c>
      <c r="DM4">
        <v>3417487</v>
      </c>
      <c r="DN4">
        <v>0.12906880000000001</v>
      </c>
      <c r="DO4">
        <v>441091</v>
      </c>
      <c r="DP4">
        <v>0.412441</v>
      </c>
      <c r="DQ4">
        <v>1614171</v>
      </c>
      <c r="DR4">
        <v>0.11270429999999999</v>
      </c>
      <c r="DS4">
        <v>181924</v>
      </c>
      <c r="DT4">
        <v>0.33511249999999998</v>
      </c>
      <c r="DU4">
        <v>265267</v>
      </c>
      <c r="DV4">
        <v>0.229825</v>
      </c>
      <c r="DW4">
        <v>181924</v>
      </c>
      <c r="DX4">
        <v>0.32073829999999998</v>
      </c>
      <c r="DY4">
        <v>408003</v>
      </c>
      <c r="DZ4">
        <v>0.14301369999999999</v>
      </c>
      <c r="EA4">
        <v>181924</v>
      </c>
      <c r="EB4">
        <v>0.21423229999999999</v>
      </c>
      <c r="EC4">
        <v>392678</v>
      </c>
      <c r="ED4">
        <v>9.9251800000000001E-2</v>
      </c>
      <c r="EE4">
        <v>181924</v>
      </c>
      <c r="EF4">
        <v>0.1299169</v>
      </c>
      <c r="EG4">
        <v>548223</v>
      </c>
      <c r="EH4">
        <v>4.3111999999999998E-2</v>
      </c>
      <c r="EI4">
        <v>441091</v>
      </c>
      <c r="EJ4">
        <v>0.58755900000000005</v>
      </c>
      <c r="EK4">
        <v>1803316</v>
      </c>
      <c r="EL4">
        <v>0.14371690000000001</v>
      </c>
      <c r="EM4">
        <v>259167</v>
      </c>
      <c r="EN4">
        <v>0.29977199999999998</v>
      </c>
      <c r="EO4">
        <v>275850</v>
      </c>
      <c r="EP4">
        <v>0.28164220000000001</v>
      </c>
      <c r="EQ4">
        <v>259167</v>
      </c>
      <c r="ER4">
        <v>0.29134880000000002</v>
      </c>
      <c r="ES4">
        <v>427448</v>
      </c>
      <c r="ET4">
        <v>0.17664840000000001</v>
      </c>
      <c r="EU4">
        <v>259167</v>
      </c>
      <c r="EV4">
        <v>0.26832509999999998</v>
      </c>
      <c r="EW4">
        <v>481590</v>
      </c>
      <c r="EX4">
        <v>0.14439879999999999</v>
      </c>
      <c r="EY4">
        <v>259167</v>
      </c>
      <c r="EZ4">
        <v>0.14055419999999999</v>
      </c>
      <c r="FA4">
        <v>618428</v>
      </c>
      <c r="FB4">
        <v>5.8902599999999999E-2</v>
      </c>
      <c r="FC4">
        <v>3417487</v>
      </c>
      <c r="FD4">
        <v>0.87093120000000002</v>
      </c>
      <c r="FE4">
        <v>2976396</v>
      </c>
      <c r="FF4">
        <v>0.48120180000000001</v>
      </c>
      <c r="FG4">
        <v>1614171</v>
      </c>
      <c r="FH4">
        <v>0.88729570000000002</v>
      </c>
      <c r="FI4">
        <v>1432247</v>
      </c>
      <c r="FJ4">
        <v>0.1426444</v>
      </c>
      <c r="FK4">
        <v>265267</v>
      </c>
      <c r="FL4">
        <v>0.77017500000000005</v>
      </c>
      <c r="FM4">
        <v>1432247</v>
      </c>
      <c r="FN4">
        <v>0.24412900000000001</v>
      </c>
      <c r="FO4">
        <v>408003</v>
      </c>
      <c r="FP4">
        <v>0.85698629999999998</v>
      </c>
      <c r="FQ4">
        <v>1432247</v>
      </c>
      <c r="FR4">
        <v>0.24695739999999999</v>
      </c>
      <c r="FS4">
        <v>392678</v>
      </c>
      <c r="FT4">
        <v>0.9007482</v>
      </c>
      <c r="FU4">
        <v>1432247</v>
      </c>
      <c r="FV4">
        <v>0.36626920000000002</v>
      </c>
      <c r="FW4">
        <v>548223</v>
      </c>
      <c r="FX4">
        <v>0.95688799999999996</v>
      </c>
      <c r="FY4">
        <v>2976396</v>
      </c>
      <c r="FZ4">
        <v>0.51879819999999999</v>
      </c>
      <c r="GA4">
        <v>1803316</v>
      </c>
      <c r="GB4">
        <v>0.85628309999999996</v>
      </c>
      <c r="GC4">
        <v>1544149</v>
      </c>
      <c r="GD4">
        <v>0.1283289</v>
      </c>
      <c r="GE4">
        <v>275850</v>
      </c>
      <c r="GF4">
        <v>0.71835780000000005</v>
      </c>
      <c r="GG4">
        <v>1544149</v>
      </c>
      <c r="GH4">
        <v>0.22791839999999999</v>
      </c>
      <c r="GI4">
        <v>427448</v>
      </c>
      <c r="GJ4">
        <v>0.82335159999999996</v>
      </c>
      <c r="GK4">
        <v>1544149</v>
      </c>
      <c r="GL4">
        <v>0.26684540000000001</v>
      </c>
      <c r="GM4">
        <v>481590</v>
      </c>
      <c r="GN4">
        <v>0.85560130000000001</v>
      </c>
      <c r="GO4">
        <v>1544149</v>
      </c>
      <c r="GP4">
        <v>0.3769073</v>
      </c>
      <c r="GQ4">
        <v>618428</v>
      </c>
      <c r="GR4">
        <v>0.94109739999999997</v>
      </c>
      <c r="GS4">
        <v>4052288</v>
      </c>
      <c r="GT4">
        <v>0.14566609999999999</v>
      </c>
      <c r="GU4">
        <v>590281</v>
      </c>
      <c r="GV4">
        <v>0.41430099999999997</v>
      </c>
      <c r="GW4">
        <v>244554</v>
      </c>
      <c r="GX4">
        <v>0.1046436</v>
      </c>
      <c r="GY4">
        <v>244554</v>
      </c>
      <c r="GZ4">
        <v>0.31052449999999998</v>
      </c>
      <c r="HA4">
        <v>244554</v>
      </c>
      <c r="HB4">
        <v>0.58483200000000002</v>
      </c>
      <c r="HC4">
        <v>244499</v>
      </c>
      <c r="HD4">
        <v>0.51553990000000005</v>
      </c>
      <c r="HE4">
        <v>244499</v>
      </c>
      <c r="HF4">
        <v>0.4844601</v>
      </c>
      <c r="HG4">
        <v>126049</v>
      </c>
      <c r="HH4">
        <v>0.59147629999999995</v>
      </c>
      <c r="HI4">
        <v>126049</v>
      </c>
      <c r="HJ4">
        <v>0.40852369999999999</v>
      </c>
      <c r="HK4">
        <v>590281</v>
      </c>
      <c r="HL4">
        <v>0.58569899999999997</v>
      </c>
      <c r="HM4">
        <v>345727</v>
      </c>
      <c r="HN4">
        <v>6.0255599999999999E-2</v>
      </c>
      <c r="HO4">
        <v>345727</v>
      </c>
      <c r="HP4">
        <v>0.29464289999999999</v>
      </c>
      <c r="HQ4">
        <v>345727</v>
      </c>
      <c r="HR4">
        <v>0.64510149999999999</v>
      </c>
      <c r="HS4">
        <v>345727</v>
      </c>
      <c r="HT4">
        <v>0.42401369999999999</v>
      </c>
      <c r="HU4">
        <v>345727</v>
      </c>
      <c r="HV4">
        <v>0.57598629999999995</v>
      </c>
      <c r="HW4">
        <v>146593</v>
      </c>
      <c r="HX4">
        <v>0.62179640000000003</v>
      </c>
      <c r="HY4">
        <v>146593</v>
      </c>
      <c r="HZ4">
        <v>0.37820359999999997</v>
      </c>
      <c r="IA4">
        <v>4052288</v>
      </c>
      <c r="IB4">
        <v>0.85433389999999998</v>
      </c>
      <c r="IC4">
        <v>3462007</v>
      </c>
      <c r="ID4">
        <v>0.48764429999999998</v>
      </c>
      <c r="IE4">
        <v>1688228</v>
      </c>
      <c r="IF4">
        <v>0.51842220000000006</v>
      </c>
      <c r="IG4">
        <v>1688228</v>
      </c>
      <c r="IH4">
        <v>0.2285296</v>
      </c>
      <c r="II4">
        <v>1688228</v>
      </c>
      <c r="IJ4">
        <v>0.2530482</v>
      </c>
      <c r="IK4">
        <v>1687459</v>
      </c>
      <c r="IL4">
        <v>0.76274330000000001</v>
      </c>
      <c r="IM4">
        <v>1687459</v>
      </c>
      <c r="IN4">
        <v>0.23725669999999999</v>
      </c>
      <c r="IO4">
        <v>1287098</v>
      </c>
      <c r="IP4">
        <v>0.88896810000000004</v>
      </c>
      <c r="IQ4">
        <v>1287098</v>
      </c>
      <c r="IR4">
        <v>0.1110319</v>
      </c>
      <c r="IS4">
        <v>3462007</v>
      </c>
      <c r="IT4">
        <v>0.51235569999999997</v>
      </c>
      <c r="IU4">
        <v>1773779</v>
      </c>
      <c r="IV4">
        <v>0.40237030000000001</v>
      </c>
      <c r="IW4">
        <v>1773779</v>
      </c>
      <c r="IX4">
        <v>0.2478426</v>
      </c>
      <c r="IY4">
        <v>1773779</v>
      </c>
      <c r="IZ4">
        <v>0.34978710000000002</v>
      </c>
      <c r="JA4">
        <v>1773594</v>
      </c>
      <c r="JB4">
        <v>0.65212780000000004</v>
      </c>
      <c r="JC4">
        <v>1773594</v>
      </c>
      <c r="JD4">
        <v>0.34787220000000002</v>
      </c>
      <c r="JE4">
        <v>1156610</v>
      </c>
      <c r="JF4">
        <v>0.90808480000000003</v>
      </c>
      <c r="JG4">
        <v>1156610</v>
      </c>
      <c r="JH4">
        <v>9.1915200000000002E-2</v>
      </c>
      <c r="JI4">
        <v>1185270</v>
      </c>
      <c r="JJ4">
        <v>0.17828260000000001</v>
      </c>
      <c r="JK4">
        <v>211313</v>
      </c>
      <c r="JL4">
        <v>0.37491780000000002</v>
      </c>
      <c r="JM4">
        <v>79225</v>
      </c>
      <c r="JN4">
        <v>0.69744399999999995</v>
      </c>
      <c r="JO4">
        <v>79225</v>
      </c>
      <c r="JP4">
        <v>0.69744399999999995</v>
      </c>
      <c r="JQ4">
        <v>79225</v>
      </c>
      <c r="JR4">
        <v>0.69744399999999995</v>
      </c>
      <c r="JS4">
        <v>79225</v>
      </c>
      <c r="JT4">
        <v>0.69744399999999995</v>
      </c>
      <c r="JU4">
        <v>79225</v>
      </c>
      <c r="JV4">
        <v>0.30255599999999999</v>
      </c>
      <c r="JW4">
        <v>211313</v>
      </c>
      <c r="JX4">
        <v>0.62508220000000003</v>
      </c>
      <c r="JY4">
        <v>132088</v>
      </c>
      <c r="JZ4">
        <v>0.18157590000000001</v>
      </c>
      <c r="KA4">
        <v>23984</v>
      </c>
      <c r="KB4">
        <v>0.68099560000000003</v>
      </c>
      <c r="KC4">
        <v>16333</v>
      </c>
      <c r="KD4">
        <v>0.27514850000000002</v>
      </c>
      <c r="KE4">
        <v>16333</v>
      </c>
      <c r="KF4">
        <v>0.27294429999999997</v>
      </c>
      <c r="KG4">
        <v>16333</v>
      </c>
      <c r="KH4">
        <v>0.45190720000000001</v>
      </c>
      <c r="KI4">
        <v>23984</v>
      </c>
      <c r="KJ4">
        <v>0.31900430000000002</v>
      </c>
      <c r="KK4">
        <v>132088</v>
      </c>
      <c r="KL4">
        <v>0.81842409999999999</v>
      </c>
      <c r="KM4">
        <v>108104</v>
      </c>
      <c r="KN4">
        <v>0.82915530000000004</v>
      </c>
      <c r="KO4">
        <v>89635</v>
      </c>
      <c r="KP4">
        <v>0.14527809999999999</v>
      </c>
      <c r="KQ4">
        <v>89635</v>
      </c>
      <c r="KR4">
        <v>0.27990179999999998</v>
      </c>
      <c r="KS4">
        <v>89635</v>
      </c>
      <c r="KT4">
        <v>0.57482009999999994</v>
      </c>
      <c r="KU4">
        <v>108104</v>
      </c>
      <c r="KV4">
        <v>0.17084469999999999</v>
      </c>
      <c r="KW4">
        <v>1185270</v>
      </c>
      <c r="KX4">
        <v>3.7819199999999997E-2</v>
      </c>
      <c r="KY4">
        <v>44826</v>
      </c>
      <c r="KZ4">
        <v>0.49966539999999998</v>
      </c>
      <c r="LA4">
        <v>22398</v>
      </c>
      <c r="LB4">
        <v>0.66680059999999997</v>
      </c>
      <c r="LC4">
        <v>22398</v>
      </c>
      <c r="LD4">
        <v>0.66680059999999997</v>
      </c>
      <c r="LE4">
        <v>22398</v>
      </c>
      <c r="LF4">
        <v>0.66680059999999997</v>
      </c>
      <c r="LG4">
        <v>22398</v>
      </c>
      <c r="LH4">
        <v>0.66680059999999997</v>
      </c>
      <c r="LI4">
        <v>22398</v>
      </c>
      <c r="LJ4">
        <v>0.33319939999999998</v>
      </c>
      <c r="LK4">
        <v>44826</v>
      </c>
      <c r="LL4">
        <v>0.50033459999999996</v>
      </c>
      <c r="LM4">
        <v>22428</v>
      </c>
      <c r="LN4">
        <v>0.2490637</v>
      </c>
      <c r="LO4">
        <v>5586</v>
      </c>
      <c r="LP4">
        <v>0.65914790000000001</v>
      </c>
      <c r="LQ4">
        <v>3682</v>
      </c>
      <c r="LR4">
        <v>0.34057579999999998</v>
      </c>
      <c r="LS4">
        <v>3682</v>
      </c>
      <c r="LT4">
        <v>0.14068439999999999</v>
      </c>
      <c r="LU4">
        <v>3682</v>
      </c>
      <c r="LV4">
        <v>0.51873979999999997</v>
      </c>
      <c r="LW4">
        <v>5586</v>
      </c>
      <c r="LX4">
        <v>0.34085209999999999</v>
      </c>
      <c r="LY4">
        <v>22428</v>
      </c>
      <c r="LZ4">
        <v>0.7509363</v>
      </c>
      <c r="MA4">
        <v>16842</v>
      </c>
      <c r="MB4">
        <v>0.68928869999999998</v>
      </c>
      <c r="MC4">
        <v>11609</v>
      </c>
      <c r="MD4">
        <v>8.9844099999999996E-2</v>
      </c>
      <c r="ME4">
        <v>11609</v>
      </c>
      <c r="MF4">
        <v>0.27599279999999998</v>
      </c>
      <c r="MG4">
        <v>11609</v>
      </c>
      <c r="MH4">
        <v>0.63416309999999998</v>
      </c>
      <c r="MI4">
        <v>16842</v>
      </c>
      <c r="MJ4">
        <v>0.31071130000000002</v>
      </c>
      <c r="MK4">
        <v>1185270</v>
      </c>
      <c r="ML4">
        <v>5.9510500000000001E-2</v>
      </c>
      <c r="MM4">
        <v>70536</v>
      </c>
      <c r="MN4">
        <v>0.56833389999999995</v>
      </c>
      <c r="MO4">
        <v>40088</v>
      </c>
      <c r="MP4">
        <v>0.61295149999999998</v>
      </c>
      <c r="MQ4">
        <v>40088</v>
      </c>
      <c r="MR4">
        <v>0.61295149999999998</v>
      </c>
      <c r="MS4">
        <v>40088</v>
      </c>
      <c r="MT4">
        <v>0.61295149999999998</v>
      </c>
      <c r="MU4">
        <v>40088</v>
      </c>
      <c r="MV4">
        <v>0.61295149999999998</v>
      </c>
      <c r="MW4">
        <v>40088</v>
      </c>
      <c r="MX4">
        <v>0.38704850000000002</v>
      </c>
      <c r="MY4">
        <v>70536</v>
      </c>
      <c r="MZ4">
        <v>0.4316661</v>
      </c>
      <c r="NA4">
        <v>30448</v>
      </c>
      <c r="NB4">
        <v>0.23653440000000001</v>
      </c>
      <c r="NC4">
        <v>7202</v>
      </c>
      <c r="ND4">
        <v>0.58469870000000002</v>
      </c>
      <c r="NE4">
        <v>4211</v>
      </c>
      <c r="NF4">
        <v>0.1116124</v>
      </c>
      <c r="NG4">
        <v>4211</v>
      </c>
      <c r="NH4">
        <v>0.2068392</v>
      </c>
      <c r="NI4">
        <v>4211</v>
      </c>
      <c r="NJ4">
        <v>0.6815483</v>
      </c>
      <c r="NK4">
        <v>7202</v>
      </c>
      <c r="NL4">
        <v>0.41530129999999998</v>
      </c>
      <c r="NM4">
        <v>30448</v>
      </c>
      <c r="NN4">
        <v>0.76346559999999997</v>
      </c>
      <c r="NO4">
        <v>23246</v>
      </c>
      <c r="NP4">
        <v>0.67826719999999996</v>
      </c>
      <c r="NQ4">
        <v>15767</v>
      </c>
      <c r="NR4">
        <v>0.13775609999999999</v>
      </c>
      <c r="NS4">
        <v>15767</v>
      </c>
      <c r="NT4">
        <v>0.20758550000000001</v>
      </c>
      <c r="NU4">
        <v>15767</v>
      </c>
      <c r="NV4">
        <v>0.65465839999999997</v>
      </c>
      <c r="NW4">
        <v>23246</v>
      </c>
      <c r="NX4">
        <v>0.32173279999999999</v>
      </c>
      <c r="NY4">
        <v>1185270</v>
      </c>
      <c r="NZ4">
        <v>0.72438769999999997</v>
      </c>
      <c r="OA4">
        <v>858595</v>
      </c>
      <c r="OB4">
        <v>0.75797320000000001</v>
      </c>
      <c r="OC4">
        <v>650792</v>
      </c>
      <c r="OD4">
        <v>0.43110700000000002</v>
      </c>
      <c r="OE4">
        <v>650792</v>
      </c>
      <c r="OF4">
        <v>0.43110700000000002</v>
      </c>
      <c r="OG4">
        <v>650792</v>
      </c>
      <c r="OH4">
        <v>0.43110700000000002</v>
      </c>
      <c r="OI4">
        <v>650792</v>
      </c>
      <c r="OJ4">
        <v>0.43110700000000002</v>
      </c>
      <c r="OK4">
        <v>650792</v>
      </c>
      <c r="OL4">
        <v>0.56889299999999998</v>
      </c>
      <c r="OM4">
        <v>858595</v>
      </c>
      <c r="ON4">
        <v>0.24202679999999999</v>
      </c>
      <c r="OO4">
        <v>207803</v>
      </c>
      <c r="OP4">
        <v>0.28451470000000001</v>
      </c>
      <c r="OQ4">
        <v>59123</v>
      </c>
      <c r="OR4">
        <v>0.39657999999999999</v>
      </c>
      <c r="OS4">
        <v>23447</v>
      </c>
      <c r="OT4">
        <v>0.17524629999999999</v>
      </c>
      <c r="OU4">
        <v>23447</v>
      </c>
      <c r="OV4">
        <v>0.12982469999999999</v>
      </c>
      <c r="OW4">
        <v>23447</v>
      </c>
      <c r="OX4">
        <v>0.69492900000000002</v>
      </c>
      <c r="OY4">
        <v>59123</v>
      </c>
      <c r="OZ4">
        <v>0.60341999999999996</v>
      </c>
      <c r="PA4">
        <v>207803</v>
      </c>
      <c r="PB4">
        <v>0.71548529999999999</v>
      </c>
      <c r="PC4">
        <v>148680</v>
      </c>
      <c r="PD4">
        <v>0.4401197</v>
      </c>
      <c r="PE4">
        <v>65437</v>
      </c>
      <c r="PF4">
        <v>0.14008889999999999</v>
      </c>
      <c r="PG4">
        <v>65437</v>
      </c>
      <c r="PH4">
        <v>0.1164326</v>
      </c>
      <c r="PI4">
        <v>65437</v>
      </c>
      <c r="PJ4">
        <v>0.74347850000000004</v>
      </c>
      <c r="PK4">
        <v>148680</v>
      </c>
      <c r="PL4">
        <v>0.5598803</v>
      </c>
      <c r="PM4">
        <v>5200950</v>
      </c>
      <c r="PN4">
        <v>0.48420600000000003</v>
      </c>
      <c r="PO4">
        <v>2518331</v>
      </c>
      <c r="PP4">
        <v>6.9080299999999997E-2</v>
      </c>
      <c r="PQ4">
        <v>2518331</v>
      </c>
      <c r="PR4">
        <v>6.6303799999999996E-2</v>
      </c>
      <c r="PS4">
        <v>2518331</v>
      </c>
      <c r="PT4">
        <v>6.9484500000000005E-2</v>
      </c>
      <c r="PU4">
        <v>2518331</v>
      </c>
      <c r="PV4">
        <v>4.4124499999999997E-2</v>
      </c>
      <c r="PW4">
        <v>2518331</v>
      </c>
      <c r="PX4">
        <v>2.8252800000000002E-2</v>
      </c>
      <c r="PY4">
        <v>2518331</v>
      </c>
      <c r="PZ4">
        <v>1.36261E-2</v>
      </c>
      <c r="QA4">
        <v>2518331</v>
      </c>
      <c r="QB4">
        <v>1.42197E-2</v>
      </c>
      <c r="QC4">
        <v>2518331</v>
      </c>
      <c r="QD4">
        <v>4.5824400000000001E-2</v>
      </c>
      <c r="QE4">
        <v>2518331</v>
      </c>
      <c r="QF4">
        <v>8.5263199999999997E-2</v>
      </c>
      <c r="QG4">
        <v>2518331</v>
      </c>
      <c r="QH4">
        <v>7.8989199999999996E-2</v>
      </c>
      <c r="QI4">
        <v>2518331</v>
      </c>
      <c r="QJ4">
        <v>7.2301500000000005E-2</v>
      </c>
      <c r="QK4">
        <v>2518331</v>
      </c>
      <c r="QL4">
        <v>6.7024899999999998E-2</v>
      </c>
      <c r="QM4">
        <v>2518331</v>
      </c>
      <c r="QN4">
        <v>6.8978999999999999E-2</v>
      </c>
      <c r="QO4">
        <v>2518331</v>
      </c>
      <c r="QP4">
        <v>6.8718100000000004E-2</v>
      </c>
      <c r="QQ4">
        <v>2518331</v>
      </c>
      <c r="QR4">
        <v>6.0523E-2</v>
      </c>
      <c r="QS4">
        <v>2518331</v>
      </c>
      <c r="QT4">
        <v>2.0535000000000001E-2</v>
      </c>
      <c r="QU4">
        <v>2518331</v>
      </c>
      <c r="QV4">
        <v>2.6089500000000002E-2</v>
      </c>
      <c r="QW4">
        <v>2518331</v>
      </c>
      <c r="QX4">
        <v>1.3969199999999999E-2</v>
      </c>
      <c r="QY4">
        <v>2518331</v>
      </c>
      <c r="QZ4">
        <v>2.0160999999999998E-2</v>
      </c>
      <c r="RA4">
        <v>2518331</v>
      </c>
      <c r="RB4">
        <v>2.29223E-2</v>
      </c>
      <c r="RC4">
        <v>2518331</v>
      </c>
      <c r="RD4">
        <v>1.81283E-2</v>
      </c>
      <c r="RE4">
        <v>2518331</v>
      </c>
      <c r="RF4">
        <v>1.43885E-2</v>
      </c>
      <c r="RG4">
        <v>2518331</v>
      </c>
      <c r="RH4">
        <v>1.10911E-2</v>
      </c>
      <c r="RI4">
        <v>5200950</v>
      </c>
      <c r="RJ4">
        <v>0.51579399999999997</v>
      </c>
      <c r="RK4">
        <v>2682619</v>
      </c>
      <c r="RL4">
        <v>6.2667500000000001E-2</v>
      </c>
      <c r="RM4">
        <v>2682619</v>
      </c>
      <c r="RN4">
        <v>6.0775700000000002E-2</v>
      </c>
      <c r="RO4">
        <v>2682619</v>
      </c>
      <c r="RP4">
        <v>6.2416199999999998E-2</v>
      </c>
      <c r="RQ4">
        <v>2682619</v>
      </c>
      <c r="RR4">
        <v>3.9493100000000003E-2</v>
      </c>
      <c r="RS4">
        <v>2682619</v>
      </c>
      <c r="RT4">
        <v>2.60033E-2</v>
      </c>
      <c r="RU4">
        <v>2682619</v>
      </c>
      <c r="RV4">
        <v>1.38458E-2</v>
      </c>
      <c r="RW4">
        <v>2682619</v>
      </c>
      <c r="RX4">
        <v>1.28542E-2</v>
      </c>
      <c r="RY4">
        <v>2682619</v>
      </c>
      <c r="RZ4">
        <v>4.3410600000000001E-2</v>
      </c>
      <c r="SA4">
        <v>2682619</v>
      </c>
      <c r="SB4">
        <v>8.2399299999999995E-2</v>
      </c>
      <c r="SC4">
        <v>2682619</v>
      </c>
      <c r="SD4">
        <v>7.4448899999999998E-2</v>
      </c>
      <c r="SE4">
        <v>2682619</v>
      </c>
      <c r="SF4">
        <v>6.8273600000000004E-2</v>
      </c>
      <c r="SG4">
        <v>2682619</v>
      </c>
      <c r="SH4">
        <v>6.4774799999999993E-2</v>
      </c>
      <c r="SI4">
        <v>2682619</v>
      </c>
      <c r="SJ4">
        <v>6.8062600000000001E-2</v>
      </c>
      <c r="SK4">
        <v>2682619</v>
      </c>
      <c r="SL4">
        <v>6.9852600000000001E-2</v>
      </c>
      <c r="SM4">
        <v>2682619</v>
      </c>
      <c r="SN4">
        <v>6.3039899999999996E-2</v>
      </c>
      <c r="SO4">
        <v>2682619</v>
      </c>
      <c r="SP4">
        <v>2.10872E-2</v>
      </c>
      <c r="SQ4">
        <v>2682619</v>
      </c>
      <c r="SR4">
        <v>2.8993700000000001E-2</v>
      </c>
      <c r="SS4">
        <v>2682619</v>
      </c>
      <c r="ST4">
        <v>1.53343E-2</v>
      </c>
      <c r="SU4">
        <v>2682619</v>
      </c>
      <c r="SV4">
        <v>2.2158199999999999E-2</v>
      </c>
      <c r="SW4">
        <v>2682619</v>
      </c>
      <c r="SX4">
        <v>3.04877E-2</v>
      </c>
      <c r="SY4">
        <v>2682619</v>
      </c>
      <c r="SZ4">
        <v>2.3679800000000001E-2</v>
      </c>
      <c r="TA4">
        <v>2682619</v>
      </c>
      <c r="TB4">
        <v>2.1168099999999999E-2</v>
      </c>
      <c r="TC4">
        <v>2682619</v>
      </c>
      <c r="TD4">
        <v>2.4772800000000001E-2</v>
      </c>
      <c r="TE4">
        <v>2934502</v>
      </c>
      <c r="TF4">
        <v>0.49188789999999999</v>
      </c>
      <c r="TG4">
        <v>1286124</v>
      </c>
      <c r="TH4">
        <v>0.45401449999999999</v>
      </c>
      <c r="TI4">
        <v>13614</v>
      </c>
      <c r="TJ4">
        <v>0.46239160000000001</v>
      </c>
      <c r="TK4">
        <v>327243</v>
      </c>
      <c r="TL4">
        <v>0.47957630000000001</v>
      </c>
      <c r="TM4"/>
      <c r="TN4"/>
      <c r="TO4">
        <v>544290</v>
      </c>
      <c r="TP4">
        <v>0.51725180000000004</v>
      </c>
      <c r="TQ4">
        <v>93970</v>
      </c>
      <c r="TR4">
        <v>0.48209000000000002</v>
      </c>
      <c r="TS4">
        <v>2277887</v>
      </c>
      <c r="TT4">
        <v>0.4856839</v>
      </c>
      <c r="TU4">
        <v>1251133</v>
      </c>
      <c r="TV4">
        <v>0.51330439999999999</v>
      </c>
      <c r="TW4">
        <v>2934502</v>
      </c>
      <c r="TX4">
        <v>0.50811209999999996</v>
      </c>
      <c r="TY4">
        <v>1286124</v>
      </c>
      <c r="TZ4">
        <v>0.54598550000000001</v>
      </c>
      <c r="UA4">
        <v>13614</v>
      </c>
      <c r="UB4">
        <v>0.53760830000000004</v>
      </c>
      <c r="UC4">
        <v>327243</v>
      </c>
      <c r="UD4">
        <v>0.52042370000000004</v>
      </c>
      <c r="UE4"/>
      <c r="UF4"/>
      <c r="UG4">
        <v>544290</v>
      </c>
      <c r="UH4">
        <v>0.48274820000000002</v>
      </c>
      <c r="UI4">
        <v>93970</v>
      </c>
      <c r="UJ4">
        <v>0.51790990000000003</v>
      </c>
      <c r="UK4">
        <v>2277887</v>
      </c>
      <c r="UL4">
        <v>0.51431610000000005</v>
      </c>
      <c r="UM4">
        <v>1251133</v>
      </c>
      <c r="UN4">
        <v>0.48669560000000001</v>
      </c>
      <c r="UO4">
        <v>1196780</v>
      </c>
      <c r="UP4">
        <v>1196780</v>
      </c>
      <c r="UQ4">
        <v>1196780</v>
      </c>
      <c r="UR4">
        <v>1094074</v>
      </c>
      <c r="US4">
        <v>1094074</v>
      </c>
      <c r="UT4">
        <v>1094074</v>
      </c>
      <c r="UU4">
        <v>6.2419999999999999E-4</v>
      </c>
      <c r="UV4">
        <v>0.87188370000000004</v>
      </c>
      <c r="UW4">
        <v>0.1274921</v>
      </c>
      <c r="UX4">
        <v>1.6909999999999999E-4</v>
      </c>
      <c r="UY4">
        <v>0.88786949999999998</v>
      </c>
      <c r="UZ4">
        <v>0.1119613</v>
      </c>
      <c r="VA4">
        <v>91093</v>
      </c>
      <c r="VB4">
        <v>0</v>
      </c>
      <c r="VC4">
        <v>91093</v>
      </c>
      <c r="VD4">
        <v>0.80894250000000001</v>
      </c>
      <c r="VE4">
        <v>91093</v>
      </c>
      <c r="VF4">
        <v>0.19105749999999999</v>
      </c>
      <c r="VG4">
        <v>188089</v>
      </c>
      <c r="VH4">
        <v>1.2547000000000001E-3</v>
      </c>
      <c r="VI4">
        <v>188089</v>
      </c>
      <c r="VJ4">
        <v>0.86451630000000002</v>
      </c>
      <c r="VK4">
        <v>188089</v>
      </c>
      <c r="VL4">
        <v>0.13422899999999999</v>
      </c>
      <c r="VM4">
        <v>182900</v>
      </c>
      <c r="VN4">
        <v>9.1850000000000005E-4</v>
      </c>
      <c r="VO4">
        <v>182900</v>
      </c>
      <c r="VP4">
        <v>0.88427560000000005</v>
      </c>
      <c r="VQ4">
        <v>182900</v>
      </c>
      <c r="VR4">
        <v>0.1148059</v>
      </c>
      <c r="VS4">
        <v>319450</v>
      </c>
      <c r="VT4">
        <v>2.0029999999999999E-4</v>
      </c>
      <c r="VU4">
        <v>319450</v>
      </c>
      <c r="VV4">
        <v>0.88572229999999996</v>
      </c>
      <c r="VW4">
        <v>319450</v>
      </c>
      <c r="VX4">
        <v>0.11407730000000001</v>
      </c>
      <c r="VY4">
        <v>297985</v>
      </c>
      <c r="VZ4">
        <v>9.3630000000000004E-4</v>
      </c>
      <c r="WA4">
        <v>297985</v>
      </c>
      <c r="WB4">
        <v>0.87184589999999995</v>
      </c>
      <c r="WC4">
        <v>297985</v>
      </c>
      <c r="WD4">
        <v>0.12721779999999999</v>
      </c>
      <c r="WE4">
        <v>117263</v>
      </c>
      <c r="WF4">
        <v>0</v>
      </c>
      <c r="WG4">
        <v>117263</v>
      </c>
      <c r="WH4">
        <v>0.87566409999999995</v>
      </c>
      <c r="WI4">
        <v>117263</v>
      </c>
      <c r="WJ4">
        <v>0.1243359</v>
      </c>
      <c r="WK4">
        <v>87279</v>
      </c>
      <c r="WL4">
        <v>6.0720000000000001E-4</v>
      </c>
      <c r="WM4">
        <v>87279</v>
      </c>
      <c r="WN4">
        <v>0.85822469999999995</v>
      </c>
      <c r="WO4">
        <v>87279</v>
      </c>
      <c r="WP4">
        <v>0.14116799999999999</v>
      </c>
      <c r="WQ4">
        <v>174584</v>
      </c>
      <c r="WR4">
        <v>3.723E-4</v>
      </c>
      <c r="WS4">
        <v>174584</v>
      </c>
      <c r="WT4">
        <v>0.88850070000000003</v>
      </c>
      <c r="WU4">
        <v>174584</v>
      </c>
      <c r="WV4">
        <v>0.111127</v>
      </c>
      <c r="WW4">
        <v>157179</v>
      </c>
      <c r="WX4">
        <v>0</v>
      </c>
      <c r="WY4">
        <v>157179</v>
      </c>
      <c r="WZ4">
        <v>0.88959719999999998</v>
      </c>
      <c r="XA4">
        <v>157179</v>
      </c>
      <c r="XB4">
        <v>0.1104028</v>
      </c>
      <c r="XC4">
        <v>274419</v>
      </c>
      <c r="XD4">
        <v>2.4420000000000003E-4</v>
      </c>
      <c r="XE4">
        <v>274419</v>
      </c>
      <c r="XF4">
        <v>0.88951559999999996</v>
      </c>
      <c r="XG4">
        <v>274419</v>
      </c>
      <c r="XH4">
        <v>0.1102402</v>
      </c>
      <c r="XI4">
        <v>285500</v>
      </c>
      <c r="XJ4">
        <v>0</v>
      </c>
      <c r="XK4">
        <v>285500</v>
      </c>
      <c r="XL4">
        <v>0.88775130000000002</v>
      </c>
      <c r="XM4">
        <v>285500</v>
      </c>
      <c r="XN4">
        <v>0.11224870000000001</v>
      </c>
      <c r="XO4">
        <v>115113</v>
      </c>
      <c r="XP4">
        <v>0</v>
      </c>
      <c r="XQ4">
        <v>115113</v>
      </c>
      <c r="XR4">
        <v>0.90339930000000002</v>
      </c>
      <c r="XS4">
        <v>115113</v>
      </c>
      <c r="XT4">
        <v>9.6600699999999998E-2</v>
      </c>
      <c r="XU4">
        <v>3491449</v>
      </c>
      <c r="XV4">
        <v>0.49042560000000002</v>
      </c>
      <c r="XW4">
        <v>1712296</v>
      </c>
      <c r="XX4">
        <v>0.76425980000000004</v>
      </c>
      <c r="XY4">
        <v>1712296</v>
      </c>
      <c r="XZ4">
        <v>0.23574020000000001</v>
      </c>
      <c r="YA4">
        <v>1308639</v>
      </c>
      <c r="YB4">
        <v>0.81926180000000004</v>
      </c>
      <c r="YC4">
        <v>1072118</v>
      </c>
      <c r="YD4">
        <v>0.81467429999999996</v>
      </c>
      <c r="YE4">
        <v>1072118</v>
      </c>
      <c r="YF4">
        <v>1.7768599999999999E-2</v>
      </c>
      <c r="YG4">
        <v>1072118</v>
      </c>
      <c r="YH4">
        <v>4.1398400000000002E-2</v>
      </c>
      <c r="YI4">
        <v>1072118</v>
      </c>
      <c r="YJ4">
        <v>5.2301100000000003E-2</v>
      </c>
      <c r="YK4">
        <v>1072118</v>
      </c>
      <c r="YL4">
        <v>3.75565E-2</v>
      </c>
      <c r="YM4">
        <v>1072118</v>
      </c>
      <c r="YN4">
        <v>3.6301E-2</v>
      </c>
      <c r="YO4">
        <v>1308639</v>
      </c>
      <c r="YP4">
        <v>0.14691370000000001</v>
      </c>
      <c r="YQ4">
        <v>192257</v>
      </c>
      <c r="YR4">
        <v>0.47375650000000002</v>
      </c>
      <c r="YS4">
        <v>192257</v>
      </c>
      <c r="YT4">
        <v>2.6251300000000002E-2</v>
      </c>
      <c r="YU4">
        <v>192257</v>
      </c>
      <c r="YV4">
        <v>8.7554699999999999E-2</v>
      </c>
      <c r="YW4">
        <v>192257</v>
      </c>
      <c r="YX4">
        <v>0.13466349999999999</v>
      </c>
      <c r="YY4">
        <v>192257</v>
      </c>
      <c r="YZ4">
        <v>0.1122248</v>
      </c>
      <c r="ZA4">
        <v>192257</v>
      </c>
      <c r="ZB4">
        <v>0.16554920000000001</v>
      </c>
      <c r="ZC4">
        <v>1308639</v>
      </c>
      <c r="ZD4">
        <v>3.38245E-2</v>
      </c>
      <c r="ZE4">
        <v>44264</v>
      </c>
      <c r="ZF4">
        <v>0.293715</v>
      </c>
      <c r="ZG4">
        <v>44264</v>
      </c>
      <c r="ZH4">
        <v>1.4684600000000001E-2</v>
      </c>
      <c r="ZI4">
        <v>44264</v>
      </c>
      <c r="ZJ4">
        <v>7.0486199999999999E-2</v>
      </c>
      <c r="ZK4">
        <v>44264</v>
      </c>
      <c r="ZL4">
        <v>0.116867</v>
      </c>
      <c r="ZM4">
        <v>44264</v>
      </c>
      <c r="ZN4">
        <v>0.12493219999999999</v>
      </c>
      <c r="ZO4">
        <v>44264</v>
      </c>
      <c r="ZP4">
        <v>0.37931500000000001</v>
      </c>
      <c r="ZQ4">
        <v>3491449</v>
      </c>
      <c r="ZR4">
        <v>0.50957439999999998</v>
      </c>
      <c r="ZS4">
        <v>1779153</v>
      </c>
      <c r="ZT4">
        <v>0.69307359999999996</v>
      </c>
      <c r="ZU4">
        <v>1779153</v>
      </c>
      <c r="ZV4">
        <v>0.30692639999999999</v>
      </c>
      <c r="ZW4">
        <v>1233084</v>
      </c>
      <c r="ZX4">
        <v>0.70346140000000001</v>
      </c>
      <c r="ZY4">
        <v>867427</v>
      </c>
      <c r="ZZ4">
        <v>0.82659640000000001</v>
      </c>
      <c r="AAA4">
        <v>867427</v>
      </c>
      <c r="AAB4">
        <v>1.38905E-2</v>
      </c>
      <c r="AAC4">
        <v>867427</v>
      </c>
      <c r="AAD4">
        <v>4.8100900000000002E-2</v>
      </c>
      <c r="AAE4">
        <v>867427</v>
      </c>
      <c r="AAF4">
        <v>4.5233799999999998E-2</v>
      </c>
      <c r="AAG4">
        <v>867427</v>
      </c>
      <c r="AAH4">
        <v>3.1578500000000002E-2</v>
      </c>
      <c r="AAI4">
        <v>867427</v>
      </c>
      <c r="AAJ4">
        <v>3.4599999999999999E-2</v>
      </c>
      <c r="AAK4">
        <v>1233084</v>
      </c>
      <c r="AAL4">
        <v>0.24172080000000001</v>
      </c>
      <c r="AAM4">
        <v>298062</v>
      </c>
      <c r="AAN4">
        <v>0.55072430000000006</v>
      </c>
      <c r="AAO4">
        <v>298062</v>
      </c>
      <c r="AAP4">
        <v>2.93999E-2</v>
      </c>
      <c r="AAQ4">
        <v>298062</v>
      </c>
      <c r="AAR4">
        <v>8.7887800000000002E-2</v>
      </c>
      <c r="AAS4">
        <v>298062</v>
      </c>
      <c r="AAT4">
        <v>0.120646</v>
      </c>
      <c r="AAU4">
        <v>298062</v>
      </c>
      <c r="AAV4">
        <v>8.8602399999999998E-2</v>
      </c>
      <c r="AAW4">
        <v>298062</v>
      </c>
      <c r="AAX4">
        <v>0.1227396</v>
      </c>
      <c r="AAY4">
        <v>1233084</v>
      </c>
      <c r="AAZ4">
        <v>5.48178E-2</v>
      </c>
      <c r="ABA4">
        <v>67595</v>
      </c>
      <c r="ABB4">
        <v>0.28308309999999998</v>
      </c>
      <c r="ABC4">
        <v>67595</v>
      </c>
      <c r="ABD4">
        <v>2.7871900000000002E-2</v>
      </c>
      <c r="ABE4">
        <v>67595</v>
      </c>
      <c r="ABF4">
        <v>9.2477299999999998E-2</v>
      </c>
      <c r="ABG4">
        <v>67595</v>
      </c>
      <c r="ABH4">
        <v>0.12875210000000001</v>
      </c>
      <c r="ABI4">
        <v>67595</v>
      </c>
      <c r="ABJ4">
        <v>0.13514309999999999</v>
      </c>
      <c r="ABK4">
        <v>67595</v>
      </c>
      <c r="ABL4">
        <v>0.33267249999999998</v>
      </c>
      <c r="ABM4">
        <v>1922125</v>
      </c>
      <c r="ABN4">
        <v>0.61664560000000002</v>
      </c>
      <c r="ABO4">
        <v>1185270</v>
      </c>
      <c r="ABP4">
        <v>0.66862650000000001</v>
      </c>
      <c r="ABQ4">
        <v>1185270</v>
      </c>
      <c r="ABR4">
        <v>0.33137349999999999</v>
      </c>
      <c r="ABS4">
        <v>392767</v>
      </c>
      <c r="ABT4">
        <v>0.24415239999999999</v>
      </c>
      <c r="ABU4">
        <v>392767</v>
      </c>
      <c r="ABV4">
        <v>0.75584759999999995</v>
      </c>
      <c r="ABW4">
        <v>1922125</v>
      </c>
      <c r="ABX4">
        <v>0.38335439999999998</v>
      </c>
      <c r="ABY4">
        <v>736855</v>
      </c>
      <c r="ABZ4">
        <v>0.82227839999999996</v>
      </c>
      <c r="ACA4">
        <v>736855</v>
      </c>
      <c r="ACB4">
        <v>0.1777215</v>
      </c>
      <c r="ACC4">
        <v>4186433</v>
      </c>
      <c r="ACD4">
        <v>0.47830790000000001</v>
      </c>
      <c r="ACE4">
        <v>2002404</v>
      </c>
      <c r="ACF4">
        <v>0.43731140000000002</v>
      </c>
      <c r="ACG4">
        <v>875674</v>
      </c>
      <c r="ACH4">
        <v>0.12641920000000001</v>
      </c>
      <c r="ACI4">
        <v>875674</v>
      </c>
      <c r="ACJ4">
        <v>8.0772099999999999E-2</v>
      </c>
      <c r="ACK4">
        <v>875674</v>
      </c>
      <c r="ACL4">
        <v>0.1996782</v>
      </c>
      <c r="ACM4">
        <v>875674</v>
      </c>
      <c r="ACN4">
        <v>0.18363109999999999</v>
      </c>
      <c r="ACO4">
        <v>875674</v>
      </c>
      <c r="ACP4">
        <v>0.1111384</v>
      </c>
      <c r="ACQ4">
        <v>875674</v>
      </c>
      <c r="ACR4">
        <v>7.4082400000000007E-2</v>
      </c>
      <c r="ACS4">
        <v>875674</v>
      </c>
      <c r="ACT4">
        <v>5.19931E-2</v>
      </c>
      <c r="ACU4">
        <v>875674</v>
      </c>
      <c r="ACV4">
        <v>5.4570500000000001E-2</v>
      </c>
      <c r="ACW4">
        <v>875674</v>
      </c>
      <c r="ACX4">
        <v>4.5515800000000002E-2</v>
      </c>
      <c r="ACY4">
        <v>875674</v>
      </c>
      <c r="ACZ4">
        <v>2.9204899999999999E-2</v>
      </c>
      <c r="ADA4">
        <v>875674</v>
      </c>
      <c r="ADB4">
        <v>1.7077100000000001E-2</v>
      </c>
      <c r="ADC4">
        <v>875674</v>
      </c>
      <c r="ADD4">
        <v>1.7111399999999999E-2</v>
      </c>
      <c r="ADE4">
        <v>875674</v>
      </c>
      <c r="ADF4">
        <v>6.3242999999999997E-3</v>
      </c>
      <c r="ADG4">
        <v>875674</v>
      </c>
      <c r="ADH4">
        <v>2.4815000000000002E-3</v>
      </c>
      <c r="ADI4">
        <v>2002404</v>
      </c>
      <c r="ADJ4">
        <v>0.46042860000000002</v>
      </c>
      <c r="ADK4">
        <v>921964</v>
      </c>
      <c r="ADL4">
        <v>0.89837889999999998</v>
      </c>
      <c r="ADM4">
        <v>828273</v>
      </c>
      <c r="ADN4">
        <v>0</v>
      </c>
      <c r="ADO4">
        <v>828273</v>
      </c>
      <c r="ADP4">
        <v>1.883E-4</v>
      </c>
      <c r="ADQ4">
        <v>828273</v>
      </c>
      <c r="ADR4">
        <v>7.8416000000000007E-3</v>
      </c>
      <c r="ADS4">
        <v>828273</v>
      </c>
      <c r="ADT4">
        <v>5.0596799999999997E-2</v>
      </c>
      <c r="ADU4">
        <v>828273</v>
      </c>
      <c r="ADV4">
        <v>9.88478E-2</v>
      </c>
      <c r="ADW4">
        <v>828273</v>
      </c>
      <c r="ADX4">
        <v>0.1109212</v>
      </c>
      <c r="ADY4">
        <v>828273</v>
      </c>
      <c r="ADZ4">
        <v>0.1157541</v>
      </c>
      <c r="AEA4">
        <v>828273</v>
      </c>
      <c r="AEB4">
        <v>0.1143874</v>
      </c>
      <c r="AEC4">
        <v>828273</v>
      </c>
      <c r="AED4">
        <v>0.1185925</v>
      </c>
      <c r="AEE4">
        <v>828273</v>
      </c>
      <c r="AEF4">
        <v>0.10821790000000001</v>
      </c>
      <c r="AEG4">
        <v>828273</v>
      </c>
      <c r="AEH4">
        <v>8.9710799999999993E-2</v>
      </c>
      <c r="AEI4">
        <v>828273</v>
      </c>
      <c r="AEJ4">
        <v>0.1082711</v>
      </c>
      <c r="AEK4">
        <v>828273</v>
      </c>
      <c r="AEL4">
        <v>6.1004000000000003E-2</v>
      </c>
      <c r="AEM4">
        <v>828273</v>
      </c>
      <c r="AEN4">
        <v>1.5666300000000001E-2</v>
      </c>
      <c r="AEO4">
        <v>921964</v>
      </c>
      <c r="AEP4">
        <v>0.10162110000000001</v>
      </c>
      <c r="AEQ4">
        <v>93691</v>
      </c>
      <c r="AER4">
        <v>0.36573420000000001</v>
      </c>
      <c r="AES4">
        <v>34266</v>
      </c>
      <c r="AET4">
        <v>3.6186999999999999E-3</v>
      </c>
      <c r="AEU4">
        <v>34266</v>
      </c>
      <c r="AEV4">
        <v>0</v>
      </c>
      <c r="AEW4">
        <v>34266</v>
      </c>
      <c r="AEX4">
        <v>8.2296999999999995E-3</v>
      </c>
      <c r="AEY4">
        <v>34266</v>
      </c>
      <c r="AEZ4">
        <v>4.1586400000000003E-2</v>
      </c>
      <c r="AFA4">
        <v>34266</v>
      </c>
      <c r="AFB4">
        <v>0.1017919</v>
      </c>
      <c r="AFC4">
        <v>34266</v>
      </c>
      <c r="AFD4">
        <v>0.1054398</v>
      </c>
      <c r="AFE4">
        <v>34266</v>
      </c>
      <c r="AFF4">
        <v>9.8494100000000001E-2</v>
      </c>
      <c r="AFG4">
        <v>34266</v>
      </c>
      <c r="AFH4">
        <v>0.15875800000000001</v>
      </c>
      <c r="AFI4">
        <v>34266</v>
      </c>
      <c r="AFJ4">
        <v>0.1315006</v>
      </c>
      <c r="AFK4">
        <v>34266</v>
      </c>
      <c r="AFL4">
        <v>0.12814449999999999</v>
      </c>
      <c r="AFM4">
        <v>34266</v>
      </c>
      <c r="AFN4">
        <v>0.1003619</v>
      </c>
      <c r="AFO4">
        <v>34266</v>
      </c>
      <c r="AFP4">
        <v>8.8455000000000006E-2</v>
      </c>
      <c r="AFQ4">
        <v>34266</v>
      </c>
      <c r="AFR4">
        <v>2.7870200000000001E-2</v>
      </c>
      <c r="AFS4">
        <v>34266</v>
      </c>
      <c r="AFT4">
        <v>5.7491E-3</v>
      </c>
      <c r="AFU4">
        <v>93691</v>
      </c>
      <c r="AFV4">
        <v>0.63426579999999999</v>
      </c>
      <c r="AFW4">
        <v>59425</v>
      </c>
      <c r="AFX4">
        <v>3.1805000000000002E-3</v>
      </c>
      <c r="AFY4">
        <v>59425</v>
      </c>
      <c r="AFZ4">
        <v>4.4425999999999997E-3</v>
      </c>
      <c r="AGA4">
        <v>59425</v>
      </c>
      <c r="AGB4">
        <v>5.6558700000000003E-2</v>
      </c>
      <c r="AGC4">
        <v>59425</v>
      </c>
      <c r="AGD4">
        <v>0.120589</v>
      </c>
      <c r="AGE4">
        <v>59425</v>
      </c>
      <c r="AGF4">
        <v>0.11311740000000001</v>
      </c>
      <c r="AGG4">
        <v>59425</v>
      </c>
      <c r="AGH4">
        <v>0.10234749999999999</v>
      </c>
      <c r="AGI4">
        <v>59425</v>
      </c>
      <c r="AGJ4">
        <v>0.1036432</v>
      </c>
      <c r="AGK4">
        <v>59425</v>
      </c>
      <c r="AGL4">
        <v>7.2864999999999999E-2</v>
      </c>
      <c r="AGM4">
        <v>59425</v>
      </c>
      <c r="AGN4">
        <v>0.1061338</v>
      </c>
      <c r="AGO4">
        <v>59425</v>
      </c>
      <c r="AGP4">
        <v>9.5885600000000001E-2</v>
      </c>
      <c r="AGQ4">
        <v>59425</v>
      </c>
      <c r="AGR4">
        <v>4.7555699999999999E-2</v>
      </c>
      <c r="AGS4">
        <v>59425</v>
      </c>
      <c r="AGT4">
        <v>0.10901139999999999</v>
      </c>
      <c r="AGU4">
        <v>59425</v>
      </c>
      <c r="AGV4">
        <v>5.2334899999999997E-2</v>
      </c>
      <c r="AGW4">
        <v>59425</v>
      </c>
      <c r="AGX4">
        <v>1.2334899999999999E-2</v>
      </c>
      <c r="AGY4">
        <v>2002404</v>
      </c>
      <c r="AGZ4">
        <v>2.5890400000000001E-2</v>
      </c>
      <c r="AHA4">
        <v>51843</v>
      </c>
      <c r="AHB4">
        <v>0</v>
      </c>
      <c r="AHC4">
        <v>51843</v>
      </c>
      <c r="AHD4">
        <v>0</v>
      </c>
      <c r="AHE4">
        <v>51843</v>
      </c>
      <c r="AHF4">
        <v>2.9512000000000002E-3</v>
      </c>
      <c r="AHG4">
        <v>51843</v>
      </c>
      <c r="AHH4">
        <v>4.6487000000000004E-3</v>
      </c>
      <c r="AHI4">
        <v>51843</v>
      </c>
      <c r="AHJ4">
        <v>1.41967E-2</v>
      </c>
      <c r="AHK4">
        <v>51843</v>
      </c>
      <c r="AHL4">
        <v>9.1044000000000003E-3</v>
      </c>
      <c r="AHM4">
        <v>51843</v>
      </c>
      <c r="AHN4">
        <v>2.3146799999999999E-2</v>
      </c>
      <c r="AHO4">
        <v>51843</v>
      </c>
      <c r="AHP4">
        <v>2.2066599999999999E-2</v>
      </c>
      <c r="AHQ4">
        <v>51843</v>
      </c>
      <c r="AHR4">
        <v>4.0796300000000001E-2</v>
      </c>
      <c r="AHS4">
        <v>51843</v>
      </c>
      <c r="AHT4">
        <v>6.9266800000000003E-2</v>
      </c>
      <c r="AHU4">
        <v>51843</v>
      </c>
      <c r="AHV4">
        <v>8.1862500000000005E-2</v>
      </c>
      <c r="AHW4">
        <v>51843</v>
      </c>
      <c r="AHX4">
        <v>0.231796</v>
      </c>
      <c r="AHY4">
        <v>51843</v>
      </c>
      <c r="AHZ4">
        <v>0.30125570000000002</v>
      </c>
      <c r="AIA4">
        <v>51843</v>
      </c>
      <c r="AIB4">
        <v>0.19890820000000001</v>
      </c>
      <c r="AIC4">
        <v>2002404</v>
      </c>
      <c r="AID4">
        <v>7.6369699999999999E-2</v>
      </c>
      <c r="AIE4">
        <v>152923</v>
      </c>
      <c r="AIF4">
        <v>6.8659999999999999E-4</v>
      </c>
      <c r="AIG4">
        <v>152923</v>
      </c>
      <c r="AIH4">
        <v>0</v>
      </c>
      <c r="AII4">
        <v>152923</v>
      </c>
      <c r="AIJ4">
        <v>2.4979999999999998E-3</v>
      </c>
      <c r="AIK4">
        <v>152923</v>
      </c>
      <c r="AIL4">
        <v>2.0794799999999999E-2</v>
      </c>
      <c r="AIM4">
        <v>152923</v>
      </c>
      <c r="AIN4">
        <v>5.7421100000000003E-2</v>
      </c>
      <c r="AIO4">
        <v>152923</v>
      </c>
      <c r="AIP4">
        <v>9.9180599999999994E-2</v>
      </c>
      <c r="AIQ4">
        <v>152923</v>
      </c>
      <c r="AIR4">
        <v>0.1088914</v>
      </c>
      <c r="AIS4">
        <v>152923</v>
      </c>
      <c r="AIT4">
        <v>0.1325373</v>
      </c>
      <c r="AIU4">
        <v>152923</v>
      </c>
      <c r="AIV4">
        <v>0.14414440000000001</v>
      </c>
      <c r="AIW4">
        <v>152923</v>
      </c>
      <c r="AIX4">
        <v>0.15386169999999999</v>
      </c>
      <c r="AIY4">
        <v>152923</v>
      </c>
      <c r="AIZ4">
        <v>0.11540449999999999</v>
      </c>
      <c r="AJA4">
        <v>152923</v>
      </c>
      <c r="AJB4">
        <v>0.1143647</v>
      </c>
      <c r="AJC4">
        <v>152923</v>
      </c>
      <c r="AJD4">
        <v>4.0144399999999997E-2</v>
      </c>
      <c r="AJE4">
        <v>152923</v>
      </c>
      <c r="AJF4">
        <v>1.00704E-2</v>
      </c>
      <c r="AJG4">
        <v>4186433</v>
      </c>
      <c r="AJH4">
        <v>0.52169209999999999</v>
      </c>
      <c r="AJI4">
        <v>2184029</v>
      </c>
      <c r="AJJ4">
        <v>0.37710539999999998</v>
      </c>
      <c r="AJK4">
        <v>823609</v>
      </c>
      <c r="AJL4">
        <v>0.1283048</v>
      </c>
      <c r="AJM4">
        <v>823609</v>
      </c>
      <c r="AJN4">
        <v>8.2575599999999999E-2</v>
      </c>
      <c r="AJO4">
        <v>823609</v>
      </c>
      <c r="AJP4">
        <v>0.20336960000000001</v>
      </c>
      <c r="AJQ4">
        <v>823609</v>
      </c>
      <c r="AJR4">
        <v>0.17991299999999999</v>
      </c>
      <c r="AJS4">
        <v>823609</v>
      </c>
      <c r="AJT4">
        <v>9.9224300000000001E-2</v>
      </c>
      <c r="AJU4">
        <v>823609</v>
      </c>
      <c r="AJV4">
        <v>7.0767800000000006E-2</v>
      </c>
      <c r="AJW4">
        <v>823609</v>
      </c>
      <c r="AJX4">
        <v>5.1352000000000002E-2</v>
      </c>
      <c r="AJY4">
        <v>823609</v>
      </c>
      <c r="AJZ4">
        <v>5.0550699999999997E-2</v>
      </c>
      <c r="AKA4">
        <v>823609</v>
      </c>
      <c r="AKB4">
        <v>4.6566999999999997E-2</v>
      </c>
      <c r="AKC4">
        <v>823609</v>
      </c>
      <c r="AKD4">
        <v>3.22847E-2</v>
      </c>
      <c r="AKE4">
        <v>823609</v>
      </c>
      <c r="AKF4">
        <v>1.8104499999999999E-2</v>
      </c>
      <c r="AKG4">
        <v>823609</v>
      </c>
      <c r="AKH4">
        <v>2.16838E-2</v>
      </c>
      <c r="AKI4">
        <v>823609</v>
      </c>
      <c r="AKJ4">
        <v>9.4996999999999998E-3</v>
      </c>
      <c r="AKK4">
        <v>823609</v>
      </c>
      <c r="AKL4">
        <v>5.8025000000000004E-3</v>
      </c>
      <c r="AKM4">
        <v>2184029</v>
      </c>
      <c r="AKN4">
        <v>0.42436249999999998</v>
      </c>
      <c r="AKO4">
        <v>926820</v>
      </c>
      <c r="AKP4">
        <v>0.88182280000000002</v>
      </c>
      <c r="AKQ4">
        <v>817291</v>
      </c>
      <c r="AKR4">
        <v>0</v>
      </c>
      <c r="AKS4">
        <v>817291</v>
      </c>
      <c r="AKT4">
        <v>9.9960000000000001E-4</v>
      </c>
      <c r="AKU4">
        <v>817291</v>
      </c>
      <c r="AKV4">
        <v>1.7376900000000001E-2</v>
      </c>
      <c r="AKW4">
        <v>817291</v>
      </c>
      <c r="AKX4">
        <v>7.0314000000000002E-2</v>
      </c>
      <c r="AKY4">
        <v>817291</v>
      </c>
      <c r="AKZ4">
        <v>0.1157397</v>
      </c>
      <c r="ALA4">
        <v>817291</v>
      </c>
      <c r="ALB4">
        <v>0.1184364</v>
      </c>
      <c r="ALC4">
        <v>817291</v>
      </c>
      <c r="ALD4">
        <v>0.11856120000000001</v>
      </c>
      <c r="ALE4">
        <v>817291</v>
      </c>
      <c r="ALF4">
        <v>0.11756030000000001</v>
      </c>
      <c r="ALG4">
        <v>817291</v>
      </c>
      <c r="ALH4">
        <v>0.114882</v>
      </c>
      <c r="ALI4">
        <v>817291</v>
      </c>
      <c r="ALJ4">
        <v>0.1025669</v>
      </c>
      <c r="ALK4">
        <v>817291</v>
      </c>
      <c r="ALL4">
        <v>8.0300700000000003E-2</v>
      </c>
      <c r="ALM4">
        <v>817291</v>
      </c>
      <c r="ALN4">
        <v>9.6534800000000004E-2</v>
      </c>
      <c r="ALO4">
        <v>817291</v>
      </c>
      <c r="ALP4">
        <v>4.0569399999999999E-2</v>
      </c>
      <c r="ALQ4">
        <v>817291</v>
      </c>
      <c r="ALR4">
        <v>6.1580999999999997E-3</v>
      </c>
      <c r="ALS4">
        <v>926820</v>
      </c>
      <c r="ALT4">
        <v>0.1181772</v>
      </c>
      <c r="ALU4">
        <v>109529</v>
      </c>
      <c r="ALV4">
        <v>0.51647509999999996</v>
      </c>
      <c r="ALW4">
        <v>56569</v>
      </c>
      <c r="ALX4">
        <v>2.4924999999999999E-3</v>
      </c>
      <c r="ALY4">
        <v>56569</v>
      </c>
      <c r="ALZ4">
        <v>9.3689999999999995E-4</v>
      </c>
      <c r="AMA4">
        <v>56569</v>
      </c>
      <c r="AMB4">
        <v>2.0930199999999999E-2</v>
      </c>
      <c r="AMC4">
        <v>56569</v>
      </c>
      <c r="AMD4">
        <v>5.9201999999999998E-2</v>
      </c>
      <c r="AME4">
        <v>56569</v>
      </c>
      <c r="AMF4">
        <v>0.11060830000000001</v>
      </c>
      <c r="AMG4">
        <v>56569</v>
      </c>
      <c r="AMH4">
        <v>0.1205784</v>
      </c>
      <c r="AMI4">
        <v>56569</v>
      </c>
      <c r="AMJ4">
        <v>0.12908130000000001</v>
      </c>
      <c r="AMK4">
        <v>56569</v>
      </c>
      <c r="AML4">
        <v>0.12222239999999999</v>
      </c>
      <c r="AMM4">
        <v>56569</v>
      </c>
      <c r="AMN4">
        <v>0.14833209999999999</v>
      </c>
      <c r="AMO4">
        <v>56569</v>
      </c>
      <c r="AMP4">
        <v>0.1102017</v>
      </c>
      <c r="AMQ4">
        <v>56569</v>
      </c>
      <c r="AMR4">
        <v>8.2147499999999998E-2</v>
      </c>
      <c r="AMS4">
        <v>56569</v>
      </c>
      <c r="AMT4">
        <v>5.3297700000000003E-2</v>
      </c>
      <c r="AMU4">
        <v>56569</v>
      </c>
      <c r="AMV4">
        <v>3.3304500000000001E-2</v>
      </c>
      <c r="AMW4">
        <v>56569</v>
      </c>
      <c r="AMX4">
        <v>6.6644E-3</v>
      </c>
      <c r="AMY4">
        <v>109529</v>
      </c>
      <c r="AMZ4">
        <v>0.48352489999999998</v>
      </c>
      <c r="ANA4">
        <v>52960</v>
      </c>
      <c r="ANB4">
        <v>1.7937999999999999E-3</v>
      </c>
      <c r="ANC4">
        <v>52960</v>
      </c>
      <c r="AND4">
        <v>1.65597E-2</v>
      </c>
      <c r="ANE4">
        <v>52960</v>
      </c>
      <c r="ANF4">
        <v>8.7934300000000007E-2</v>
      </c>
      <c r="ANG4">
        <v>52960</v>
      </c>
      <c r="ANH4">
        <v>0.1238104</v>
      </c>
      <c r="ANI4">
        <v>52960</v>
      </c>
      <c r="ANJ4">
        <v>0.1178437</v>
      </c>
      <c r="ANK4">
        <v>52960</v>
      </c>
      <c r="ANL4">
        <v>9.7564200000000004E-2</v>
      </c>
      <c r="ANM4">
        <v>52960</v>
      </c>
      <c r="ANN4">
        <v>6.7107299999999995E-2</v>
      </c>
      <c r="ANO4">
        <v>52960</v>
      </c>
      <c r="ANP4">
        <v>0.10049089999999999</v>
      </c>
      <c r="ANQ4">
        <v>52960</v>
      </c>
      <c r="ANR4">
        <v>0.1058346</v>
      </c>
      <c r="ANS4">
        <v>52960</v>
      </c>
      <c r="ANT4">
        <v>0.1005287</v>
      </c>
      <c r="ANU4">
        <v>52960</v>
      </c>
      <c r="ANV4">
        <v>5.87424E-2</v>
      </c>
      <c r="ANW4">
        <v>52960</v>
      </c>
      <c r="ANX4">
        <v>6.19713E-2</v>
      </c>
      <c r="ANY4">
        <v>52960</v>
      </c>
      <c r="ANZ4">
        <v>4.31835E-2</v>
      </c>
      <c r="AOA4">
        <v>52960</v>
      </c>
      <c r="AOB4">
        <v>1.6635199999999999E-2</v>
      </c>
      <c r="AOC4">
        <v>2184029</v>
      </c>
      <c r="AOD4">
        <v>9.5095399999999997E-2</v>
      </c>
      <c r="AOE4">
        <v>207691</v>
      </c>
      <c r="AOF4">
        <v>1.7330000000000001E-4</v>
      </c>
      <c r="AOG4">
        <v>207691</v>
      </c>
      <c r="AOH4">
        <v>0</v>
      </c>
      <c r="AOI4">
        <v>207691</v>
      </c>
      <c r="AOJ4">
        <v>0</v>
      </c>
      <c r="AOK4">
        <v>207691</v>
      </c>
      <c r="AOL4">
        <v>0</v>
      </c>
      <c r="AOM4">
        <v>207691</v>
      </c>
      <c r="AON4">
        <v>1.2182E-3</v>
      </c>
      <c r="AOO4">
        <v>207691</v>
      </c>
      <c r="AOP4">
        <v>7.1403999999999999E-3</v>
      </c>
      <c r="AOQ4">
        <v>207691</v>
      </c>
      <c r="AOR4">
        <v>1.0510800000000001E-2</v>
      </c>
      <c r="AOS4">
        <v>207691</v>
      </c>
      <c r="AOT4">
        <v>1.92979E-2</v>
      </c>
      <c r="AOU4">
        <v>207691</v>
      </c>
      <c r="AOV4">
        <v>2.9635399999999999E-2</v>
      </c>
      <c r="AOW4">
        <v>207691</v>
      </c>
      <c r="AOX4">
        <v>6.4894499999999994E-2</v>
      </c>
      <c r="AOY4">
        <v>207691</v>
      </c>
      <c r="AOZ4">
        <v>8.9103500000000002E-2</v>
      </c>
      <c r="APA4">
        <v>207691</v>
      </c>
      <c r="APB4">
        <v>0.23453589999999999</v>
      </c>
      <c r="APC4">
        <v>207691</v>
      </c>
      <c r="APD4">
        <v>0.295487</v>
      </c>
      <c r="APE4">
        <v>207691</v>
      </c>
      <c r="APF4">
        <v>0.248003</v>
      </c>
      <c r="APG4">
        <v>2184029</v>
      </c>
      <c r="APH4">
        <v>0.1034368</v>
      </c>
      <c r="API4">
        <v>225909</v>
      </c>
      <c r="APJ4">
        <v>0</v>
      </c>
      <c r="APK4">
        <v>225909</v>
      </c>
      <c r="APL4">
        <v>0</v>
      </c>
      <c r="APM4">
        <v>225909</v>
      </c>
      <c r="APN4">
        <v>2.3903000000000002E-3</v>
      </c>
      <c r="APO4">
        <v>225909</v>
      </c>
      <c r="APP4">
        <v>2.4323999999999998E-2</v>
      </c>
      <c r="APQ4">
        <v>225909</v>
      </c>
      <c r="APR4">
        <v>4.7151699999999998E-2</v>
      </c>
      <c r="APS4">
        <v>225909</v>
      </c>
      <c r="APT4">
        <v>6.4623399999999998E-2</v>
      </c>
      <c r="APU4">
        <v>225909</v>
      </c>
      <c r="APV4">
        <v>9.5321600000000006E-2</v>
      </c>
      <c r="APW4">
        <v>225909</v>
      </c>
      <c r="APX4">
        <v>0.1267192</v>
      </c>
      <c r="APY4">
        <v>225909</v>
      </c>
      <c r="APZ4">
        <v>0.15489420000000001</v>
      </c>
      <c r="AQA4">
        <v>225909</v>
      </c>
      <c r="AQB4">
        <v>0.1489936</v>
      </c>
      <c r="AQC4">
        <v>225909</v>
      </c>
      <c r="AQD4">
        <v>0.1219252</v>
      </c>
      <c r="AQE4">
        <v>225909</v>
      </c>
      <c r="AQF4">
        <v>0.1354572</v>
      </c>
      <c r="AQG4">
        <v>225909</v>
      </c>
      <c r="AQH4">
        <v>6.1033400000000002E-2</v>
      </c>
      <c r="AQI4">
        <v>225909</v>
      </c>
      <c r="AQJ4">
        <v>1.71662E-2</v>
      </c>
      <c r="AQK4">
        <v>538844</v>
      </c>
      <c r="AQL4">
        <v>0.2756865</v>
      </c>
      <c r="AQM4">
        <v>1922125</v>
      </c>
      <c r="AQN4">
        <v>0.586503</v>
      </c>
      <c r="AQO4">
        <v>1127332</v>
      </c>
      <c r="AQP4">
        <v>0.70286389999999999</v>
      </c>
      <c r="AQQ4">
        <v>792361</v>
      </c>
      <c r="AQR4">
        <v>0.77898330000000005</v>
      </c>
      <c r="AQS4">
        <v>617236</v>
      </c>
      <c r="AQT4">
        <v>0.42176089999999999</v>
      </c>
      <c r="AQU4">
        <v>617236</v>
      </c>
      <c r="AQV4">
        <v>0.57823910000000001</v>
      </c>
      <c r="AQW4">
        <v>792361</v>
      </c>
      <c r="AQX4">
        <v>0.22101670000000001</v>
      </c>
      <c r="AQY4">
        <v>175125</v>
      </c>
      <c r="AQZ4">
        <v>0.27370159999999999</v>
      </c>
      <c r="ARA4">
        <v>47932</v>
      </c>
      <c r="ARB4">
        <v>0.31930649999999999</v>
      </c>
      <c r="ARC4">
        <v>47932</v>
      </c>
      <c r="ARD4">
        <v>0.68069349999999995</v>
      </c>
      <c r="ARE4">
        <v>175125</v>
      </c>
      <c r="ARF4">
        <v>0.72629829999999995</v>
      </c>
      <c r="ARG4">
        <v>127193</v>
      </c>
      <c r="ARH4">
        <v>0.34352519999999998</v>
      </c>
      <c r="ARI4">
        <v>127193</v>
      </c>
      <c r="ARJ4">
        <v>0.65647480000000002</v>
      </c>
      <c r="ARK4">
        <v>1127332</v>
      </c>
      <c r="ARL4">
        <v>0.29713610000000001</v>
      </c>
      <c r="ARM4">
        <v>1922125</v>
      </c>
      <c r="ARN4">
        <v>0.413497</v>
      </c>
      <c r="ARO4">
        <v>794793</v>
      </c>
      <c r="ARP4">
        <v>0.49435390000000001</v>
      </c>
      <c r="ARQ4">
        <v>392909</v>
      </c>
      <c r="ARR4">
        <v>0.44607530000000001</v>
      </c>
      <c r="ARS4">
        <v>175267</v>
      </c>
      <c r="ART4">
        <v>0.5211306</v>
      </c>
      <c r="ARU4">
        <v>175267</v>
      </c>
      <c r="ARV4">
        <v>0.4788694</v>
      </c>
      <c r="ARW4">
        <v>392909</v>
      </c>
      <c r="ARX4">
        <v>0.55392470000000005</v>
      </c>
      <c r="ARY4">
        <v>217642</v>
      </c>
      <c r="ARZ4">
        <v>0.22037570000000001</v>
      </c>
      <c r="ASA4">
        <v>47963</v>
      </c>
      <c r="ASB4">
        <v>0.48629149999999999</v>
      </c>
      <c r="ASC4">
        <v>47963</v>
      </c>
      <c r="ASD4">
        <v>0.51370850000000001</v>
      </c>
      <c r="ASE4">
        <v>217642</v>
      </c>
      <c r="ASF4">
        <v>0.77962430000000005</v>
      </c>
      <c r="ASG4">
        <v>169679</v>
      </c>
      <c r="ASH4">
        <v>0.61797860000000004</v>
      </c>
      <c r="ASI4">
        <v>169679</v>
      </c>
      <c r="ASJ4">
        <v>0.38202130000000001</v>
      </c>
      <c r="ASK4">
        <v>794793</v>
      </c>
      <c r="ASL4">
        <v>0.50564609999999999</v>
      </c>
      <c r="ASM4">
        <v>1621969</v>
      </c>
      <c r="ASN4">
        <v>0.55078609999999995</v>
      </c>
      <c r="ASO4">
        <v>893358</v>
      </c>
      <c r="ASP4">
        <v>0.37611460000000002</v>
      </c>
      <c r="ASQ4">
        <v>336005</v>
      </c>
      <c r="ASR4">
        <v>0.49604920000000002</v>
      </c>
      <c r="ASS4">
        <v>166675</v>
      </c>
      <c r="AST4">
        <v>0.65157339999999997</v>
      </c>
      <c r="ASU4">
        <v>166675</v>
      </c>
      <c r="ASV4">
        <v>0.34842659999999998</v>
      </c>
      <c r="ASW4">
        <v>336005</v>
      </c>
      <c r="ASX4">
        <v>0.21320520000000001</v>
      </c>
      <c r="ASY4">
        <v>71638</v>
      </c>
      <c r="ASZ4">
        <v>0.55543149999999997</v>
      </c>
      <c r="ATA4">
        <v>71638</v>
      </c>
      <c r="ATB4">
        <v>0.33289590000000002</v>
      </c>
      <c r="ATC4">
        <v>71638</v>
      </c>
      <c r="ATD4">
        <v>0.1116726</v>
      </c>
      <c r="ATE4">
        <v>336005</v>
      </c>
      <c r="ATF4">
        <v>0.22290740000000001</v>
      </c>
      <c r="ATG4">
        <v>74898</v>
      </c>
      <c r="ATH4">
        <v>0.15519769999999999</v>
      </c>
      <c r="ATI4">
        <v>74898</v>
      </c>
      <c r="ATJ4">
        <v>0.27379900000000001</v>
      </c>
      <c r="ATK4">
        <v>74898</v>
      </c>
      <c r="ATL4">
        <v>0.32273220000000002</v>
      </c>
      <c r="ATM4">
        <v>74898</v>
      </c>
      <c r="ATN4">
        <v>0.24827099999999999</v>
      </c>
      <c r="ATO4">
        <v>336005</v>
      </c>
      <c r="ATP4">
        <v>6.7838300000000004E-2</v>
      </c>
      <c r="ATQ4">
        <v>22794</v>
      </c>
      <c r="ATR4">
        <v>0.73729929999999999</v>
      </c>
      <c r="ATS4">
        <v>22794</v>
      </c>
      <c r="ATT4">
        <v>0.26270070000000001</v>
      </c>
      <c r="ATU4">
        <v>893358</v>
      </c>
      <c r="ATV4">
        <v>0.1436557</v>
      </c>
      <c r="ATW4">
        <v>128336</v>
      </c>
      <c r="ATX4">
        <v>3.3420100000000001E-2</v>
      </c>
      <c r="ATY4">
        <v>128336</v>
      </c>
      <c r="ATZ4">
        <v>0.2936666</v>
      </c>
      <c r="AUA4">
        <v>37688</v>
      </c>
      <c r="AUB4">
        <v>0.57432070000000002</v>
      </c>
      <c r="AUC4">
        <v>37688</v>
      </c>
      <c r="AUD4">
        <v>0.42567929999999998</v>
      </c>
      <c r="AUE4">
        <v>128336</v>
      </c>
      <c r="AUF4">
        <v>0.32249719999999998</v>
      </c>
      <c r="AUG4">
        <v>128336</v>
      </c>
      <c r="AUH4">
        <v>0.26474259999999999</v>
      </c>
      <c r="AUI4">
        <v>128336</v>
      </c>
      <c r="AUJ4">
        <v>8.56735E-2</v>
      </c>
      <c r="AUK4">
        <v>893358</v>
      </c>
      <c r="AUL4">
        <v>0.18673029999999999</v>
      </c>
      <c r="AUM4">
        <v>166817</v>
      </c>
      <c r="AUN4">
        <v>0.59285929999999998</v>
      </c>
      <c r="AUO4">
        <v>166817</v>
      </c>
      <c r="AUP4">
        <v>0.40714080000000002</v>
      </c>
      <c r="AUQ4">
        <v>893358</v>
      </c>
      <c r="AUR4">
        <v>0.10864509999999999</v>
      </c>
      <c r="AUS4">
        <v>97059</v>
      </c>
      <c r="AUT4">
        <v>1.2198799999999999E-2</v>
      </c>
      <c r="AUU4">
        <v>97059</v>
      </c>
      <c r="AUV4">
        <v>0.55218990000000001</v>
      </c>
      <c r="AUW4">
        <v>97059</v>
      </c>
      <c r="AUX4">
        <v>0.43561129999999998</v>
      </c>
      <c r="AUY4">
        <v>893358</v>
      </c>
      <c r="AUZ4">
        <v>0.1848542</v>
      </c>
      <c r="AVA4">
        <v>165141</v>
      </c>
      <c r="AVB4">
        <v>0.48772260000000001</v>
      </c>
      <c r="AVC4">
        <v>165141</v>
      </c>
      <c r="AVD4">
        <v>0.31882450000000001</v>
      </c>
      <c r="AVE4">
        <v>165141</v>
      </c>
      <c r="AVF4">
        <v>0.19345290000000001</v>
      </c>
      <c r="AVG4">
        <v>1621969</v>
      </c>
      <c r="AVH4">
        <v>0.4492139</v>
      </c>
      <c r="AVI4">
        <v>728611</v>
      </c>
      <c r="AVJ4">
        <v>0.4579645</v>
      </c>
      <c r="AVK4">
        <v>333678</v>
      </c>
      <c r="AVL4">
        <v>0.42580869999999998</v>
      </c>
      <c r="AVM4">
        <v>142083</v>
      </c>
      <c r="AVN4">
        <v>0.58042839999999996</v>
      </c>
      <c r="AVO4">
        <v>142083</v>
      </c>
      <c r="AVP4">
        <v>0.41957169999999999</v>
      </c>
      <c r="AVQ4">
        <v>333678</v>
      </c>
      <c r="AVR4">
        <v>7.6019400000000001E-2</v>
      </c>
      <c r="AVS4">
        <v>25366</v>
      </c>
      <c r="AVT4">
        <v>0.59165809999999996</v>
      </c>
      <c r="AVU4">
        <v>25366</v>
      </c>
      <c r="AVV4">
        <v>0.1481905</v>
      </c>
      <c r="AVW4">
        <v>25366</v>
      </c>
      <c r="AVX4">
        <v>0.26015139999999998</v>
      </c>
      <c r="AVY4">
        <v>333678</v>
      </c>
      <c r="AVZ4">
        <v>0.31418309999999999</v>
      </c>
      <c r="AWA4">
        <v>104836</v>
      </c>
      <c r="AWB4">
        <v>0.16722310000000001</v>
      </c>
      <c r="AWC4">
        <v>104836</v>
      </c>
      <c r="AWD4">
        <v>0.1459232</v>
      </c>
      <c r="AWE4">
        <v>104836</v>
      </c>
      <c r="AWF4">
        <v>0.53378610000000004</v>
      </c>
      <c r="AWG4">
        <v>104836</v>
      </c>
      <c r="AWH4">
        <v>0.1530676</v>
      </c>
      <c r="AWI4">
        <v>333678</v>
      </c>
      <c r="AWJ4">
        <v>0.18398870000000001</v>
      </c>
      <c r="AWK4">
        <v>61393</v>
      </c>
      <c r="AWL4">
        <v>0.72475690000000004</v>
      </c>
      <c r="AWM4">
        <v>61393</v>
      </c>
      <c r="AWN4">
        <v>0.27524310000000002</v>
      </c>
      <c r="AWO4">
        <v>728611</v>
      </c>
      <c r="AWP4">
        <v>0.15257519999999999</v>
      </c>
      <c r="AWQ4">
        <v>111168</v>
      </c>
      <c r="AWR4">
        <v>0.21374860000000001</v>
      </c>
      <c r="AWS4">
        <v>111168</v>
      </c>
      <c r="AWT4">
        <v>9.6322699999999997E-2</v>
      </c>
      <c r="AWU4">
        <v>10708</v>
      </c>
      <c r="AWV4">
        <v>0.4618043</v>
      </c>
      <c r="AWW4">
        <v>10708</v>
      </c>
      <c r="AWX4">
        <v>0.53819570000000005</v>
      </c>
      <c r="AWY4">
        <v>111168</v>
      </c>
      <c r="AWZ4">
        <v>0.2249478</v>
      </c>
      <c r="AXA4">
        <v>111168</v>
      </c>
      <c r="AXB4">
        <v>0.18988379999999999</v>
      </c>
      <c r="AXC4">
        <v>111168</v>
      </c>
      <c r="AXD4">
        <v>0.27509719999999999</v>
      </c>
      <c r="AXE4">
        <v>728611</v>
      </c>
      <c r="AXF4">
        <v>0.31023689999999998</v>
      </c>
      <c r="AXG4">
        <v>226042</v>
      </c>
      <c r="AXH4">
        <v>0.29534779999999999</v>
      </c>
      <c r="AXI4">
        <v>226042</v>
      </c>
      <c r="AXJ4">
        <v>0.70465219999999995</v>
      </c>
      <c r="AXK4">
        <v>728611</v>
      </c>
      <c r="AXL4">
        <v>6.2694999999999999E-3</v>
      </c>
      <c r="AXM4">
        <v>4568</v>
      </c>
      <c r="AXN4">
        <v>0.15126970000000001</v>
      </c>
      <c r="AXO4">
        <v>4568</v>
      </c>
      <c r="AXP4">
        <v>0.13244310000000001</v>
      </c>
      <c r="AXQ4">
        <v>4568</v>
      </c>
      <c r="AXR4">
        <v>0.71628720000000001</v>
      </c>
      <c r="AXS4">
        <v>728611</v>
      </c>
      <c r="AXT4">
        <v>7.2953900000000002E-2</v>
      </c>
      <c r="AXU4">
        <v>53155</v>
      </c>
      <c r="AXV4">
        <v>0.67965379999999997</v>
      </c>
      <c r="AXW4">
        <v>53155</v>
      </c>
      <c r="AXX4">
        <v>0.13778570000000001</v>
      </c>
      <c r="AXY4">
        <v>53155</v>
      </c>
      <c r="AXZ4">
        <v>0.18256040000000001</v>
      </c>
      <c r="AYA4">
        <v>256676</v>
      </c>
      <c r="AYB4">
        <v>3.5196100000000001E-2</v>
      </c>
      <c r="AYC4">
        <v>256676</v>
      </c>
      <c r="AYD4">
        <v>0.1727119</v>
      </c>
      <c r="AYE4">
        <v>256676</v>
      </c>
      <c r="AYF4">
        <v>0.28887390000000002</v>
      </c>
      <c r="AYG4">
        <v>256676</v>
      </c>
      <c r="AYH4">
        <v>0.33355669999999998</v>
      </c>
      <c r="AYI4">
        <v>256676</v>
      </c>
      <c r="AYJ4">
        <v>3.73818E-2</v>
      </c>
      <c r="AYK4">
        <v>256676</v>
      </c>
      <c r="AYL4">
        <v>0.1211294</v>
      </c>
      <c r="AYM4">
        <v>256676</v>
      </c>
      <c r="AYN4">
        <v>1.1150200000000001E-2</v>
      </c>
      <c r="AYO4">
        <v>413642</v>
      </c>
      <c r="AYP4">
        <v>5.3500399999999997E-2</v>
      </c>
      <c r="AYQ4">
        <v>413642</v>
      </c>
      <c r="AYR4">
        <v>8.6913299999999999E-2</v>
      </c>
      <c r="AYS4">
        <v>413642</v>
      </c>
      <c r="AYT4">
        <v>0.23880799999999999</v>
      </c>
      <c r="AYU4">
        <v>413642</v>
      </c>
      <c r="AYV4">
        <v>0.18114459999999999</v>
      </c>
      <c r="AYW4">
        <v>413642</v>
      </c>
      <c r="AYX4">
        <v>5.75764E-2</v>
      </c>
      <c r="AYY4">
        <v>413642</v>
      </c>
      <c r="AYZ4">
        <v>0.2709493</v>
      </c>
      <c r="AZA4">
        <v>413642</v>
      </c>
      <c r="AZB4">
        <v>0.1111082</v>
      </c>
      <c r="AZC4">
        <v>350870</v>
      </c>
      <c r="AZD4">
        <v>6.5642500000000006E-2</v>
      </c>
      <c r="AZE4">
        <v>350870</v>
      </c>
      <c r="AZF4">
        <v>8.7083499999999994E-2</v>
      </c>
      <c r="AZG4">
        <v>350870</v>
      </c>
      <c r="AZH4">
        <v>0.2488928</v>
      </c>
      <c r="AZI4">
        <v>350870</v>
      </c>
      <c r="AZJ4">
        <v>0.18346970000000001</v>
      </c>
      <c r="AZK4">
        <v>350870</v>
      </c>
      <c r="AZL4">
        <v>5.64483E-2</v>
      </c>
      <c r="AZM4">
        <v>350870</v>
      </c>
      <c r="AZN4">
        <v>0.20719360000000001</v>
      </c>
      <c r="AZO4">
        <v>350870</v>
      </c>
      <c r="AZP4">
        <v>0.15126970000000001</v>
      </c>
      <c r="AZQ4">
        <v>616600</v>
      </c>
      <c r="AZR4">
        <v>8.1341200000000002E-2</v>
      </c>
      <c r="AZS4">
        <v>616600</v>
      </c>
      <c r="AZT4">
        <v>8.0723299999999998E-2</v>
      </c>
      <c r="AZU4">
        <v>616600</v>
      </c>
      <c r="AZV4">
        <v>0.2622429</v>
      </c>
      <c r="AZW4">
        <v>616600</v>
      </c>
      <c r="AZX4">
        <v>0.19774079999999999</v>
      </c>
      <c r="AZY4">
        <v>616600</v>
      </c>
      <c r="AZZ4">
        <v>5.9610799999999999E-2</v>
      </c>
      <c r="BAA4">
        <v>616600</v>
      </c>
      <c r="BAB4">
        <v>0.17375119999999999</v>
      </c>
      <c r="BAC4">
        <v>616600</v>
      </c>
      <c r="BAD4">
        <v>0.14458969999999999</v>
      </c>
      <c r="BAE4">
        <v>253496</v>
      </c>
      <c r="BAF4">
        <v>0.13630590000000001</v>
      </c>
      <c r="BAG4">
        <v>253496</v>
      </c>
      <c r="BAH4">
        <v>0.1137572</v>
      </c>
      <c r="BAI4">
        <v>253496</v>
      </c>
      <c r="BAJ4">
        <v>0.26264320000000002</v>
      </c>
      <c r="BAK4">
        <v>253496</v>
      </c>
      <c r="BAL4">
        <v>0.17991209999999999</v>
      </c>
      <c r="BAM4">
        <v>253496</v>
      </c>
      <c r="BAN4">
        <v>3.1322000000000003E-2</v>
      </c>
      <c r="BAO4">
        <v>253496</v>
      </c>
      <c r="BAP4">
        <v>0.15623919999999999</v>
      </c>
      <c r="BAQ4">
        <v>253496</v>
      </c>
      <c r="BAR4">
        <v>0.11982039999999999</v>
      </c>
      <c r="BAS4">
        <v>257837</v>
      </c>
      <c r="BAT4">
        <v>1.44587E-2</v>
      </c>
      <c r="BAU4">
        <v>257837</v>
      </c>
      <c r="BAV4">
        <v>0.1107134</v>
      </c>
      <c r="BAW4">
        <v>257837</v>
      </c>
      <c r="BAX4">
        <v>0.2459151</v>
      </c>
      <c r="BAY4">
        <v>257837</v>
      </c>
      <c r="BAZ4">
        <v>0.39305839999999997</v>
      </c>
      <c r="BBA4">
        <v>257837</v>
      </c>
      <c r="BBB4">
        <v>5.2680600000000001E-2</v>
      </c>
      <c r="BBC4">
        <v>257837</v>
      </c>
      <c r="BBD4">
        <v>0.16897499999999999</v>
      </c>
      <c r="BBE4">
        <v>257837</v>
      </c>
      <c r="BBF4">
        <v>1.41989E-2</v>
      </c>
      <c r="BBG4">
        <v>420764</v>
      </c>
      <c r="BBH4">
        <v>3.4808100000000002E-2</v>
      </c>
      <c r="BBI4">
        <v>420764</v>
      </c>
      <c r="BBJ4">
        <v>5.9876800000000001E-2</v>
      </c>
      <c r="BBK4">
        <v>420764</v>
      </c>
      <c r="BBL4">
        <v>0.17286409999999999</v>
      </c>
      <c r="BBM4">
        <v>420764</v>
      </c>
      <c r="BBN4">
        <v>0.18978100000000001</v>
      </c>
      <c r="BBO4">
        <v>420764</v>
      </c>
      <c r="BBP4">
        <v>6.5778000000000003E-2</v>
      </c>
      <c r="BBQ4">
        <v>420764</v>
      </c>
      <c r="BBR4">
        <v>0.31231049999999999</v>
      </c>
      <c r="BBS4">
        <v>420764</v>
      </c>
      <c r="BBT4">
        <v>0.16458159999999999</v>
      </c>
      <c r="BBU4">
        <v>356918</v>
      </c>
      <c r="BBV4">
        <v>5.5191900000000002E-2</v>
      </c>
      <c r="BBW4">
        <v>356918</v>
      </c>
      <c r="BBX4">
        <v>6.6188899999999995E-2</v>
      </c>
      <c r="BBY4">
        <v>356918</v>
      </c>
      <c r="BBZ4">
        <v>0.21915960000000001</v>
      </c>
      <c r="BCA4">
        <v>356918</v>
      </c>
      <c r="BCB4">
        <v>0.2003962</v>
      </c>
      <c r="BCC4">
        <v>356918</v>
      </c>
      <c r="BCD4">
        <v>7.4386800000000003E-2</v>
      </c>
      <c r="BCE4">
        <v>356918</v>
      </c>
      <c r="BCF4">
        <v>0.2305712</v>
      </c>
      <c r="BCG4">
        <v>356918</v>
      </c>
      <c r="BCH4">
        <v>0.1541054</v>
      </c>
      <c r="BCI4">
        <v>673434</v>
      </c>
      <c r="BCJ4">
        <v>7.7106300000000003E-2</v>
      </c>
      <c r="BCK4">
        <v>673434</v>
      </c>
      <c r="BCL4">
        <v>7.3867699999999994E-2</v>
      </c>
      <c r="BCM4">
        <v>673434</v>
      </c>
      <c r="BCN4">
        <v>0.24017050000000001</v>
      </c>
      <c r="BCO4">
        <v>673434</v>
      </c>
      <c r="BCP4">
        <v>0.2165736</v>
      </c>
      <c r="BCQ4">
        <v>673434</v>
      </c>
      <c r="BCR4">
        <v>7.3738499999999998E-2</v>
      </c>
      <c r="BCS4">
        <v>673434</v>
      </c>
      <c r="BCT4">
        <v>0.18921969999999999</v>
      </c>
      <c r="BCU4">
        <v>673434</v>
      </c>
      <c r="BCV4">
        <v>0.12932370000000001</v>
      </c>
      <c r="BCW4">
        <v>369131</v>
      </c>
      <c r="BCX4">
        <v>0.1461324</v>
      </c>
      <c r="BCY4">
        <v>369131</v>
      </c>
      <c r="BCZ4">
        <v>0.1149186</v>
      </c>
      <c r="BDA4">
        <v>369131</v>
      </c>
      <c r="BDB4">
        <v>0.32781589999999999</v>
      </c>
      <c r="BDC4">
        <v>369131</v>
      </c>
      <c r="BDD4">
        <v>0.1826208</v>
      </c>
      <c r="BDE4">
        <v>369131</v>
      </c>
      <c r="BDF4">
        <v>4.2870999999999999E-2</v>
      </c>
      <c r="BDG4">
        <v>369131</v>
      </c>
      <c r="BDH4">
        <v>0.1146585</v>
      </c>
      <c r="BDI4">
        <v>369131</v>
      </c>
      <c r="BDJ4">
        <v>7.0982900000000002E-2</v>
      </c>
      <c r="BDK4">
        <v>1329772</v>
      </c>
      <c r="BDL4">
        <v>5.6875200000000001E-2</v>
      </c>
      <c r="BDM4">
        <v>75631</v>
      </c>
      <c r="BDN4">
        <v>0.61901870000000003</v>
      </c>
      <c r="BDO4">
        <v>46817</v>
      </c>
      <c r="BDP4">
        <v>0.58290790000000003</v>
      </c>
      <c r="BDQ4">
        <v>46817</v>
      </c>
      <c r="BDR4">
        <v>0.41709210000000002</v>
      </c>
      <c r="BDS4">
        <v>75631</v>
      </c>
      <c r="BDT4">
        <v>0.38098140000000003</v>
      </c>
      <c r="BDU4">
        <v>28814</v>
      </c>
      <c r="BDV4">
        <v>0.5959603</v>
      </c>
      <c r="BDW4">
        <v>28814</v>
      </c>
      <c r="BDX4">
        <v>0.4040397</v>
      </c>
      <c r="BDY4">
        <v>1329772</v>
      </c>
      <c r="BDZ4">
        <v>0.94312479999999999</v>
      </c>
      <c r="BEA4">
        <v>1254141</v>
      </c>
      <c r="BEB4">
        <v>0.3964993</v>
      </c>
      <c r="BEC4">
        <v>497266</v>
      </c>
      <c r="BED4">
        <v>0.73632819999999999</v>
      </c>
      <c r="BEE4">
        <v>497266</v>
      </c>
      <c r="BEF4">
        <v>0.26367180000000001</v>
      </c>
      <c r="BEG4">
        <v>1254141</v>
      </c>
      <c r="BEH4">
        <v>0.6035007</v>
      </c>
      <c r="BEI4">
        <v>756875</v>
      </c>
      <c r="BEJ4">
        <v>0.73060409999999998</v>
      </c>
      <c r="BEK4">
        <v>756875</v>
      </c>
      <c r="BEL4">
        <v>0.26939590000000002</v>
      </c>
      <c r="BEM4">
        <v>2315105</v>
      </c>
      <c r="BEN4">
        <v>0.51907800000000004</v>
      </c>
      <c r="BEO4">
        <v>1201720</v>
      </c>
      <c r="BEP4">
        <v>0.97644209999999998</v>
      </c>
      <c r="BEQ4">
        <v>1173410</v>
      </c>
      <c r="BER4">
        <v>0.4617252</v>
      </c>
      <c r="BES4">
        <v>1173410</v>
      </c>
      <c r="BET4">
        <v>0.53827480000000005</v>
      </c>
      <c r="BEU4">
        <v>1201720</v>
      </c>
      <c r="BEV4">
        <v>2.35579E-2</v>
      </c>
      <c r="BEW4">
        <v>2315105</v>
      </c>
      <c r="BEX4">
        <v>0.48092200000000002</v>
      </c>
      <c r="BEY4">
        <v>1113385</v>
      </c>
      <c r="BEZ4">
        <v>0.97942039999999997</v>
      </c>
      <c r="BFA4">
        <v>1090472</v>
      </c>
      <c r="BFB4">
        <v>0.48202430000000002</v>
      </c>
      <c r="BFC4">
        <v>1090472</v>
      </c>
      <c r="BFD4">
        <v>0.51797570000000004</v>
      </c>
      <c r="BFE4">
        <v>1113385</v>
      </c>
      <c r="BFF4">
        <v>2.05796E-2</v>
      </c>
      <c r="BFG4">
        <v>2518331</v>
      </c>
      <c r="BFH4">
        <v>0.24899309999999999</v>
      </c>
      <c r="BFI4">
        <v>627047</v>
      </c>
      <c r="BFJ4">
        <v>0.95686450000000001</v>
      </c>
      <c r="BFK4">
        <v>627047</v>
      </c>
      <c r="BFL4">
        <v>4.31355E-2</v>
      </c>
      <c r="BFM4">
        <v>27048</v>
      </c>
      <c r="BFN4">
        <v>0.1834886</v>
      </c>
      <c r="BFO4">
        <v>27048</v>
      </c>
      <c r="BFP4">
        <v>0.8165114</v>
      </c>
      <c r="BFQ4">
        <v>2518331</v>
      </c>
      <c r="BFR4">
        <v>0.75100690000000003</v>
      </c>
      <c r="BFS4">
        <v>1891284</v>
      </c>
      <c r="BFT4">
        <v>0.7248483</v>
      </c>
      <c r="BFU4">
        <v>1891284</v>
      </c>
      <c r="BFV4">
        <v>0.2751517</v>
      </c>
      <c r="BFW4">
        <v>520390</v>
      </c>
      <c r="BFX4">
        <v>0.4267011</v>
      </c>
      <c r="BFY4">
        <v>520390</v>
      </c>
      <c r="BFZ4">
        <v>0.57329889999999994</v>
      </c>
      <c r="BGA4">
        <v>2682619</v>
      </c>
      <c r="BGB4">
        <v>0.22535250000000001</v>
      </c>
      <c r="BGC4">
        <v>604535</v>
      </c>
      <c r="BGD4">
        <v>0.95139399999999996</v>
      </c>
      <c r="BGE4">
        <v>604535</v>
      </c>
      <c r="BGF4">
        <v>4.8606000000000003E-2</v>
      </c>
      <c r="BGG4">
        <v>29384</v>
      </c>
      <c r="BGH4">
        <v>0.2050776</v>
      </c>
      <c r="BGI4">
        <v>29384</v>
      </c>
      <c r="BGJ4">
        <v>0.79492240000000003</v>
      </c>
      <c r="BGK4">
        <v>2682619</v>
      </c>
      <c r="BGL4">
        <v>0.77464750000000004</v>
      </c>
      <c r="BGM4">
        <v>2078084</v>
      </c>
      <c r="BGN4">
        <v>0.7517954</v>
      </c>
      <c r="BGO4">
        <v>2078084</v>
      </c>
      <c r="BGP4">
        <v>0.2482046</v>
      </c>
      <c r="BGQ4">
        <v>515790</v>
      </c>
      <c r="BGR4">
        <v>0.4820566</v>
      </c>
      <c r="BGS4">
        <v>515790</v>
      </c>
      <c r="BGT4">
        <v>0.5179433</v>
      </c>
    </row>
    <row r="5" spans="1:1554" x14ac:dyDescent="0.25">
      <c r="A5" t="s">
        <v>136</v>
      </c>
      <c r="B5">
        <v>2011</v>
      </c>
      <c r="C5">
        <v>1</v>
      </c>
      <c r="D5" t="s">
        <v>553</v>
      </c>
      <c r="E5">
        <v>905232</v>
      </c>
      <c r="F5">
        <v>0.45048120000000003</v>
      </c>
      <c r="G5">
        <v>407790</v>
      </c>
      <c r="H5">
        <v>0.11485570000000001</v>
      </c>
      <c r="I5">
        <v>407790</v>
      </c>
      <c r="J5">
        <v>1.9890100000000001E-2</v>
      </c>
      <c r="K5">
        <v>407790</v>
      </c>
      <c r="L5">
        <v>0.13284779999999999</v>
      </c>
      <c r="M5">
        <v>407790</v>
      </c>
      <c r="N5">
        <v>6.7473500000000006E-2</v>
      </c>
      <c r="O5">
        <v>407790</v>
      </c>
      <c r="P5">
        <v>2.1126099999999998E-2</v>
      </c>
      <c r="Q5">
        <v>407790</v>
      </c>
      <c r="R5">
        <v>3.9052000000000003E-2</v>
      </c>
      <c r="S5">
        <v>407790</v>
      </c>
      <c r="T5">
        <v>0.1355722</v>
      </c>
      <c r="U5">
        <v>407790</v>
      </c>
      <c r="V5">
        <v>0.1324996</v>
      </c>
      <c r="W5">
        <v>407790</v>
      </c>
      <c r="X5">
        <v>0.1023419</v>
      </c>
      <c r="Y5">
        <v>407790</v>
      </c>
      <c r="Z5">
        <v>0.1038917</v>
      </c>
      <c r="AA5">
        <v>407790</v>
      </c>
      <c r="AB5">
        <v>7.9793500000000003E-2</v>
      </c>
      <c r="AC5">
        <v>407790</v>
      </c>
      <c r="AD5">
        <v>2.9463699999999999E-2</v>
      </c>
      <c r="AE5">
        <v>407790</v>
      </c>
      <c r="AF5">
        <v>2.1192300000000001E-2</v>
      </c>
      <c r="AG5">
        <v>905232</v>
      </c>
      <c r="AH5">
        <v>0.54951879999999997</v>
      </c>
      <c r="AI5">
        <v>497442</v>
      </c>
      <c r="AJ5">
        <v>8.83882E-2</v>
      </c>
      <c r="AK5">
        <v>497442</v>
      </c>
      <c r="AL5">
        <v>1.86997E-2</v>
      </c>
      <c r="AM5">
        <v>497442</v>
      </c>
      <c r="AN5">
        <v>0.1038051</v>
      </c>
      <c r="AO5">
        <v>497442</v>
      </c>
      <c r="AP5">
        <v>4.68376E-2</v>
      </c>
      <c r="AQ5">
        <v>497442</v>
      </c>
      <c r="AR5">
        <v>2.1216499999999999E-2</v>
      </c>
      <c r="AS5">
        <v>497442</v>
      </c>
      <c r="AT5">
        <v>3.66656E-2</v>
      </c>
      <c r="AU5">
        <v>497442</v>
      </c>
      <c r="AV5">
        <v>0.13241739999999999</v>
      </c>
      <c r="AW5">
        <v>497442</v>
      </c>
      <c r="AX5">
        <v>0.1512397</v>
      </c>
      <c r="AY5">
        <v>497442</v>
      </c>
      <c r="AZ5">
        <v>0.1235802</v>
      </c>
      <c r="BA5">
        <v>497442</v>
      </c>
      <c r="BB5">
        <v>9.9032599999999998E-2</v>
      </c>
      <c r="BC5">
        <v>497442</v>
      </c>
      <c r="BD5">
        <v>8.3943500000000004E-2</v>
      </c>
      <c r="BE5">
        <v>497442</v>
      </c>
      <c r="BF5">
        <v>4.59491E-2</v>
      </c>
      <c r="BG5">
        <v>497442</v>
      </c>
      <c r="BH5">
        <v>4.8224700000000002E-2</v>
      </c>
      <c r="BI5">
        <v>4230040</v>
      </c>
      <c r="BJ5">
        <v>0.49141030000000002</v>
      </c>
      <c r="BK5">
        <v>2078685</v>
      </c>
      <c r="BL5">
        <v>6.0990999999999997E-2</v>
      </c>
      <c r="BM5">
        <v>2078685</v>
      </c>
      <c r="BN5">
        <v>1.0725999999999999E-2</v>
      </c>
      <c r="BO5">
        <v>2078685</v>
      </c>
      <c r="BP5">
        <v>6.93193E-2</v>
      </c>
      <c r="BQ5">
        <v>2078685</v>
      </c>
      <c r="BR5">
        <v>3.7795500000000003E-2</v>
      </c>
      <c r="BS5">
        <v>2078685</v>
      </c>
      <c r="BT5">
        <v>1.25536E-2</v>
      </c>
      <c r="BU5">
        <v>2078685</v>
      </c>
      <c r="BV5">
        <v>2.7288900000000001E-2</v>
      </c>
      <c r="BW5">
        <v>2078685</v>
      </c>
      <c r="BX5">
        <v>8.9328599999999994E-2</v>
      </c>
      <c r="BY5">
        <v>2078685</v>
      </c>
      <c r="BZ5">
        <v>0.17330380000000001</v>
      </c>
      <c r="CA5">
        <v>2078685</v>
      </c>
      <c r="CB5">
        <v>0.14752209999999999</v>
      </c>
      <c r="CC5">
        <v>2078685</v>
      </c>
      <c r="CD5">
        <v>0.1437216</v>
      </c>
      <c r="CE5">
        <v>2078685</v>
      </c>
      <c r="CF5">
        <v>0.1161008</v>
      </c>
      <c r="CG5">
        <v>2078685</v>
      </c>
      <c r="CH5">
        <v>6.40352E-2</v>
      </c>
      <c r="CI5">
        <v>2078685</v>
      </c>
      <c r="CJ5">
        <v>4.7313599999999997E-2</v>
      </c>
      <c r="CK5">
        <v>4230040</v>
      </c>
      <c r="CL5">
        <v>0.50858970000000003</v>
      </c>
      <c r="CM5">
        <v>2151355</v>
      </c>
      <c r="CN5">
        <v>5.7703600000000001E-2</v>
      </c>
      <c r="CO5">
        <v>2151355</v>
      </c>
      <c r="CP5">
        <v>1.14974E-2</v>
      </c>
      <c r="CQ5">
        <v>2151355</v>
      </c>
      <c r="CR5">
        <v>6.6472100000000006E-2</v>
      </c>
      <c r="CS5">
        <v>2151355</v>
      </c>
      <c r="CT5">
        <v>3.3032699999999998E-2</v>
      </c>
      <c r="CU5">
        <v>2151355</v>
      </c>
      <c r="CV5">
        <v>1.07867E-2</v>
      </c>
      <c r="CW5">
        <v>2151355</v>
      </c>
      <c r="CX5">
        <v>2.4122899999999999E-2</v>
      </c>
      <c r="CY5">
        <v>2151355</v>
      </c>
      <c r="CZ5">
        <v>7.9988699999999996E-2</v>
      </c>
      <c r="DA5">
        <v>2151355</v>
      </c>
      <c r="DB5">
        <v>0.16262260000000001</v>
      </c>
      <c r="DC5">
        <v>2151355</v>
      </c>
      <c r="DD5">
        <v>0.1360296</v>
      </c>
      <c r="DE5">
        <v>2151355</v>
      </c>
      <c r="DF5">
        <v>0.14613770000000001</v>
      </c>
      <c r="DG5">
        <v>2151355</v>
      </c>
      <c r="DH5">
        <v>0.1257287</v>
      </c>
      <c r="DI5">
        <v>2151355</v>
      </c>
      <c r="DJ5">
        <v>7.45479E-2</v>
      </c>
      <c r="DK5">
        <v>2151355</v>
      </c>
      <c r="DL5">
        <v>7.1329500000000004E-2</v>
      </c>
      <c r="DM5">
        <v>3445567</v>
      </c>
      <c r="DN5">
        <v>0.13521749999999999</v>
      </c>
      <c r="DO5">
        <v>465901</v>
      </c>
      <c r="DP5">
        <v>0.41066239999999998</v>
      </c>
      <c r="DQ5">
        <v>1629772</v>
      </c>
      <c r="DR5">
        <v>0.1173956</v>
      </c>
      <c r="DS5">
        <v>191328</v>
      </c>
      <c r="DT5">
        <v>0.3032802</v>
      </c>
      <c r="DU5">
        <v>264577</v>
      </c>
      <c r="DV5">
        <v>0.21931610000000001</v>
      </c>
      <c r="DW5">
        <v>191328</v>
      </c>
      <c r="DX5">
        <v>0.32191320000000001</v>
      </c>
      <c r="DY5">
        <v>407452</v>
      </c>
      <c r="DZ5">
        <v>0.1511614</v>
      </c>
      <c r="EA5">
        <v>191328</v>
      </c>
      <c r="EB5">
        <v>0.22614570000000001</v>
      </c>
      <c r="EC5">
        <v>404297</v>
      </c>
      <c r="ED5">
        <v>0.1070203</v>
      </c>
      <c r="EE5">
        <v>191328</v>
      </c>
      <c r="EF5">
        <v>0.14866090000000001</v>
      </c>
      <c r="EG5">
        <v>553446</v>
      </c>
      <c r="EH5">
        <v>5.1392500000000001E-2</v>
      </c>
      <c r="EI5">
        <v>465901</v>
      </c>
      <c r="EJ5">
        <v>0.58933760000000002</v>
      </c>
      <c r="EK5">
        <v>1815795</v>
      </c>
      <c r="EL5">
        <v>0.15121370000000001</v>
      </c>
      <c r="EM5">
        <v>274573</v>
      </c>
      <c r="EN5">
        <v>0.30120950000000002</v>
      </c>
      <c r="EO5">
        <v>270569</v>
      </c>
      <c r="EP5">
        <v>0.30566700000000002</v>
      </c>
      <c r="EQ5">
        <v>274573</v>
      </c>
      <c r="ER5">
        <v>0.31961260000000002</v>
      </c>
      <c r="ES5">
        <v>442800</v>
      </c>
      <c r="ET5">
        <v>0.19818649999999999</v>
      </c>
      <c r="EU5">
        <v>274573</v>
      </c>
      <c r="EV5">
        <v>0.2526468</v>
      </c>
      <c r="EW5">
        <v>469984</v>
      </c>
      <c r="EX5">
        <v>0.1476008</v>
      </c>
      <c r="EY5">
        <v>274573</v>
      </c>
      <c r="EZ5">
        <v>0.126531</v>
      </c>
      <c r="FA5">
        <v>632442</v>
      </c>
      <c r="FB5">
        <v>5.4933099999999999E-2</v>
      </c>
      <c r="FC5">
        <v>3445567</v>
      </c>
      <c r="FD5">
        <v>0.86478250000000001</v>
      </c>
      <c r="FE5">
        <v>2979666</v>
      </c>
      <c r="FF5">
        <v>0.4827534</v>
      </c>
      <c r="FG5">
        <v>1629772</v>
      </c>
      <c r="FH5">
        <v>0.88260439999999996</v>
      </c>
      <c r="FI5">
        <v>1438444</v>
      </c>
      <c r="FJ5">
        <v>0.14359340000000001</v>
      </c>
      <c r="FK5">
        <v>264577</v>
      </c>
      <c r="FL5">
        <v>0.78068389999999999</v>
      </c>
      <c r="FM5">
        <v>1438444</v>
      </c>
      <c r="FN5">
        <v>0.24044109999999999</v>
      </c>
      <c r="FO5">
        <v>407452</v>
      </c>
      <c r="FP5">
        <v>0.8488386</v>
      </c>
      <c r="FQ5">
        <v>1438444</v>
      </c>
      <c r="FR5">
        <v>0.25098579999999998</v>
      </c>
      <c r="FS5">
        <v>404297</v>
      </c>
      <c r="FT5">
        <v>0.89297970000000004</v>
      </c>
      <c r="FU5">
        <v>1438444</v>
      </c>
      <c r="FV5">
        <v>0.36497980000000002</v>
      </c>
      <c r="FW5">
        <v>553446</v>
      </c>
      <c r="FX5">
        <v>0.94860739999999999</v>
      </c>
      <c r="FY5">
        <v>2979666</v>
      </c>
      <c r="FZ5">
        <v>0.51724650000000005</v>
      </c>
      <c r="GA5">
        <v>1815795</v>
      </c>
      <c r="GB5">
        <v>0.84878640000000005</v>
      </c>
      <c r="GC5">
        <v>1541222</v>
      </c>
      <c r="GD5">
        <v>0.1218935</v>
      </c>
      <c r="GE5">
        <v>270569</v>
      </c>
      <c r="GF5">
        <v>0.69433310000000004</v>
      </c>
      <c r="GG5">
        <v>1541222</v>
      </c>
      <c r="GH5">
        <v>0.2303646</v>
      </c>
      <c r="GI5">
        <v>442800</v>
      </c>
      <c r="GJ5">
        <v>0.80181349999999996</v>
      </c>
      <c r="GK5">
        <v>1541222</v>
      </c>
      <c r="GL5">
        <v>0.25993270000000002</v>
      </c>
      <c r="GM5">
        <v>469984</v>
      </c>
      <c r="GN5">
        <v>0.85239920000000002</v>
      </c>
      <c r="GO5">
        <v>1541222</v>
      </c>
      <c r="GP5">
        <v>0.38780920000000002</v>
      </c>
      <c r="GQ5">
        <v>632442</v>
      </c>
      <c r="GR5">
        <v>0.94506690000000004</v>
      </c>
      <c r="GS5">
        <v>4067278</v>
      </c>
      <c r="GT5">
        <v>0.15273610000000001</v>
      </c>
      <c r="GU5">
        <v>621220</v>
      </c>
      <c r="GV5">
        <v>0.42261680000000001</v>
      </c>
      <c r="GW5">
        <v>262538</v>
      </c>
      <c r="GX5">
        <v>9.7239300000000001E-2</v>
      </c>
      <c r="GY5">
        <v>262538</v>
      </c>
      <c r="GZ5">
        <v>0.32320270000000001</v>
      </c>
      <c r="HA5">
        <v>262538</v>
      </c>
      <c r="HB5">
        <v>0.57955800000000002</v>
      </c>
      <c r="HC5">
        <v>262538</v>
      </c>
      <c r="HD5">
        <v>0.52625140000000004</v>
      </c>
      <c r="HE5">
        <v>262538</v>
      </c>
      <c r="HF5">
        <v>0.47374860000000002</v>
      </c>
      <c r="HG5">
        <v>138161</v>
      </c>
      <c r="HH5">
        <v>0.60379559999999999</v>
      </c>
      <c r="HI5">
        <v>138161</v>
      </c>
      <c r="HJ5">
        <v>0.39620440000000001</v>
      </c>
      <c r="HK5">
        <v>621220</v>
      </c>
      <c r="HL5">
        <v>0.57738319999999999</v>
      </c>
      <c r="HM5">
        <v>358682</v>
      </c>
      <c r="HN5">
        <v>5.7527300000000003E-2</v>
      </c>
      <c r="HO5">
        <v>358682</v>
      </c>
      <c r="HP5">
        <v>0.27616940000000001</v>
      </c>
      <c r="HQ5">
        <v>358682</v>
      </c>
      <c r="HR5">
        <v>0.66630330000000004</v>
      </c>
      <c r="HS5">
        <v>358682</v>
      </c>
      <c r="HT5">
        <v>0.41910940000000002</v>
      </c>
      <c r="HU5">
        <v>358682</v>
      </c>
      <c r="HV5">
        <v>0.58089060000000003</v>
      </c>
      <c r="HW5">
        <v>150327</v>
      </c>
      <c r="HX5">
        <v>0.58499800000000002</v>
      </c>
      <c r="HY5">
        <v>150327</v>
      </c>
      <c r="HZ5">
        <v>0.41500199999999998</v>
      </c>
      <c r="IA5">
        <v>4067278</v>
      </c>
      <c r="IB5">
        <v>0.84726389999999996</v>
      </c>
      <c r="IC5">
        <v>3446058</v>
      </c>
      <c r="ID5">
        <v>0.48776170000000002</v>
      </c>
      <c r="IE5">
        <v>1680855</v>
      </c>
      <c r="IF5">
        <v>0.52128529999999995</v>
      </c>
      <c r="IG5">
        <v>1680855</v>
      </c>
      <c r="IH5">
        <v>0.2179325</v>
      </c>
      <c r="II5">
        <v>1680855</v>
      </c>
      <c r="IJ5">
        <v>0.26078220000000002</v>
      </c>
      <c r="IK5">
        <v>1680263</v>
      </c>
      <c r="IL5">
        <v>0.75793849999999996</v>
      </c>
      <c r="IM5">
        <v>1680263</v>
      </c>
      <c r="IN5">
        <v>0.24206150000000001</v>
      </c>
      <c r="IO5">
        <v>1273536</v>
      </c>
      <c r="IP5">
        <v>0.89610579999999995</v>
      </c>
      <c r="IQ5">
        <v>1273536</v>
      </c>
      <c r="IR5">
        <v>0.10389420000000001</v>
      </c>
      <c r="IS5">
        <v>3446058</v>
      </c>
      <c r="IT5">
        <v>0.51223830000000004</v>
      </c>
      <c r="IU5">
        <v>1765203</v>
      </c>
      <c r="IV5">
        <v>0.40850829999999999</v>
      </c>
      <c r="IW5">
        <v>1765203</v>
      </c>
      <c r="IX5">
        <v>0.24266950000000001</v>
      </c>
      <c r="IY5">
        <v>1765203</v>
      </c>
      <c r="IZ5">
        <v>0.34882220000000003</v>
      </c>
      <c r="JA5">
        <v>1764918</v>
      </c>
      <c r="JB5">
        <v>0.65436519999999998</v>
      </c>
      <c r="JC5">
        <v>1764918</v>
      </c>
      <c r="JD5">
        <v>0.34563480000000002</v>
      </c>
      <c r="JE5">
        <v>1154901</v>
      </c>
      <c r="JF5">
        <v>0.91305139999999996</v>
      </c>
      <c r="JG5">
        <v>1154901</v>
      </c>
      <c r="JH5">
        <v>8.6948600000000001E-2</v>
      </c>
      <c r="JI5">
        <v>1165989</v>
      </c>
      <c r="JJ5">
        <v>0.19512450000000001</v>
      </c>
      <c r="JK5">
        <v>227513</v>
      </c>
      <c r="JL5">
        <v>0.38062879999999999</v>
      </c>
      <c r="JM5">
        <v>86598</v>
      </c>
      <c r="JN5">
        <v>0.70211789999999996</v>
      </c>
      <c r="JO5">
        <v>86598</v>
      </c>
      <c r="JP5">
        <v>0.70211789999999996</v>
      </c>
      <c r="JQ5">
        <v>86598</v>
      </c>
      <c r="JR5">
        <v>0.70211789999999996</v>
      </c>
      <c r="JS5">
        <v>86598</v>
      </c>
      <c r="JT5">
        <v>0.70211789999999996</v>
      </c>
      <c r="JU5">
        <v>86598</v>
      </c>
      <c r="JV5">
        <v>0.29788219999999999</v>
      </c>
      <c r="JW5">
        <v>227513</v>
      </c>
      <c r="JX5">
        <v>0.61937120000000001</v>
      </c>
      <c r="JY5">
        <v>140915</v>
      </c>
      <c r="JZ5">
        <v>0.1743179</v>
      </c>
      <c r="KA5">
        <v>24564</v>
      </c>
      <c r="KB5">
        <v>0.72357919999999998</v>
      </c>
      <c r="KC5">
        <v>17774</v>
      </c>
      <c r="KD5">
        <v>0.24918419999999999</v>
      </c>
      <c r="KE5">
        <v>17774</v>
      </c>
      <c r="KF5">
        <v>0.22251599999999999</v>
      </c>
      <c r="KG5">
        <v>17774</v>
      </c>
      <c r="KH5">
        <v>0.52829970000000004</v>
      </c>
      <c r="KI5">
        <v>24564</v>
      </c>
      <c r="KJ5">
        <v>0.27642080000000002</v>
      </c>
      <c r="KK5">
        <v>140915</v>
      </c>
      <c r="KL5">
        <v>0.82568220000000003</v>
      </c>
      <c r="KM5">
        <v>116351</v>
      </c>
      <c r="KN5">
        <v>0.80565699999999996</v>
      </c>
      <c r="KO5">
        <v>93739</v>
      </c>
      <c r="KP5">
        <v>0.16389119999999999</v>
      </c>
      <c r="KQ5">
        <v>93739</v>
      </c>
      <c r="KR5">
        <v>0.2837346</v>
      </c>
      <c r="KS5">
        <v>93739</v>
      </c>
      <c r="KT5">
        <v>0.55237409999999998</v>
      </c>
      <c r="KU5">
        <v>116351</v>
      </c>
      <c r="KV5">
        <v>0.19434299999999999</v>
      </c>
      <c r="KW5">
        <v>1165989</v>
      </c>
      <c r="KX5">
        <v>3.5786800000000001E-2</v>
      </c>
      <c r="KY5">
        <v>41727</v>
      </c>
      <c r="KZ5">
        <v>0.50657839999999998</v>
      </c>
      <c r="LA5">
        <v>21138</v>
      </c>
      <c r="LB5">
        <v>0.65763079999999996</v>
      </c>
      <c r="LC5">
        <v>21138</v>
      </c>
      <c r="LD5">
        <v>0.65763079999999996</v>
      </c>
      <c r="LE5">
        <v>21138</v>
      </c>
      <c r="LF5">
        <v>0.65763079999999996</v>
      </c>
      <c r="LG5">
        <v>21138</v>
      </c>
      <c r="LH5">
        <v>0.65763079999999996</v>
      </c>
      <c r="LI5">
        <v>21138</v>
      </c>
      <c r="LJ5">
        <v>0.34236919999999998</v>
      </c>
      <c r="LK5">
        <v>41727</v>
      </c>
      <c r="LL5">
        <v>0.49342150000000001</v>
      </c>
      <c r="LM5">
        <v>20589</v>
      </c>
      <c r="LN5">
        <v>0.17771629999999999</v>
      </c>
      <c r="LO5">
        <v>3659</v>
      </c>
      <c r="LP5">
        <v>0.59852419999999995</v>
      </c>
      <c r="LQ5">
        <v>2190</v>
      </c>
      <c r="LR5">
        <v>0.39817350000000001</v>
      </c>
      <c r="LS5">
        <v>2190</v>
      </c>
      <c r="LT5">
        <v>0.29178080000000001</v>
      </c>
      <c r="LU5">
        <v>2190</v>
      </c>
      <c r="LV5">
        <v>0.31004569999999998</v>
      </c>
      <c r="LW5">
        <v>3659</v>
      </c>
      <c r="LX5">
        <v>0.40147579999999999</v>
      </c>
      <c r="LY5">
        <v>20589</v>
      </c>
      <c r="LZ5">
        <v>0.82228369999999995</v>
      </c>
      <c r="MA5">
        <v>16930</v>
      </c>
      <c r="MB5">
        <v>0.69314830000000005</v>
      </c>
      <c r="MC5">
        <v>11735</v>
      </c>
      <c r="MD5">
        <v>0.18551339999999999</v>
      </c>
      <c r="ME5">
        <v>11735</v>
      </c>
      <c r="MF5">
        <v>0.18057090000000001</v>
      </c>
      <c r="MG5">
        <v>11735</v>
      </c>
      <c r="MH5">
        <v>0.63391569999999997</v>
      </c>
      <c r="MI5">
        <v>16930</v>
      </c>
      <c r="MJ5">
        <v>0.30685170000000001</v>
      </c>
      <c r="MK5">
        <v>1165989</v>
      </c>
      <c r="ML5">
        <v>5.8895900000000001E-2</v>
      </c>
      <c r="MM5">
        <v>68672</v>
      </c>
      <c r="MN5">
        <v>0.54460330000000001</v>
      </c>
      <c r="MO5">
        <v>37399</v>
      </c>
      <c r="MP5">
        <v>0.61579189999999995</v>
      </c>
      <c r="MQ5">
        <v>37399</v>
      </c>
      <c r="MR5">
        <v>0.61579189999999995</v>
      </c>
      <c r="MS5">
        <v>37399</v>
      </c>
      <c r="MT5">
        <v>0.61579189999999995</v>
      </c>
      <c r="MU5">
        <v>37399</v>
      </c>
      <c r="MV5">
        <v>0.61579189999999995</v>
      </c>
      <c r="MW5">
        <v>37399</v>
      </c>
      <c r="MX5">
        <v>0.3842081</v>
      </c>
      <c r="MY5">
        <v>68672</v>
      </c>
      <c r="MZ5">
        <v>0.45539669999999999</v>
      </c>
      <c r="NA5">
        <v>31273</v>
      </c>
      <c r="NB5">
        <v>0.29172130000000002</v>
      </c>
      <c r="NC5">
        <v>9123</v>
      </c>
      <c r="ND5">
        <v>0.67225690000000005</v>
      </c>
      <c r="NE5">
        <v>6133</v>
      </c>
      <c r="NF5">
        <v>0.23186039999999999</v>
      </c>
      <c r="NG5">
        <v>6133</v>
      </c>
      <c r="NH5">
        <v>0.26006849999999998</v>
      </c>
      <c r="NI5">
        <v>6133</v>
      </c>
      <c r="NJ5">
        <v>0.5080711</v>
      </c>
      <c r="NK5">
        <v>9123</v>
      </c>
      <c r="NL5">
        <v>0.32774310000000001</v>
      </c>
      <c r="NM5">
        <v>31273</v>
      </c>
      <c r="NN5">
        <v>0.70827870000000004</v>
      </c>
      <c r="NO5">
        <v>22150</v>
      </c>
      <c r="NP5">
        <v>0.67566590000000004</v>
      </c>
      <c r="NQ5">
        <v>14966</v>
      </c>
      <c r="NR5">
        <v>0.1447949</v>
      </c>
      <c r="NS5">
        <v>14966</v>
      </c>
      <c r="NT5">
        <v>0.17947350000000001</v>
      </c>
      <c r="NU5">
        <v>14966</v>
      </c>
      <c r="NV5">
        <v>0.67573170000000005</v>
      </c>
      <c r="NW5">
        <v>22150</v>
      </c>
      <c r="NX5">
        <v>0.32433410000000001</v>
      </c>
      <c r="NY5">
        <v>1165989</v>
      </c>
      <c r="NZ5">
        <v>0.71019279999999996</v>
      </c>
      <c r="OA5">
        <v>828077</v>
      </c>
      <c r="OB5">
        <v>0.75817230000000002</v>
      </c>
      <c r="OC5">
        <v>627825</v>
      </c>
      <c r="OD5">
        <v>0.41290650000000001</v>
      </c>
      <c r="OE5">
        <v>627825</v>
      </c>
      <c r="OF5">
        <v>0.41290650000000001</v>
      </c>
      <c r="OG5">
        <v>627825</v>
      </c>
      <c r="OH5">
        <v>0.41290650000000001</v>
      </c>
      <c r="OI5">
        <v>627825</v>
      </c>
      <c r="OJ5">
        <v>0.41290650000000001</v>
      </c>
      <c r="OK5">
        <v>627825</v>
      </c>
      <c r="OL5">
        <v>0.58709350000000005</v>
      </c>
      <c r="OM5">
        <v>828077</v>
      </c>
      <c r="ON5">
        <v>0.24182780000000001</v>
      </c>
      <c r="OO5">
        <v>200252</v>
      </c>
      <c r="OP5">
        <v>0.29335040000000001</v>
      </c>
      <c r="OQ5">
        <v>58744</v>
      </c>
      <c r="OR5">
        <v>0.40547119999999998</v>
      </c>
      <c r="OS5">
        <v>23819</v>
      </c>
      <c r="OT5">
        <v>0.2448466</v>
      </c>
      <c r="OU5">
        <v>23819</v>
      </c>
      <c r="OV5">
        <v>0.11830889999999999</v>
      </c>
      <c r="OW5">
        <v>23819</v>
      </c>
      <c r="OX5">
        <v>0.63684450000000004</v>
      </c>
      <c r="OY5">
        <v>58744</v>
      </c>
      <c r="OZ5">
        <v>0.59452879999999997</v>
      </c>
      <c r="PA5">
        <v>200252</v>
      </c>
      <c r="PB5">
        <v>0.70664959999999999</v>
      </c>
      <c r="PC5">
        <v>141508</v>
      </c>
      <c r="PD5">
        <v>0.4495364</v>
      </c>
      <c r="PE5">
        <v>63613</v>
      </c>
      <c r="PF5">
        <v>0.16652259999999999</v>
      </c>
      <c r="PG5">
        <v>63613</v>
      </c>
      <c r="PH5">
        <v>0.1154009</v>
      </c>
      <c r="PI5">
        <v>63613</v>
      </c>
      <c r="PJ5">
        <v>0.71807650000000001</v>
      </c>
      <c r="PK5">
        <v>141508</v>
      </c>
      <c r="PL5">
        <v>0.55046360000000005</v>
      </c>
      <c r="PM5">
        <v>5217080</v>
      </c>
      <c r="PN5">
        <v>0.48456189999999999</v>
      </c>
      <c r="PO5">
        <v>2527998</v>
      </c>
      <c r="PP5">
        <v>6.9438700000000006E-2</v>
      </c>
      <c r="PQ5">
        <v>2527998</v>
      </c>
      <c r="PR5">
        <v>6.4411800000000005E-2</v>
      </c>
      <c r="PS5">
        <v>2527998</v>
      </c>
      <c r="PT5">
        <v>6.9893700000000003E-2</v>
      </c>
      <c r="PU5">
        <v>2527998</v>
      </c>
      <c r="PV5">
        <v>4.2837500000000001E-2</v>
      </c>
      <c r="PW5">
        <v>2527998</v>
      </c>
      <c r="PX5">
        <v>2.8193099999999999E-2</v>
      </c>
      <c r="PY5">
        <v>2527998</v>
      </c>
      <c r="PZ5">
        <v>1.42524E-2</v>
      </c>
      <c r="QA5">
        <v>2527998</v>
      </c>
      <c r="QB5">
        <v>1.4093E-2</v>
      </c>
      <c r="QC5">
        <v>2527998</v>
      </c>
      <c r="QD5">
        <v>4.3882499999999998E-2</v>
      </c>
      <c r="QE5">
        <v>2527998</v>
      </c>
      <c r="QF5">
        <v>8.5326799999999994E-2</v>
      </c>
      <c r="QG5">
        <v>2527998</v>
      </c>
      <c r="QH5">
        <v>8.0022200000000002E-2</v>
      </c>
      <c r="QI5">
        <v>2527998</v>
      </c>
      <c r="QJ5">
        <v>6.8465200000000004E-2</v>
      </c>
      <c r="QK5">
        <v>2527998</v>
      </c>
      <c r="QL5">
        <v>7.0091799999999996E-2</v>
      </c>
      <c r="QM5">
        <v>2527998</v>
      </c>
      <c r="QN5">
        <v>6.7738199999999998E-2</v>
      </c>
      <c r="QO5">
        <v>2527998</v>
      </c>
      <c r="QP5">
        <v>6.8873500000000004E-2</v>
      </c>
      <c r="QQ5">
        <v>2527998</v>
      </c>
      <c r="QR5">
        <v>6.0354900000000003E-2</v>
      </c>
      <c r="QS5">
        <v>2527998</v>
      </c>
      <c r="QT5">
        <v>2.02694E-2</v>
      </c>
      <c r="QU5">
        <v>2527998</v>
      </c>
      <c r="QV5">
        <v>2.95926E-2</v>
      </c>
      <c r="QW5">
        <v>2527998</v>
      </c>
      <c r="QX5">
        <v>1.36527E-2</v>
      </c>
      <c r="QY5">
        <v>2527998</v>
      </c>
      <c r="QZ5">
        <v>2.05562E-2</v>
      </c>
      <c r="RA5">
        <v>2527998</v>
      </c>
      <c r="RB5">
        <v>2.42484E-2</v>
      </c>
      <c r="RC5">
        <v>2527998</v>
      </c>
      <c r="RD5">
        <v>1.8252399999999998E-2</v>
      </c>
      <c r="RE5">
        <v>2527998</v>
      </c>
      <c r="RF5">
        <v>1.37211E-2</v>
      </c>
      <c r="RG5">
        <v>2527998</v>
      </c>
      <c r="RH5">
        <v>1.1831899999999999E-2</v>
      </c>
      <c r="RI5">
        <v>5217080</v>
      </c>
      <c r="RJ5">
        <v>0.51543810000000001</v>
      </c>
      <c r="RK5">
        <v>2689082</v>
      </c>
      <c r="RL5">
        <v>6.3141199999999995E-2</v>
      </c>
      <c r="RM5">
        <v>2689082</v>
      </c>
      <c r="RN5">
        <v>6.0840100000000001E-2</v>
      </c>
      <c r="RO5">
        <v>2689082</v>
      </c>
      <c r="RP5">
        <v>6.0958699999999998E-2</v>
      </c>
      <c r="RQ5">
        <v>2689082</v>
      </c>
      <c r="RR5">
        <v>3.87266E-2</v>
      </c>
      <c r="RS5">
        <v>2689082</v>
      </c>
      <c r="RT5">
        <v>2.5486399999999999E-2</v>
      </c>
      <c r="RU5">
        <v>2689082</v>
      </c>
      <c r="RV5">
        <v>1.25165E-2</v>
      </c>
      <c r="RW5">
        <v>2689082</v>
      </c>
      <c r="RX5">
        <v>1.32175E-2</v>
      </c>
      <c r="RY5">
        <v>2689082</v>
      </c>
      <c r="RZ5">
        <v>4.3178300000000003E-2</v>
      </c>
      <c r="SA5">
        <v>2689082</v>
      </c>
      <c r="SB5">
        <v>8.2354499999999997E-2</v>
      </c>
      <c r="SC5">
        <v>2689082</v>
      </c>
      <c r="SD5">
        <v>7.5996900000000006E-2</v>
      </c>
      <c r="SE5">
        <v>2689082</v>
      </c>
      <c r="SF5">
        <v>6.66934E-2</v>
      </c>
      <c r="SG5">
        <v>2689082</v>
      </c>
      <c r="SH5">
        <v>6.5592600000000001E-2</v>
      </c>
      <c r="SI5">
        <v>2689082</v>
      </c>
      <c r="SJ5">
        <v>6.6366099999999997E-2</v>
      </c>
      <c r="SK5">
        <v>2689082</v>
      </c>
      <c r="SL5">
        <v>6.9477200000000003E-2</v>
      </c>
      <c r="SM5">
        <v>2689082</v>
      </c>
      <c r="SN5">
        <v>6.23685E-2</v>
      </c>
      <c r="SO5">
        <v>2689082</v>
      </c>
      <c r="SP5">
        <v>2.3789899999999999E-2</v>
      </c>
      <c r="SQ5">
        <v>2689082</v>
      </c>
      <c r="SR5">
        <v>3.0780399999999999E-2</v>
      </c>
      <c r="SS5">
        <v>2689082</v>
      </c>
      <c r="ST5">
        <v>1.63985E-2</v>
      </c>
      <c r="SU5">
        <v>2689082</v>
      </c>
      <c r="SV5">
        <v>2.1779900000000001E-2</v>
      </c>
      <c r="SW5">
        <v>2689082</v>
      </c>
      <c r="SX5">
        <v>3.0790100000000001E-2</v>
      </c>
      <c r="SY5">
        <v>2689082</v>
      </c>
      <c r="SZ5">
        <v>2.48512E-2</v>
      </c>
      <c r="TA5">
        <v>2689082</v>
      </c>
      <c r="TB5">
        <v>2.1366400000000001E-2</v>
      </c>
      <c r="TC5">
        <v>2689082</v>
      </c>
      <c r="TD5">
        <v>2.33288E-2</v>
      </c>
      <c r="TE5">
        <v>2955369</v>
      </c>
      <c r="TF5">
        <v>0.49137520000000001</v>
      </c>
      <c r="TG5">
        <v>1271716</v>
      </c>
      <c r="TH5">
        <v>0.45531159999999998</v>
      </c>
      <c r="TI5">
        <v>10429</v>
      </c>
      <c r="TJ5">
        <v>0.46054270000000003</v>
      </c>
      <c r="TK5">
        <v>327883</v>
      </c>
      <c r="TL5">
        <v>0.47898180000000001</v>
      </c>
      <c r="TM5"/>
      <c r="TN5"/>
      <c r="TO5">
        <v>541397</v>
      </c>
      <c r="TP5">
        <v>0.51603169999999998</v>
      </c>
      <c r="TQ5">
        <v>109920</v>
      </c>
      <c r="TR5">
        <v>0.5036754</v>
      </c>
      <c r="TS5">
        <v>2273978</v>
      </c>
      <c r="TT5">
        <v>0.48606539999999998</v>
      </c>
      <c r="TU5">
        <v>1273631</v>
      </c>
      <c r="TV5">
        <v>0.51353179999999998</v>
      </c>
      <c r="TW5">
        <v>2955369</v>
      </c>
      <c r="TX5">
        <v>0.50862479999999999</v>
      </c>
      <c r="TY5">
        <v>1271716</v>
      </c>
      <c r="TZ5">
        <v>0.54468850000000002</v>
      </c>
      <c r="UA5">
        <v>10429</v>
      </c>
      <c r="UB5">
        <v>0.53945730000000003</v>
      </c>
      <c r="UC5">
        <v>327883</v>
      </c>
      <c r="UD5">
        <v>0.52101810000000004</v>
      </c>
      <c r="UE5"/>
      <c r="UF5"/>
      <c r="UG5">
        <v>541397</v>
      </c>
      <c r="UH5">
        <v>0.48396830000000002</v>
      </c>
      <c r="UI5">
        <v>109920</v>
      </c>
      <c r="UJ5">
        <v>0.4963246</v>
      </c>
      <c r="UK5">
        <v>2273978</v>
      </c>
      <c r="UL5">
        <v>0.51393460000000002</v>
      </c>
      <c r="UM5">
        <v>1273631</v>
      </c>
      <c r="UN5">
        <v>0.48646820000000002</v>
      </c>
      <c r="UO5">
        <v>1193404</v>
      </c>
      <c r="UP5">
        <v>1193404</v>
      </c>
      <c r="UQ5">
        <v>1193404</v>
      </c>
      <c r="UR5">
        <v>1099085</v>
      </c>
      <c r="US5">
        <v>1099085</v>
      </c>
      <c r="UT5">
        <v>1099085</v>
      </c>
      <c r="UU5">
        <v>3.6529999999999999E-4</v>
      </c>
      <c r="UV5">
        <v>0.87978509999999999</v>
      </c>
      <c r="UW5">
        <v>0.1198496</v>
      </c>
      <c r="UX5">
        <v>2.5930000000000001E-4</v>
      </c>
      <c r="UY5">
        <v>0.88671940000000005</v>
      </c>
      <c r="UZ5">
        <v>0.11302130000000001</v>
      </c>
      <c r="VA5">
        <v>91734</v>
      </c>
      <c r="VB5">
        <v>6.1050000000000004E-4</v>
      </c>
      <c r="VC5">
        <v>91734</v>
      </c>
      <c r="VD5">
        <v>0.81433270000000002</v>
      </c>
      <c r="VE5">
        <v>91734</v>
      </c>
      <c r="VF5">
        <v>0.18505679999999999</v>
      </c>
      <c r="VG5">
        <v>194003</v>
      </c>
      <c r="VH5">
        <v>1.134E-3</v>
      </c>
      <c r="VI5">
        <v>194003</v>
      </c>
      <c r="VJ5">
        <v>0.8661567</v>
      </c>
      <c r="VK5">
        <v>194003</v>
      </c>
      <c r="VL5">
        <v>0.1327093</v>
      </c>
      <c r="VM5">
        <v>180483</v>
      </c>
      <c r="VN5">
        <v>5.6519999999999997E-4</v>
      </c>
      <c r="VO5">
        <v>180483</v>
      </c>
      <c r="VP5">
        <v>0.89382379999999995</v>
      </c>
      <c r="VQ5">
        <v>180483</v>
      </c>
      <c r="VR5">
        <v>0.1056111</v>
      </c>
      <c r="VS5">
        <v>313918</v>
      </c>
      <c r="VT5">
        <v>1.211E-4</v>
      </c>
      <c r="VU5">
        <v>313918</v>
      </c>
      <c r="VV5">
        <v>0.89671500000000004</v>
      </c>
      <c r="VW5">
        <v>313918</v>
      </c>
      <c r="VX5">
        <v>0.1031639</v>
      </c>
      <c r="VY5">
        <v>295254</v>
      </c>
      <c r="VZ5">
        <v>6.7700000000000006E-5</v>
      </c>
      <c r="WA5">
        <v>295254</v>
      </c>
      <c r="WB5">
        <v>0.88217939999999995</v>
      </c>
      <c r="WC5">
        <v>295254</v>
      </c>
      <c r="WD5">
        <v>0.11775289999999999</v>
      </c>
      <c r="WE5">
        <v>118012</v>
      </c>
      <c r="WF5">
        <v>0</v>
      </c>
      <c r="WG5">
        <v>118012</v>
      </c>
      <c r="WH5">
        <v>0.88057149999999995</v>
      </c>
      <c r="WI5">
        <v>118012</v>
      </c>
      <c r="WJ5">
        <v>0.11942850000000001</v>
      </c>
      <c r="WK5">
        <v>90614</v>
      </c>
      <c r="WL5">
        <v>6.1799999999999995E-4</v>
      </c>
      <c r="WM5">
        <v>90614</v>
      </c>
      <c r="WN5">
        <v>0.83151609999999998</v>
      </c>
      <c r="WO5">
        <v>90614</v>
      </c>
      <c r="WP5">
        <v>0.16786590000000001</v>
      </c>
      <c r="WQ5">
        <v>178531</v>
      </c>
      <c r="WR5">
        <v>1.7359999999999999E-4</v>
      </c>
      <c r="WS5">
        <v>178531</v>
      </c>
      <c r="WT5">
        <v>0.88370079999999995</v>
      </c>
      <c r="WU5">
        <v>178531</v>
      </c>
      <c r="WV5">
        <v>0.11612550000000001</v>
      </c>
      <c r="WW5">
        <v>159795</v>
      </c>
      <c r="WX5">
        <v>0</v>
      </c>
      <c r="WY5">
        <v>159795</v>
      </c>
      <c r="WZ5">
        <v>0.89120440000000001</v>
      </c>
      <c r="XA5">
        <v>159795</v>
      </c>
      <c r="XB5">
        <v>0.10879560000000001</v>
      </c>
      <c r="XC5">
        <v>270583</v>
      </c>
      <c r="XD5">
        <v>1.2569999999999999E-4</v>
      </c>
      <c r="XE5">
        <v>270583</v>
      </c>
      <c r="XF5">
        <v>0.88558780000000004</v>
      </c>
      <c r="XG5">
        <v>270583</v>
      </c>
      <c r="XH5">
        <v>0.1142866</v>
      </c>
      <c r="XI5">
        <v>281820</v>
      </c>
      <c r="XJ5">
        <v>5.819E-4</v>
      </c>
      <c r="XK5">
        <v>281820</v>
      </c>
      <c r="XL5">
        <v>0.89749489999999998</v>
      </c>
      <c r="XM5">
        <v>281820</v>
      </c>
      <c r="XN5">
        <v>0.10192320000000001</v>
      </c>
      <c r="XO5">
        <v>117742</v>
      </c>
      <c r="XP5">
        <v>0</v>
      </c>
      <c r="XQ5">
        <v>117742</v>
      </c>
      <c r="XR5">
        <v>0.90450299999999995</v>
      </c>
      <c r="XS5">
        <v>117742</v>
      </c>
      <c r="XT5">
        <v>9.5496899999999996E-2</v>
      </c>
      <c r="XU5">
        <v>3504996</v>
      </c>
      <c r="XV5">
        <v>0.49060680000000001</v>
      </c>
      <c r="XW5">
        <v>1719575</v>
      </c>
      <c r="XX5">
        <v>0.75949290000000003</v>
      </c>
      <c r="XY5">
        <v>1719575</v>
      </c>
      <c r="XZ5">
        <v>0.2405071</v>
      </c>
      <c r="YA5">
        <v>1306005</v>
      </c>
      <c r="YB5">
        <v>0.81935749999999996</v>
      </c>
      <c r="YC5">
        <v>1070085</v>
      </c>
      <c r="YD5">
        <v>0.81814900000000002</v>
      </c>
      <c r="YE5">
        <v>1070085</v>
      </c>
      <c r="YF5">
        <v>1.6218300000000001E-2</v>
      </c>
      <c r="YG5">
        <v>1070085</v>
      </c>
      <c r="YH5">
        <v>4.3189100000000001E-2</v>
      </c>
      <c r="YI5">
        <v>1070085</v>
      </c>
      <c r="YJ5">
        <v>4.9143800000000001E-2</v>
      </c>
      <c r="YK5">
        <v>1070085</v>
      </c>
      <c r="YL5">
        <v>3.5466299999999999E-2</v>
      </c>
      <c r="YM5">
        <v>1070085</v>
      </c>
      <c r="YN5">
        <v>3.7833400000000003E-2</v>
      </c>
      <c r="YO5">
        <v>1306005</v>
      </c>
      <c r="YP5">
        <v>0.14814569999999999</v>
      </c>
      <c r="YQ5">
        <v>193479</v>
      </c>
      <c r="YR5">
        <v>0.4414381</v>
      </c>
      <c r="YS5">
        <v>193479</v>
      </c>
      <c r="YT5">
        <v>2.2291800000000001E-2</v>
      </c>
      <c r="YU5">
        <v>193479</v>
      </c>
      <c r="YV5">
        <v>7.3982199999999998E-2</v>
      </c>
      <c r="YW5">
        <v>193479</v>
      </c>
      <c r="YX5">
        <v>0.14543700000000001</v>
      </c>
      <c r="YY5">
        <v>193479</v>
      </c>
      <c r="YZ5">
        <v>0.13605610000000001</v>
      </c>
      <c r="ZA5">
        <v>193479</v>
      </c>
      <c r="ZB5">
        <v>0.18079480000000001</v>
      </c>
      <c r="ZC5">
        <v>1306005</v>
      </c>
      <c r="ZD5">
        <v>3.2496799999999999E-2</v>
      </c>
      <c r="ZE5">
        <v>42441</v>
      </c>
      <c r="ZF5">
        <v>0.25633230000000001</v>
      </c>
      <c r="ZG5">
        <v>42441</v>
      </c>
      <c r="ZH5">
        <v>1.4844100000000001E-2</v>
      </c>
      <c r="ZI5">
        <v>42441</v>
      </c>
      <c r="ZJ5">
        <v>7.2264999999999996E-2</v>
      </c>
      <c r="ZK5">
        <v>42441</v>
      </c>
      <c r="ZL5">
        <v>9.3329599999999999E-2</v>
      </c>
      <c r="ZM5">
        <v>42441</v>
      </c>
      <c r="ZN5">
        <v>0.1184703</v>
      </c>
      <c r="ZO5">
        <v>42441</v>
      </c>
      <c r="ZP5">
        <v>0.4447586</v>
      </c>
      <c r="ZQ5">
        <v>3504996</v>
      </c>
      <c r="ZR5">
        <v>0.50939319999999999</v>
      </c>
      <c r="ZS5">
        <v>1785421</v>
      </c>
      <c r="ZT5">
        <v>0.68623699999999999</v>
      </c>
      <c r="ZU5">
        <v>1785421</v>
      </c>
      <c r="ZV5">
        <v>0.31376300000000001</v>
      </c>
      <c r="ZW5">
        <v>1225222</v>
      </c>
      <c r="ZX5">
        <v>0.71057250000000005</v>
      </c>
      <c r="ZY5">
        <v>870609</v>
      </c>
      <c r="ZZ5">
        <v>0.82930570000000003</v>
      </c>
      <c r="AAA5">
        <v>870609</v>
      </c>
      <c r="AAB5">
        <v>1.7616400000000001E-2</v>
      </c>
      <c r="AAC5">
        <v>870609</v>
      </c>
      <c r="AAD5">
        <v>4.2671300000000002E-2</v>
      </c>
      <c r="AAE5">
        <v>870609</v>
      </c>
      <c r="AAF5">
        <v>4.2054500000000002E-2</v>
      </c>
      <c r="AAG5">
        <v>870609</v>
      </c>
      <c r="AAH5">
        <v>3.2752900000000001E-2</v>
      </c>
      <c r="AAI5">
        <v>870609</v>
      </c>
      <c r="AAJ5">
        <v>3.5599199999999998E-2</v>
      </c>
      <c r="AAK5">
        <v>1225222</v>
      </c>
      <c r="AAL5">
        <v>0.23487340000000001</v>
      </c>
      <c r="AAM5">
        <v>287772</v>
      </c>
      <c r="AAN5">
        <v>0.55195430000000001</v>
      </c>
      <c r="AAO5">
        <v>287772</v>
      </c>
      <c r="AAP5">
        <v>2.6229100000000002E-2</v>
      </c>
      <c r="AAQ5">
        <v>287772</v>
      </c>
      <c r="AAR5">
        <v>9.2152800000000007E-2</v>
      </c>
      <c r="AAS5">
        <v>287772</v>
      </c>
      <c r="AAT5">
        <v>0.11141810000000001</v>
      </c>
      <c r="AAU5">
        <v>287772</v>
      </c>
      <c r="AAV5">
        <v>9.6555600000000005E-2</v>
      </c>
      <c r="AAW5">
        <v>287772</v>
      </c>
      <c r="AAX5">
        <v>0.1216901</v>
      </c>
      <c r="AAY5">
        <v>1225222</v>
      </c>
      <c r="AAZ5">
        <v>5.4554199999999997E-2</v>
      </c>
      <c r="ABA5">
        <v>66841</v>
      </c>
      <c r="ABB5">
        <v>0.28605199999999997</v>
      </c>
      <c r="ABC5">
        <v>66841</v>
      </c>
      <c r="ABD5">
        <v>1.50955E-2</v>
      </c>
      <c r="ABE5">
        <v>66841</v>
      </c>
      <c r="ABF5">
        <v>8.9196700000000004E-2</v>
      </c>
      <c r="ABG5">
        <v>66841</v>
      </c>
      <c r="ABH5">
        <v>0.1380141</v>
      </c>
      <c r="ABI5">
        <v>66841</v>
      </c>
      <c r="ABJ5">
        <v>0.1471402</v>
      </c>
      <c r="ABK5">
        <v>66841</v>
      </c>
      <c r="ABL5">
        <v>0.3245014</v>
      </c>
      <c r="ABM5">
        <v>1916910</v>
      </c>
      <c r="ABN5">
        <v>0.6082649</v>
      </c>
      <c r="ABO5">
        <v>1165989</v>
      </c>
      <c r="ABP5">
        <v>0.66292220000000002</v>
      </c>
      <c r="ABQ5">
        <v>1165989</v>
      </c>
      <c r="ABR5">
        <v>0.33707779999999998</v>
      </c>
      <c r="ABS5">
        <v>393029</v>
      </c>
      <c r="ABT5">
        <v>0.2444858</v>
      </c>
      <c r="ABU5">
        <v>393029</v>
      </c>
      <c r="ABV5">
        <v>0.75551420000000002</v>
      </c>
      <c r="ABW5">
        <v>1916910</v>
      </c>
      <c r="ABX5">
        <v>0.3917351</v>
      </c>
      <c r="ABY5">
        <v>750921</v>
      </c>
      <c r="ABZ5">
        <v>0.836036</v>
      </c>
      <c r="ACA5">
        <v>750921</v>
      </c>
      <c r="ACB5">
        <v>0.163964</v>
      </c>
      <c r="ACC5">
        <v>4204696</v>
      </c>
      <c r="ACD5">
        <v>0.47873450000000001</v>
      </c>
      <c r="ACE5">
        <v>2012933</v>
      </c>
      <c r="ACF5">
        <v>0.43838860000000002</v>
      </c>
      <c r="ACG5">
        <v>882447</v>
      </c>
      <c r="ACH5">
        <v>0.12212290000000001</v>
      </c>
      <c r="ACI5">
        <v>882447</v>
      </c>
      <c r="ACJ5">
        <v>8.0599699999999996E-2</v>
      </c>
      <c r="ACK5">
        <v>882447</v>
      </c>
      <c r="ACL5">
        <v>0.19423260000000001</v>
      </c>
      <c r="ACM5">
        <v>882447</v>
      </c>
      <c r="ACN5">
        <v>0.18672279999999999</v>
      </c>
      <c r="ACO5">
        <v>882447</v>
      </c>
      <c r="ACP5">
        <v>0.1172274</v>
      </c>
      <c r="ACQ5">
        <v>882447</v>
      </c>
      <c r="ACR5">
        <v>7.0435999999999999E-2</v>
      </c>
      <c r="ACS5">
        <v>882447</v>
      </c>
      <c r="ACT5">
        <v>5.5935400000000003E-2</v>
      </c>
      <c r="ACU5">
        <v>882447</v>
      </c>
      <c r="ACV5">
        <v>4.9124800000000003E-2</v>
      </c>
      <c r="ACW5">
        <v>882447</v>
      </c>
      <c r="ACX5">
        <v>4.5186900000000002E-2</v>
      </c>
      <c r="ACY5">
        <v>882447</v>
      </c>
      <c r="ACZ5">
        <v>3.3876299999999998E-2</v>
      </c>
      <c r="ADA5">
        <v>882447</v>
      </c>
      <c r="ADB5">
        <v>1.9722400000000001E-2</v>
      </c>
      <c r="ADC5">
        <v>882447</v>
      </c>
      <c r="ADD5">
        <v>1.5114799999999999E-2</v>
      </c>
      <c r="ADE5">
        <v>882447</v>
      </c>
      <c r="ADF5">
        <v>7.2877000000000003E-3</v>
      </c>
      <c r="ADG5">
        <v>882447</v>
      </c>
      <c r="ADH5">
        <v>2.4103000000000002E-3</v>
      </c>
      <c r="ADI5">
        <v>2012933</v>
      </c>
      <c r="ADJ5">
        <v>0.46015050000000002</v>
      </c>
      <c r="ADK5">
        <v>926252</v>
      </c>
      <c r="ADL5">
        <v>0.88338810000000001</v>
      </c>
      <c r="ADM5">
        <v>818240</v>
      </c>
      <c r="ADN5">
        <v>0</v>
      </c>
      <c r="ADO5">
        <v>818240</v>
      </c>
      <c r="ADP5">
        <v>1.3439999999999999E-4</v>
      </c>
      <c r="ADQ5">
        <v>818240</v>
      </c>
      <c r="ADR5">
        <v>5.5215999999999998E-3</v>
      </c>
      <c r="ADS5">
        <v>818240</v>
      </c>
      <c r="ADT5">
        <v>4.83122E-2</v>
      </c>
      <c r="ADU5">
        <v>818240</v>
      </c>
      <c r="ADV5">
        <v>9.8384299999999994E-2</v>
      </c>
      <c r="ADW5">
        <v>818240</v>
      </c>
      <c r="ADX5">
        <v>0.1087444</v>
      </c>
      <c r="ADY5">
        <v>818240</v>
      </c>
      <c r="ADZ5">
        <v>0.116566</v>
      </c>
      <c r="AEA5">
        <v>818240</v>
      </c>
      <c r="AEB5">
        <v>0.1129143</v>
      </c>
      <c r="AEC5">
        <v>818240</v>
      </c>
      <c r="AED5">
        <v>0.117743</v>
      </c>
      <c r="AEE5">
        <v>818240</v>
      </c>
      <c r="AEF5">
        <v>0.1059445</v>
      </c>
      <c r="AEG5">
        <v>818240</v>
      </c>
      <c r="AEH5">
        <v>9.4368400000000005E-2</v>
      </c>
      <c r="AEI5">
        <v>818240</v>
      </c>
      <c r="AEJ5">
        <v>0.11579730000000001</v>
      </c>
      <c r="AEK5">
        <v>818240</v>
      </c>
      <c r="AEL5">
        <v>5.86087E-2</v>
      </c>
      <c r="AEM5">
        <v>818240</v>
      </c>
      <c r="AEN5">
        <v>1.6960800000000002E-2</v>
      </c>
      <c r="AEO5">
        <v>926252</v>
      </c>
      <c r="AEP5">
        <v>0.1166119</v>
      </c>
      <c r="AEQ5">
        <v>108012</v>
      </c>
      <c r="AER5">
        <v>0.3784672</v>
      </c>
      <c r="AES5">
        <v>40879</v>
      </c>
      <c r="AET5">
        <v>1.8591E-3</v>
      </c>
      <c r="AEU5">
        <v>40879</v>
      </c>
      <c r="AEV5">
        <v>0</v>
      </c>
      <c r="AEW5">
        <v>40879</v>
      </c>
      <c r="AEX5">
        <v>1.8493599999999999E-2</v>
      </c>
      <c r="AEY5">
        <v>40879</v>
      </c>
      <c r="AEZ5">
        <v>2.3679599999999999E-2</v>
      </c>
      <c r="AFA5">
        <v>40879</v>
      </c>
      <c r="AFB5">
        <v>5.9223600000000001E-2</v>
      </c>
      <c r="AFC5">
        <v>40879</v>
      </c>
      <c r="AFD5">
        <v>7.69344E-2</v>
      </c>
      <c r="AFE5">
        <v>40879</v>
      </c>
      <c r="AFF5">
        <v>0.13681840000000001</v>
      </c>
      <c r="AFG5">
        <v>40879</v>
      </c>
      <c r="AFH5">
        <v>0.13789480000000001</v>
      </c>
      <c r="AFI5">
        <v>40879</v>
      </c>
      <c r="AFJ5">
        <v>0.18508279999999999</v>
      </c>
      <c r="AFK5">
        <v>40879</v>
      </c>
      <c r="AFL5">
        <v>0.1306783</v>
      </c>
      <c r="AFM5">
        <v>40879</v>
      </c>
      <c r="AFN5">
        <v>8.8725300000000007E-2</v>
      </c>
      <c r="AFO5">
        <v>40879</v>
      </c>
      <c r="AFP5">
        <v>6.4140500000000003E-2</v>
      </c>
      <c r="AFQ5">
        <v>40879</v>
      </c>
      <c r="AFR5">
        <v>6.53392E-2</v>
      </c>
      <c r="AFS5">
        <v>40879</v>
      </c>
      <c r="AFT5">
        <v>1.11304E-2</v>
      </c>
      <c r="AFU5">
        <v>108012</v>
      </c>
      <c r="AFV5">
        <v>0.6215328</v>
      </c>
      <c r="AFW5">
        <v>67133</v>
      </c>
      <c r="AFX5">
        <v>6.1669000000000003E-3</v>
      </c>
      <c r="AFY5">
        <v>67133</v>
      </c>
      <c r="AFZ5">
        <v>5.5110000000000001E-4</v>
      </c>
      <c r="AGA5">
        <v>67133</v>
      </c>
      <c r="AGB5">
        <v>7.37342E-2</v>
      </c>
      <c r="AGC5">
        <v>67133</v>
      </c>
      <c r="AGD5">
        <v>8.7393700000000005E-2</v>
      </c>
      <c r="AGE5">
        <v>67133</v>
      </c>
      <c r="AGF5">
        <v>0.11232930000000001</v>
      </c>
      <c r="AGG5">
        <v>67133</v>
      </c>
      <c r="AGH5">
        <v>0.10249800000000001</v>
      </c>
      <c r="AGI5">
        <v>67133</v>
      </c>
      <c r="AGJ5">
        <v>0.1117036</v>
      </c>
      <c r="AGK5">
        <v>67133</v>
      </c>
      <c r="AGL5">
        <v>0.10063610000000001</v>
      </c>
      <c r="AGM5">
        <v>67133</v>
      </c>
      <c r="AGN5">
        <v>9.1758199999999998E-2</v>
      </c>
      <c r="AGO5">
        <v>67133</v>
      </c>
      <c r="AGP5">
        <v>8.7780999999999998E-2</v>
      </c>
      <c r="AGQ5">
        <v>67133</v>
      </c>
      <c r="AGR5">
        <v>6.4141299999999998E-2</v>
      </c>
      <c r="AGS5">
        <v>67133</v>
      </c>
      <c r="AGT5">
        <v>9.6390699999999996E-2</v>
      </c>
      <c r="AGU5">
        <v>67133</v>
      </c>
      <c r="AGV5">
        <v>3.9176000000000002E-2</v>
      </c>
      <c r="AGW5">
        <v>67133</v>
      </c>
      <c r="AGX5">
        <v>2.57399E-2</v>
      </c>
      <c r="AGY5">
        <v>2012933</v>
      </c>
      <c r="AGZ5">
        <v>2.4443400000000001E-2</v>
      </c>
      <c r="AHA5">
        <v>49203</v>
      </c>
      <c r="AHB5">
        <v>0</v>
      </c>
      <c r="AHC5">
        <v>49203</v>
      </c>
      <c r="AHD5">
        <v>0</v>
      </c>
      <c r="AHE5">
        <v>49203</v>
      </c>
      <c r="AHF5">
        <v>8.8003000000000005E-3</v>
      </c>
      <c r="AHG5">
        <v>49203</v>
      </c>
      <c r="AHH5">
        <v>8.6782999999999999E-3</v>
      </c>
      <c r="AHI5">
        <v>49203</v>
      </c>
      <c r="AHJ5">
        <v>5.2233000000000002E-3</v>
      </c>
      <c r="AHK5">
        <v>49203</v>
      </c>
      <c r="AHL5">
        <v>1.0853E-2</v>
      </c>
      <c r="AHM5">
        <v>49203</v>
      </c>
      <c r="AHN5">
        <v>1.2763399999999999E-2</v>
      </c>
      <c r="AHO5">
        <v>49203</v>
      </c>
      <c r="AHP5">
        <v>4.6562199999999998E-2</v>
      </c>
      <c r="AHQ5">
        <v>49203</v>
      </c>
      <c r="AHR5">
        <v>4.1095100000000002E-2</v>
      </c>
      <c r="AHS5">
        <v>49203</v>
      </c>
      <c r="AHT5">
        <v>8.7962100000000001E-2</v>
      </c>
      <c r="AHU5">
        <v>49203</v>
      </c>
      <c r="AHV5">
        <v>8.9323799999999995E-2</v>
      </c>
      <c r="AHW5">
        <v>49203</v>
      </c>
      <c r="AHX5">
        <v>0.2101295</v>
      </c>
      <c r="AHY5">
        <v>49203</v>
      </c>
      <c r="AHZ5">
        <v>0.28758410000000001</v>
      </c>
      <c r="AIA5">
        <v>49203</v>
      </c>
      <c r="AIB5">
        <v>0.1910249</v>
      </c>
      <c r="AIC5">
        <v>2012933</v>
      </c>
      <c r="AID5">
        <v>7.7017500000000003E-2</v>
      </c>
      <c r="AIE5">
        <v>155031</v>
      </c>
      <c r="AIF5">
        <v>2.3220000000000001E-4</v>
      </c>
      <c r="AIG5">
        <v>155031</v>
      </c>
      <c r="AIH5">
        <v>0</v>
      </c>
      <c r="AII5">
        <v>155031</v>
      </c>
      <c r="AIJ5">
        <v>3.4508999999999998E-3</v>
      </c>
      <c r="AIK5">
        <v>155031</v>
      </c>
      <c r="AIL5">
        <v>2.67043E-2</v>
      </c>
      <c r="AIM5">
        <v>155031</v>
      </c>
      <c r="AIN5">
        <v>5.2428200000000001E-2</v>
      </c>
      <c r="AIO5">
        <v>155031</v>
      </c>
      <c r="AIP5">
        <v>7.3436899999999999E-2</v>
      </c>
      <c r="AIQ5">
        <v>155031</v>
      </c>
      <c r="AIR5">
        <v>0.12083389999999999</v>
      </c>
      <c r="AIS5">
        <v>155031</v>
      </c>
      <c r="AIT5">
        <v>0.13427639999999999</v>
      </c>
      <c r="AIU5">
        <v>155031</v>
      </c>
      <c r="AIV5">
        <v>0.14285529999999999</v>
      </c>
      <c r="AIW5">
        <v>155031</v>
      </c>
      <c r="AIX5">
        <v>0.13179299999999999</v>
      </c>
      <c r="AIY5">
        <v>155031</v>
      </c>
      <c r="AIZ5">
        <v>0.1232205</v>
      </c>
      <c r="AJA5">
        <v>155031</v>
      </c>
      <c r="AJB5">
        <v>0.13068350000000001</v>
      </c>
      <c r="AJC5">
        <v>155031</v>
      </c>
      <c r="AJD5">
        <v>4.5094200000000001E-2</v>
      </c>
      <c r="AJE5">
        <v>155031</v>
      </c>
      <c r="AJF5">
        <v>1.49906E-2</v>
      </c>
      <c r="AJG5">
        <v>4204696</v>
      </c>
      <c r="AJH5">
        <v>0.52126550000000005</v>
      </c>
      <c r="AJI5">
        <v>2191763</v>
      </c>
      <c r="AJJ5">
        <v>0.38901289999999999</v>
      </c>
      <c r="AJK5">
        <v>852624</v>
      </c>
      <c r="AJL5">
        <v>0.1214427</v>
      </c>
      <c r="AJM5">
        <v>852624</v>
      </c>
      <c r="AJN5">
        <v>7.9370300000000005E-2</v>
      </c>
      <c r="AJO5">
        <v>852624</v>
      </c>
      <c r="AJP5">
        <v>0.19759589999999999</v>
      </c>
      <c r="AJQ5">
        <v>852624</v>
      </c>
      <c r="AJR5">
        <v>0.1716114</v>
      </c>
      <c r="AJS5">
        <v>852624</v>
      </c>
      <c r="AJT5">
        <v>0.1144174</v>
      </c>
      <c r="AJU5">
        <v>852624</v>
      </c>
      <c r="AJV5">
        <v>7.1338600000000002E-2</v>
      </c>
      <c r="AJW5">
        <v>852624</v>
      </c>
      <c r="AJX5">
        <v>5.5854599999999997E-2</v>
      </c>
      <c r="AJY5">
        <v>852624</v>
      </c>
      <c r="AJZ5">
        <v>4.9617399999999999E-2</v>
      </c>
      <c r="AKA5">
        <v>852624</v>
      </c>
      <c r="AKB5">
        <v>4.7142700000000003E-2</v>
      </c>
      <c r="AKC5">
        <v>852624</v>
      </c>
      <c r="AKD5">
        <v>3.38696E-2</v>
      </c>
      <c r="AKE5">
        <v>852624</v>
      </c>
      <c r="AKF5">
        <v>2.0881400000000001E-2</v>
      </c>
      <c r="AKG5">
        <v>852624</v>
      </c>
      <c r="AKH5">
        <v>2.1291899999999999E-2</v>
      </c>
      <c r="AKI5">
        <v>852624</v>
      </c>
      <c r="AKJ5">
        <v>1.10987E-2</v>
      </c>
      <c r="AKK5">
        <v>852624</v>
      </c>
      <c r="AKL5">
        <v>4.4673999999999998E-3</v>
      </c>
      <c r="AKM5">
        <v>2191763</v>
      </c>
      <c r="AKN5">
        <v>0.41462329999999997</v>
      </c>
      <c r="AKO5">
        <v>908756</v>
      </c>
      <c r="AKP5">
        <v>0.8759865</v>
      </c>
      <c r="AKQ5">
        <v>796058</v>
      </c>
      <c r="AKR5">
        <v>6.7799999999999995E-5</v>
      </c>
      <c r="AKS5">
        <v>796058</v>
      </c>
      <c r="AKT5">
        <v>4.2709999999999997E-4</v>
      </c>
      <c r="AKU5">
        <v>796058</v>
      </c>
      <c r="AKV5">
        <v>1.32415E-2</v>
      </c>
      <c r="AKW5">
        <v>796058</v>
      </c>
      <c r="AKX5">
        <v>7.49393E-2</v>
      </c>
      <c r="AKY5">
        <v>796058</v>
      </c>
      <c r="AKZ5">
        <v>0.10413559999999999</v>
      </c>
      <c r="ALA5">
        <v>796058</v>
      </c>
      <c r="ALB5">
        <v>0.1160393</v>
      </c>
      <c r="ALC5">
        <v>796058</v>
      </c>
      <c r="ALD5">
        <v>0.1158207</v>
      </c>
      <c r="ALE5">
        <v>796058</v>
      </c>
      <c r="ALF5">
        <v>0.1129767</v>
      </c>
      <c r="ALG5">
        <v>796058</v>
      </c>
      <c r="ALH5">
        <v>0.1199146</v>
      </c>
      <c r="ALI5">
        <v>796058</v>
      </c>
      <c r="ALJ5">
        <v>0.1047964</v>
      </c>
      <c r="ALK5">
        <v>796058</v>
      </c>
      <c r="ALL5">
        <v>9.0733300000000003E-2</v>
      </c>
      <c r="ALM5">
        <v>796058</v>
      </c>
      <c r="ALN5">
        <v>9.5864900000000003E-2</v>
      </c>
      <c r="ALO5">
        <v>796058</v>
      </c>
      <c r="ALP5">
        <v>4.2466799999999999E-2</v>
      </c>
      <c r="ALQ5">
        <v>796058</v>
      </c>
      <c r="ALR5">
        <v>8.5760000000000003E-3</v>
      </c>
      <c r="ALS5">
        <v>908756</v>
      </c>
      <c r="ALT5">
        <v>0.1240135</v>
      </c>
      <c r="ALU5">
        <v>112698</v>
      </c>
      <c r="ALV5">
        <v>0.47835810000000001</v>
      </c>
      <c r="ALW5">
        <v>53910</v>
      </c>
      <c r="ALX5">
        <v>2.1145999999999999E-3</v>
      </c>
      <c r="ALY5">
        <v>53910</v>
      </c>
      <c r="ALZ5">
        <v>0</v>
      </c>
      <c r="AMA5">
        <v>53910</v>
      </c>
      <c r="AMB5">
        <v>2.3632E-2</v>
      </c>
      <c r="AMC5">
        <v>53910</v>
      </c>
      <c r="AMD5">
        <v>6.4181000000000002E-2</v>
      </c>
      <c r="AME5">
        <v>53910</v>
      </c>
      <c r="AMF5">
        <v>8.1283599999999998E-2</v>
      </c>
      <c r="AMG5">
        <v>53910</v>
      </c>
      <c r="AMH5">
        <v>0.1089594</v>
      </c>
      <c r="AMI5">
        <v>53910</v>
      </c>
      <c r="AMJ5">
        <v>0.1415322</v>
      </c>
      <c r="AMK5">
        <v>53910</v>
      </c>
      <c r="AML5">
        <v>0.136765</v>
      </c>
      <c r="AMM5">
        <v>53910</v>
      </c>
      <c r="AMN5">
        <v>0.13561490000000001</v>
      </c>
      <c r="AMO5">
        <v>53910</v>
      </c>
      <c r="AMP5">
        <v>9.8627300000000001E-2</v>
      </c>
      <c r="AMQ5">
        <v>53910</v>
      </c>
      <c r="AMR5">
        <v>7.9094800000000007E-2</v>
      </c>
      <c r="AMS5">
        <v>53910</v>
      </c>
      <c r="AMT5">
        <v>8.1376400000000002E-2</v>
      </c>
      <c r="AMU5">
        <v>53910</v>
      </c>
      <c r="AMV5">
        <v>3.6542400000000003E-2</v>
      </c>
      <c r="AMW5">
        <v>53910</v>
      </c>
      <c r="AMX5">
        <v>1.02764E-2</v>
      </c>
      <c r="AMY5">
        <v>112698</v>
      </c>
      <c r="AMZ5">
        <v>0.52164189999999999</v>
      </c>
      <c r="ANA5">
        <v>58788</v>
      </c>
      <c r="ANB5">
        <v>6.5490000000000001E-3</v>
      </c>
      <c r="ANC5">
        <v>58788</v>
      </c>
      <c r="AND5">
        <v>5.7834999999999996E-3</v>
      </c>
      <c r="ANE5">
        <v>58788</v>
      </c>
      <c r="ANF5">
        <v>7.4385900000000005E-2</v>
      </c>
      <c r="ANG5">
        <v>58788</v>
      </c>
      <c r="ANH5">
        <v>0.12369869999999999</v>
      </c>
      <c r="ANI5">
        <v>58788</v>
      </c>
      <c r="ANJ5">
        <v>0.12841060000000001</v>
      </c>
      <c r="ANK5">
        <v>58788</v>
      </c>
      <c r="ANL5">
        <v>7.7549800000000002E-2</v>
      </c>
      <c r="ANM5">
        <v>58788</v>
      </c>
      <c r="ANN5">
        <v>9.5393599999999995E-2</v>
      </c>
      <c r="ANO5">
        <v>58788</v>
      </c>
      <c r="ANP5">
        <v>0.1087977</v>
      </c>
      <c r="ANQ5">
        <v>58788</v>
      </c>
      <c r="ANR5">
        <v>0.1013642</v>
      </c>
      <c r="ANS5">
        <v>58788</v>
      </c>
      <c r="ANT5">
        <v>9.3199299999999999E-2</v>
      </c>
      <c r="ANU5">
        <v>58788</v>
      </c>
      <c r="ANV5">
        <v>5.5096300000000001E-2</v>
      </c>
      <c r="ANW5">
        <v>58788</v>
      </c>
      <c r="ANX5">
        <v>7.2038500000000005E-2</v>
      </c>
      <c r="ANY5">
        <v>58788</v>
      </c>
      <c r="ANZ5">
        <v>4.49752E-2</v>
      </c>
      <c r="AOA5">
        <v>58788</v>
      </c>
      <c r="AOB5">
        <v>1.27577E-2</v>
      </c>
      <c r="AOC5">
        <v>2191763</v>
      </c>
      <c r="AOD5">
        <v>9.2742199999999997E-2</v>
      </c>
      <c r="AOE5">
        <v>203269</v>
      </c>
      <c r="AOF5">
        <v>2.017E-4</v>
      </c>
      <c r="AOG5">
        <v>203269</v>
      </c>
      <c r="AOH5">
        <v>5.0180000000000005E-4</v>
      </c>
      <c r="AOI5">
        <v>203269</v>
      </c>
      <c r="AOJ5">
        <v>1.3824E-3</v>
      </c>
      <c r="AOK5">
        <v>203269</v>
      </c>
      <c r="AOL5">
        <v>4.3290000000000001E-4</v>
      </c>
      <c r="AOM5">
        <v>203269</v>
      </c>
      <c r="AON5">
        <v>4.4866999999999997E-3</v>
      </c>
      <c r="AOO5">
        <v>203269</v>
      </c>
      <c r="AOP5">
        <v>4.5014E-3</v>
      </c>
      <c r="AOQ5">
        <v>203269</v>
      </c>
      <c r="AOR5">
        <v>8.2895E-3</v>
      </c>
      <c r="AOS5">
        <v>203269</v>
      </c>
      <c r="AOT5">
        <v>1.55754E-2</v>
      </c>
      <c r="AOU5">
        <v>203269</v>
      </c>
      <c r="AOV5">
        <v>3.6769000000000003E-2</v>
      </c>
      <c r="AOW5">
        <v>203269</v>
      </c>
      <c r="AOX5">
        <v>5.8695600000000001E-2</v>
      </c>
      <c r="AOY5">
        <v>203269</v>
      </c>
      <c r="AOZ5">
        <v>9.84902E-2</v>
      </c>
      <c r="APA5">
        <v>203269</v>
      </c>
      <c r="APB5">
        <v>0.23354269999999999</v>
      </c>
      <c r="APC5">
        <v>203269</v>
      </c>
      <c r="APD5">
        <v>0.30839430000000001</v>
      </c>
      <c r="APE5">
        <v>203269</v>
      </c>
      <c r="APF5">
        <v>0.2287363</v>
      </c>
      <c r="APG5">
        <v>2191763</v>
      </c>
      <c r="APH5">
        <v>0.10362159999999999</v>
      </c>
      <c r="API5">
        <v>227114</v>
      </c>
      <c r="APJ5">
        <v>0</v>
      </c>
      <c r="APK5">
        <v>227114</v>
      </c>
      <c r="APL5">
        <v>3.522E-4</v>
      </c>
      <c r="APM5">
        <v>227114</v>
      </c>
      <c r="APN5">
        <v>1.6159E-3</v>
      </c>
      <c r="APO5">
        <v>227114</v>
      </c>
      <c r="APP5">
        <v>2.05271E-2</v>
      </c>
      <c r="APQ5">
        <v>227114</v>
      </c>
      <c r="APR5">
        <v>4.8724400000000001E-2</v>
      </c>
      <c r="APS5">
        <v>227114</v>
      </c>
      <c r="APT5">
        <v>6.5152299999999996E-2</v>
      </c>
      <c r="APU5">
        <v>227114</v>
      </c>
      <c r="APV5">
        <v>9.5273700000000003E-2</v>
      </c>
      <c r="APW5">
        <v>227114</v>
      </c>
      <c r="APX5">
        <v>0.1289573</v>
      </c>
      <c r="APY5">
        <v>227114</v>
      </c>
      <c r="APZ5">
        <v>0.13399440000000001</v>
      </c>
      <c r="AQA5">
        <v>227114</v>
      </c>
      <c r="AQB5">
        <v>0.1439145</v>
      </c>
      <c r="AQC5">
        <v>227114</v>
      </c>
      <c r="AQD5">
        <v>0.12851699999999999</v>
      </c>
      <c r="AQE5">
        <v>227114</v>
      </c>
      <c r="AQF5">
        <v>0.15366730000000001</v>
      </c>
      <c r="AQG5">
        <v>227114</v>
      </c>
      <c r="AQH5">
        <v>6.03794E-2</v>
      </c>
      <c r="AQI5">
        <v>227114</v>
      </c>
      <c r="AQJ5">
        <v>1.8924400000000001E-2</v>
      </c>
      <c r="AQK5">
        <v>522761</v>
      </c>
      <c r="AQL5">
        <v>0.28182859999999998</v>
      </c>
      <c r="AQM5">
        <v>1916910</v>
      </c>
      <c r="AQN5">
        <v>0.57654819999999996</v>
      </c>
      <c r="AQO5">
        <v>1105191</v>
      </c>
      <c r="AQP5">
        <v>0.69948089999999996</v>
      </c>
      <c r="AQQ5">
        <v>773060</v>
      </c>
      <c r="AQR5">
        <v>0.77858380000000005</v>
      </c>
      <c r="AQS5">
        <v>601892</v>
      </c>
      <c r="AQT5">
        <v>0.4052637</v>
      </c>
      <c r="AQU5">
        <v>601892</v>
      </c>
      <c r="AQV5">
        <v>0.5947363</v>
      </c>
      <c r="AQW5">
        <v>773060</v>
      </c>
      <c r="AQX5">
        <v>0.22141620000000001</v>
      </c>
      <c r="AQY5">
        <v>171168</v>
      </c>
      <c r="AQZ5">
        <v>0.28044960000000002</v>
      </c>
      <c r="ARA5">
        <v>48004</v>
      </c>
      <c r="ARB5">
        <v>0.327681</v>
      </c>
      <c r="ARC5">
        <v>48004</v>
      </c>
      <c r="ARD5">
        <v>0.672319</v>
      </c>
      <c r="ARE5">
        <v>171168</v>
      </c>
      <c r="ARF5">
        <v>0.71955040000000003</v>
      </c>
      <c r="ARG5">
        <v>123164</v>
      </c>
      <c r="ARH5">
        <v>0.31465359999999998</v>
      </c>
      <c r="ARI5">
        <v>123164</v>
      </c>
      <c r="ARJ5">
        <v>0.68534640000000002</v>
      </c>
      <c r="ARK5">
        <v>1105191</v>
      </c>
      <c r="ARL5">
        <v>0.30051909999999998</v>
      </c>
      <c r="ARM5">
        <v>1916910</v>
      </c>
      <c r="ARN5">
        <v>0.42345179999999999</v>
      </c>
      <c r="ARO5">
        <v>811719</v>
      </c>
      <c r="ARP5">
        <v>0.48407020000000001</v>
      </c>
      <c r="ARQ5">
        <v>392929</v>
      </c>
      <c r="ARR5">
        <v>0.43536619999999998</v>
      </c>
      <c r="ARS5">
        <v>171068</v>
      </c>
      <c r="ART5">
        <v>0.53462370000000004</v>
      </c>
      <c r="ARU5">
        <v>171068</v>
      </c>
      <c r="ARV5">
        <v>0.46537630000000002</v>
      </c>
      <c r="ARW5">
        <v>392929</v>
      </c>
      <c r="ARX5">
        <v>0.56463379999999996</v>
      </c>
      <c r="ARY5">
        <v>221861</v>
      </c>
      <c r="ARZ5">
        <v>0.2167393</v>
      </c>
      <c r="ASA5">
        <v>48086</v>
      </c>
      <c r="ASB5">
        <v>0.50576049999999995</v>
      </c>
      <c r="ASC5">
        <v>48086</v>
      </c>
      <c r="ASD5">
        <v>0.4942395</v>
      </c>
      <c r="ASE5">
        <v>221861</v>
      </c>
      <c r="ASF5">
        <v>0.78326070000000003</v>
      </c>
      <c r="ASG5">
        <v>173775</v>
      </c>
      <c r="ASH5">
        <v>0.62480219999999997</v>
      </c>
      <c r="ASI5">
        <v>173775</v>
      </c>
      <c r="ASJ5">
        <v>0.37519780000000003</v>
      </c>
      <c r="ASK5">
        <v>811719</v>
      </c>
      <c r="ASL5">
        <v>0.51592979999999999</v>
      </c>
      <c r="ASM5">
        <v>1632655</v>
      </c>
      <c r="ASN5">
        <v>0.54920599999999997</v>
      </c>
      <c r="ASO5">
        <v>896664</v>
      </c>
      <c r="ASP5">
        <v>0.37265569999999998</v>
      </c>
      <c r="ASQ5">
        <v>334147</v>
      </c>
      <c r="ASR5">
        <v>0.49645519999999999</v>
      </c>
      <c r="ASS5">
        <v>165889</v>
      </c>
      <c r="AST5">
        <v>0.64090449999999999</v>
      </c>
      <c r="ASU5">
        <v>165889</v>
      </c>
      <c r="ASV5">
        <v>0.35909550000000001</v>
      </c>
      <c r="ASW5">
        <v>334147</v>
      </c>
      <c r="ASX5">
        <v>0.2080013</v>
      </c>
      <c r="ASY5">
        <v>69503</v>
      </c>
      <c r="ASZ5">
        <v>0.58577330000000005</v>
      </c>
      <c r="ATA5">
        <v>69503</v>
      </c>
      <c r="ATB5">
        <v>0.33330939999999998</v>
      </c>
      <c r="ATC5">
        <v>69503</v>
      </c>
      <c r="ATD5">
        <v>8.09174E-2</v>
      </c>
      <c r="ATE5">
        <v>334147</v>
      </c>
      <c r="ATF5">
        <v>0.2201217</v>
      </c>
      <c r="ATG5">
        <v>73553</v>
      </c>
      <c r="ATH5">
        <v>0.15651300000000001</v>
      </c>
      <c r="ATI5">
        <v>73553</v>
      </c>
      <c r="ATJ5">
        <v>0.26980549999999998</v>
      </c>
      <c r="ATK5">
        <v>73553</v>
      </c>
      <c r="ATL5">
        <v>0.33694069999999998</v>
      </c>
      <c r="ATM5">
        <v>73553</v>
      </c>
      <c r="ATN5">
        <v>0.2367409</v>
      </c>
      <c r="ATO5">
        <v>334147</v>
      </c>
      <c r="ATP5">
        <v>7.54219E-2</v>
      </c>
      <c r="ATQ5">
        <v>25202</v>
      </c>
      <c r="ATR5">
        <v>0.7599397</v>
      </c>
      <c r="ATS5">
        <v>25202</v>
      </c>
      <c r="ATT5">
        <v>0.2400603</v>
      </c>
      <c r="ATU5">
        <v>896664</v>
      </c>
      <c r="ATV5">
        <v>0.1418614</v>
      </c>
      <c r="ATW5">
        <v>127202</v>
      </c>
      <c r="ATX5">
        <v>3.7554400000000002E-2</v>
      </c>
      <c r="ATY5">
        <v>127202</v>
      </c>
      <c r="ATZ5">
        <v>0.28358050000000001</v>
      </c>
      <c r="AUA5">
        <v>36072</v>
      </c>
      <c r="AUB5">
        <v>0.56309600000000004</v>
      </c>
      <c r="AUC5">
        <v>36072</v>
      </c>
      <c r="AUD5">
        <v>0.43690400000000001</v>
      </c>
      <c r="AUE5">
        <v>127202</v>
      </c>
      <c r="AUF5">
        <v>0.34083580000000002</v>
      </c>
      <c r="AUG5">
        <v>127202</v>
      </c>
      <c r="AUH5">
        <v>0.244949</v>
      </c>
      <c r="AUI5">
        <v>127202</v>
      </c>
      <c r="AUJ5">
        <v>9.3080300000000005E-2</v>
      </c>
      <c r="AUK5">
        <v>896664</v>
      </c>
      <c r="AUL5">
        <v>0.19019829999999999</v>
      </c>
      <c r="AUM5">
        <v>170544</v>
      </c>
      <c r="AUN5">
        <v>0.57260299999999997</v>
      </c>
      <c r="AUO5">
        <v>170544</v>
      </c>
      <c r="AUP5">
        <v>0.42739700000000003</v>
      </c>
      <c r="AUQ5">
        <v>896664</v>
      </c>
      <c r="AUR5">
        <v>0.1039453</v>
      </c>
      <c r="AUS5">
        <v>93204</v>
      </c>
      <c r="AUT5">
        <v>1.1147600000000001E-2</v>
      </c>
      <c r="AUU5">
        <v>93204</v>
      </c>
      <c r="AUV5">
        <v>0.52083599999999997</v>
      </c>
      <c r="AUW5">
        <v>93204</v>
      </c>
      <c r="AUX5">
        <v>0.4680164</v>
      </c>
      <c r="AUY5">
        <v>896664</v>
      </c>
      <c r="AUZ5">
        <v>0.19133919999999999</v>
      </c>
      <c r="AVA5">
        <v>171567</v>
      </c>
      <c r="AVB5">
        <v>0.47378579999999998</v>
      </c>
      <c r="AVC5">
        <v>171567</v>
      </c>
      <c r="AVD5">
        <v>0.32622240000000002</v>
      </c>
      <c r="AVE5">
        <v>171567</v>
      </c>
      <c r="AVF5">
        <v>0.1999918</v>
      </c>
      <c r="AVG5">
        <v>1632655</v>
      </c>
      <c r="AVH5">
        <v>0.45079399999999997</v>
      </c>
      <c r="AVI5">
        <v>735991</v>
      </c>
      <c r="AVJ5">
        <v>0.47055059999999999</v>
      </c>
      <c r="AVK5">
        <v>346321</v>
      </c>
      <c r="AVL5">
        <v>0.41059600000000002</v>
      </c>
      <c r="AVM5">
        <v>142198</v>
      </c>
      <c r="AVN5">
        <v>0.56978300000000004</v>
      </c>
      <c r="AVO5">
        <v>142198</v>
      </c>
      <c r="AVP5">
        <v>0.43021700000000002</v>
      </c>
      <c r="AVQ5">
        <v>346321</v>
      </c>
      <c r="AVR5">
        <v>7.7188499999999993E-2</v>
      </c>
      <c r="AVS5">
        <v>26732</v>
      </c>
      <c r="AVT5">
        <v>0.64593</v>
      </c>
      <c r="AVU5">
        <v>26732</v>
      </c>
      <c r="AVV5">
        <v>0.14129130000000001</v>
      </c>
      <c r="AVW5">
        <v>26732</v>
      </c>
      <c r="AVX5">
        <v>0.21277869999999999</v>
      </c>
      <c r="AVY5">
        <v>346321</v>
      </c>
      <c r="AVZ5">
        <v>0.3326942</v>
      </c>
      <c r="AWA5">
        <v>115219</v>
      </c>
      <c r="AWB5">
        <v>0.20254469999999999</v>
      </c>
      <c r="AWC5">
        <v>115219</v>
      </c>
      <c r="AWD5">
        <v>0.14126140000000001</v>
      </c>
      <c r="AWE5">
        <v>115219</v>
      </c>
      <c r="AWF5">
        <v>0.50180959999999997</v>
      </c>
      <c r="AWG5">
        <v>115219</v>
      </c>
      <c r="AWH5">
        <v>0.1543843</v>
      </c>
      <c r="AWI5">
        <v>346321</v>
      </c>
      <c r="AWJ5">
        <v>0.17952129999999999</v>
      </c>
      <c r="AWK5">
        <v>62172</v>
      </c>
      <c r="AWL5">
        <v>0.75995619999999997</v>
      </c>
      <c r="AWM5">
        <v>62172</v>
      </c>
      <c r="AWN5">
        <v>0.2400437</v>
      </c>
      <c r="AWO5">
        <v>735991</v>
      </c>
      <c r="AWP5">
        <v>0.1609218</v>
      </c>
      <c r="AWQ5">
        <v>118437</v>
      </c>
      <c r="AWR5">
        <v>0.21409690000000001</v>
      </c>
      <c r="AWS5">
        <v>118437</v>
      </c>
      <c r="AWT5">
        <v>8.22209E-2</v>
      </c>
      <c r="AWU5">
        <v>9738</v>
      </c>
      <c r="AWV5">
        <v>0.5736291</v>
      </c>
      <c r="AWW5">
        <v>9738</v>
      </c>
      <c r="AWX5">
        <v>0.4263709</v>
      </c>
      <c r="AWY5">
        <v>118437</v>
      </c>
      <c r="AWZ5">
        <v>0.2122647</v>
      </c>
      <c r="AXA5">
        <v>118437</v>
      </c>
      <c r="AXB5">
        <v>0.18622559999999999</v>
      </c>
      <c r="AXC5">
        <v>118437</v>
      </c>
      <c r="AXD5">
        <v>0.30519180000000001</v>
      </c>
      <c r="AXE5">
        <v>735991</v>
      </c>
      <c r="AXF5">
        <v>0.30079040000000001</v>
      </c>
      <c r="AXG5">
        <v>221379</v>
      </c>
      <c r="AXH5">
        <v>0.29286879999999998</v>
      </c>
      <c r="AXI5">
        <v>221379</v>
      </c>
      <c r="AXJ5">
        <v>0.70713119999999996</v>
      </c>
      <c r="AXK5">
        <v>735991</v>
      </c>
      <c r="AXL5">
        <v>5.0842999999999999E-3</v>
      </c>
      <c r="AXM5">
        <v>3742</v>
      </c>
      <c r="AXN5">
        <v>0.13709250000000001</v>
      </c>
      <c r="AXO5">
        <v>3742</v>
      </c>
      <c r="AXP5">
        <v>0.36130410000000002</v>
      </c>
      <c r="AXQ5">
        <v>3742</v>
      </c>
      <c r="AXR5">
        <v>0.50160340000000003</v>
      </c>
      <c r="AXS5">
        <v>735991</v>
      </c>
      <c r="AXT5">
        <v>6.2652899999999997E-2</v>
      </c>
      <c r="AXU5">
        <v>46112</v>
      </c>
      <c r="AXV5">
        <v>0.66303780000000001</v>
      </c>
      <c r="AXW5">
        <v>46112</v>
      </c>
      <c r="AXX5">
        <v>0.18196999999999999</v>
      </c>
      <c r="AXY5">
        <v>46112</v>
      </c>
      <c r="AXZ5">
        <v>0.1549922</v>
      </c>
      <c r="AYA5">
        <v>253864</v>
      </c>
      <c r="AYB5">
        <v>1.9959500000000002E-2</v>
      </c>
      <c r="AYC5">
        <v>253864</v>
      </c>
      <c r="AYD5">
        <v>0.174235</v>
      </c>
      <c r="AYE5">
        <v>253864</v>
      </c>
      <c r="AYF5">
        <v>0.30213030000000002</v>
      </c>
      <c r="AYG5">
        <v>253864</v>
      </c>
      <c r="AYH5">
        <v>0.3437037</v>
      </c>
      <c r="AYI5">
        <v>253864</v>
      </c>
      <c r="AYJ5">
        <v>3.8497000000000003E-2</v>
      </c>
      <c r="AYK5">
        <v>253864</v>
      </c>
      <c r="AYL5">
        <v>0.1142305</v>
      </c>
      <c r="AYM5">
        <v>253864</v>
      </c>
      <c r="AYN5">
        <v>7.2439999999999996E-3</v>
      </c>
      <c r="AYO5">
        <v>418002</v>
      </c>
      <c r="AYP5">
        <v>5.1932800000000001E-2</v>
      </c>
      <c r="AYQ5">
        <v>418002</v>
      </c>
      <c r="AYR5">
        <v>7.7781900000000001E-2</v>
      </c>
      <c r="AYS5">
        <v>418002</v>
      </c>
      <c r="AYT5">
        <v>0.2242429</v>
      </c>
      <c r="AYU5">
        <v>418002</v>
      </c>
      <c r="AYV5">
        <v>0.19933400000000001</v>
      </c>
      <c r="AYW5">
        <v>418002</v>
      </c>
      <c r="AYX5">
        <v>5.3633699999999999E-2</v>
      </c>
      <c r="AYY5">
        <v>418002</v>
      </c>
      <c r="AYZ5">
        <v>0.27863500000000002</v>
      </c>
      <c r="AZA5">
        <v>418002</v>
      </c>
      <c r="AZB5">
        <v>0.1144396</v>
      </c>
      <c r="AZC5">
        <v>350272</v>
      </c>
      <c r="AZD5">
        <v>7.1607199999999996E-2</v>
      </c>
      <c r="AZE5">
        <v>350272</v>
      </c>
      <c r="AZF5">
        <v>7.4510699999999999E-2</v>
      </c>
      <c r="AZG5">
        <v>350272</v>
      </c>
      <c r="AZH5">
        <v>0.25462210000000002</v>
      </c>
      <c r="AZI5">
        <v>350272</v>
      </c>
      <c r="AZJ5">
        <v>0.1883765</v>
      </c>
      <c r="AZK5">
        <v>350272</v>
      </c>
      <c r="AZL5">
        <v>6.1594999999999997E-2</v>
      </c>
      <c r="AZM5">
        <v>350272</v>
      </c>
      <c r="AZN5">
        <v>0.21289739999999999</v>
      </c>
      <c r="AZO5">
        <v>350272</v>
      </c>
      <c r="AZP5">
        <v>0.13639109999999999</v>
      </c>
      <c r="AZQ5">
        <v>623982</v>
      </c>
      <c r="AZR5">
        <v>8.13773E-2</v>
      </c>
      <c r="AZS5">
        <v>623982</v>
      </c>
      <c r="AZT5">
        <v>8.6143499999999998E-2</v>
      </c>
      <c r="AZU5">
        <v>623982</v>
      </c>
      <c r="AZV5">
        <v>0.26143860000000002</v>
      </c>
      <c r="AZW5">
        <v>623982</v>
      </c>
      <c r="AZX5">
        <v>0.19897529999999999</v>
      </c>
      <c r="AZY5">
        <v>623982</v>
      </c>
      <c r="AZZ5">
        <v>6.0123500000000003E-2</v>
      </c>
      <c r="BAA5">
        <v>623982</v>
      </c>
      <c r="BAB5">
        <v>0.17898269999999999</v>
      </c>
      <c r="BAC5">
        <v>623982</v>
      </c>
      <c r="BAD5">
        <v>0.13295899999999999</v>
      </c>
      <c r="BAE5">
        <v>258520</v>
      </c>
      <c r="BAF5">
        <v>0.12848519999999999</v>
      </c>
      <c r="BAG5">
        <v>258520</v>
      </c>
      <c r="BAH5">
        <v>0.10694339999999999</v>
      </c>
      <c r="BAI5">
        <v>258520</v>
      </c>
      <c r="BAJ5">
        <v>0.26473390000000002</v>
      </c>
      <c r="BAK5">
        <v>258520</v>
      </c>
      <c r="BAL5">
        <v>0.17751430000000001</v>
      </c>
      <c r="BAM5">
        <v>258520</v>
      </c>
      <c r="BAN5">
        <v>3.3560300000000001E-2</v>
      </c>
      <c r="BAO5">
        <v>258520</v>
      </c>
      <c r="BAP5">
        <v>0.1398576</v>
      </c>
      <c r="BAQ5">
        <v>258520</v>
      </c>
      <c r="BAR5">
        <v>0.14890529999999999</v>
      </c>
      <c r="BAS5">
        <v>253846</v>
      </c>
      <c r="BAT5">
        <v>1.3137899999999999E-2</v>
      </c>
      <c r="BAU5">
        <v>253846</v>
      </c>
      <c r="BAV5">
        <v>0.12728980000000001</v>
      </c>
      <c r="BAW5">
        <v>253846</v>
      </c>
      <c r="BAX5">
        <v>0.25444559999999999</v>
      </c>
      <c r="BAY5">
        <v>253846</v>
      </c>
      <c r="BAZ5">
        <v>0.37635020000000002</v>
      </c>
      <c r="BBA5">
        <v>253846</v>
      </c>
      <c r="BBB5">
        <v>4.7934600000000001E-2</v>
      </c>
      <c r="BBC5">
        <v>253846</v>
      </c>
      <c r="BBD5">
        <v>0.16808219999999999</v>
      </c>
      <c r="BBE5">
        <v>253846</v>
      </c>
      <c r="BBF5">
        <v>1.2759700000000001E-2</v>
      </c>
      <c r="BBG5">
        <v>425820</v>
      </c>
      <c r="BBH5">
        <v>3.2772099999999998E-2</v>
      </c>
      <c r="BBI5">
        <v>425820</v>
      </c>
      <c r="BBJ5">
        <v>5.5194699999999999E-2</v>
      </c>
      <c r="BBK5">
        <v>425820</v>
      </c>
      <c r="BBL5">
        <v>0.18482460000000001</v>
      </c>
      <c r="BBM5">
        <v>425820</v>
      </c>
      <c r="BBN5">
        <v>0.1762811</v>
      </c>
      <c r="BBO5">
        <v>425820</v>
      </c>
      <c r="BBP5">
        <v>6.7216200000000004E-2</v>
      </c>
      <c r="BBQ5">
        <v>425820</v>
      </c>
      <c r="BBR5">
        <v>0.31985819999999998</v>
      </c>
      <c r="BBS5">
        <v>425820</v>
      </c>
      <c r="BBT5">
        <v>0.16385330000000001</v>
      </c>
      <c r="BBU5">
        <v>355728</v>
      </c>
      <c r="BBV5">
        <v>6.5454499999999999E-2</v>
      </c>
      <c r="BBW5">
        <v>355728</v>
      </c>
      <c r="BBX5">
        <v>6.18731E-2</v>
      </c>
      <c r="BBY5">
        <v>355728</v>
      </c>
      <c r="BBZ5">
        <v>0.2147174</v>
      </c>
      <c r="BCA5">
        <v>355728</v>
      </c>
      <c r="BCB5">
        <v>0.18222070000000001</v>
      </c>
      <c r="BCC5">
        <v>355728</v>
      </c>
      <c r="BCD5">
        <v>7.5349700000000006E-2</v>
      </c>
      <c r="BCE5">
        <v>355728</v>
      </c>
      <c r="BCF5">
        <v>0.23544109999999999</v>
      </c>
      <c r="BCG5">
        <v>355728</v>
      </c>
      <c r="BCH5">
        <v>0.16494339999999999</v>
      </c>
      <c r="BCI5">
        <v>679752</v>
      </c>
      <c r="BCJ5">
        <v>7.1845300000000001E-2</v>
      </c>
      <c r="BCK5">
        <v>679752</v>
      </c>
      <c r="BCL5">
        <v>7.2595599999999996E-2</v>
      </c>
      <c r="BCM5">
        <v>679752</v>
      </c>
      <c r="BCN5">
        <v>0.24612059999999999</v>
      </c>
      <c r="BCO5">
        <v>679752</v>
      </c>
      <c r="BCP5">
        <v>0.21000450000000001</v>
      </c>
      <c r="BCQ5">
        <v>679752</v>
      </c>
      <c r="BCR5">
        <v>7.8212400000000001E-2</v>
      </c>
      <c r="BCS5">
        <v>679752</v>
      </c>
      <c r="BCT5">
        <v>0.19002959999999999</v>
      </c>
      <c r="BCU5">
        <v>679752</v>
      </c>
      <c r="BCV5">
        <v>0.131192</v>
      </c>
      <c r="BCW5">
        <v>372478</v>
      </c>
      <c r="BCX5">
        <v>0.14151440000000001</v>
      </c>
      <c r="BCY5">
        <v>372478</v>
      </c>
      <c r="BCZ5">
        <v>0.1157062</v>
      </c>
      <c r="BDA5">
        <v>372478</v>
      </c>
      <c r="BDB5">
        <v>0.3396576</v>
      </c>
      <c r="BDC5">
        <v>372478</v>
      </c>
      <c r="BDD5">
        <v>0.18406719999999999</v>
      </c>
      <c r="BDE5">
        <v>372478</v>
      </c>
      <c r="BDF5">
        <v>3.5317500000000002E-2</v>
      </c>
      <c r="BDG5">
        <v>372478</v>
      </c>
      <c r="BDH5">
        <v>0.10908030000000001</v>
      </c>
      <c r="BDI5">
        <v>372478</v>
      </c>
      <c r="BDJ5">
        <v>7.4656799999999995E-2</v>
      </c>
      <c r="BDK5">
        <v>1324903</v>
      </c>
      <c r="BDL5">
        <v>5.1960800000000001E-2</v>
      </c>
      <c r="BDM5">
        <v>68843</v>
      </c>
      <c r="BDN5">
        <v>0.62055689999999997</v>
      </c>
      <c r="BDO5">
        <v>42721</v>
      </c>
      <c r="BDP5">
        <v>0.61281339999999995</v>
      </c>
      <c r="BDQ5">
        <v>42721</v>
      </c>
      <c r="BDR5">
        <v>0.38718659999999999</v>
      </c>
      <c r="BDS5">
        <v>68843</v>
      </c>
      <c r="BDT5">
        <v>0.37944309999999998</v>
      </c>
      <c r="BDU5">
        <v>26122</v>
      </c>
      <c r="BDV5">
        <v>0.59960959999999996</v>
      </c>
      <c r="BDW5">
        <v>26122</v>
      </c>
      <c r="BDX5">
        <v>0.40039049999999998</v>
      </c>
      <c r="BDY5">
        <v>1324903</v>
      </c>
      <c r="BDZ5">
        <v>0.94803919999999997</v>
      </c>
      <c r="BEA5">
        <v>1256060</v>
      </c>
      <c r="BEB5">
        <v>0.3791292</v>
      </c>
      <c r="BEC5">
        <v>476209</v>
      </c>
      <c r="BED5">
        <v>0.73145190000000004</v>
      </c>
      <c r="BEE5">
        <v>476209</v>
      </c>
      <c r="BEF5">
        <v>0.26854800000000001</v>
      </c>
      <c r="BEG5">
        <v>1256060</v>
      </c>
      <c r="BEH5">
        <v>0.62087079999999994</v>
      </c>
      <c r="BEI5">
        <v>779851</v>
      </c>
      <c r="BEJ5">
        <v>0.72993180000000002</v>
      </c>
      <c r="BEK5">
        <v>779851</v>
      </c>
      <c r="BEL5">
        <v>0.27006829999999998</v>
      </c>
      <c r="BEM5">
        <v>2322252</v>
      </c>
      <c r="BEN5">
        <v>0.51836970000000004</v>
      </c>
      <c r="BEO5">
        <v>1203785</v>
      </c>
      <c r="BEP5">
        <v>0.97977709999999996</v>
      </c>
      <c r="BEQ5">
        <v>1179441</v>
      </c>
      <c r="BER5">
        <v>0.4616942</v>
      </c>
      <c r="BES5">
        <v>1179441</v>
      </c>
      <c r="BET5">
        <v>0.5383059</v>
      </c>
      <c r="BEU5">
        <v>1203785</v>
      </c>
      <c r="BEV5">
        <v>2.0222899999999999E-2</v>
      </c>
      <c r="BEW5">
        <v>2322252</v>
      </c>
      <c r="BEX5">
        <v>0.48163030000000001</v>
      </c>
      <c r="BEY5">
        <v>1118467</v>
      </c>
      <c r="BEZ5">
        <v>0.98212370000000004</v>
      </c>
      <c r="BFA5">
        <v>1098473</v>
      </c>
      <c r="BFB5">
        <v>0.48748580000000002</v>
      </c>
      <c r="BFC5">
        <v>1098473</v>
      </c>
      <c r="BFD5">
        <v>0.51251420000000003</v>
      </c>
      <c r="BFE5">
        <v>1118467</v>
      </c>
      <c r="BFF5">
        <v>1.7876300000000001E-2</v>
      </c>
      <c r="BFG5">
        <v>2527998</v>
      </c>
      <c r="BFH5">
        <v>0.24658169999999999</v>
      </c>
      <c r="BFI5">
        <v>623358</v>
      </c>
      <c r="BFJ5">
        <v>0.95189120000000005</v>
      </c>
      <c r="BFK5">
        <v>623358</v>
      </c>
      <c r="BFL5">
        <v>4.81088E-2</v>
      </c>
      <c r="BFM5">
        <v>29989</v>
      </c>
      <c r="BFN5">
        <v>0.20764279999999999</v>
      </c>
      <c r="BFO5">
        <v>29989</v>
      </c>
      <c r="BFP5">
        <v>0.79235719999999998</v>
      </c>
      <c r="BFQ5">
        <v>2527998</v>
      </c>
      <c r="BFR5">
        <v>0.75341829999999999</v>
      </c>
      <c r="BFS5">
        <v>1904640</v>
      </c>
      <c r="BFT5">
        <v>0.7256011</v>
      </c>
      <c r="BFU5">
        <v>1904640</v>
      </c>
      <c r="BFV5">
        <v>0.2743988</v>
      </c>
      <c r="BFW5">
        <v>522631</v>
      </c>
      <c r="BFX5">
        <v>0.44850380000000001</v>
      </c>
      <c r="BFY5">
        <v>522631</v>
      </c>
      <c r="BFZ5">
        <v>0.55149619999999999</v>
      </c>
      <c r="BGA5">
        <v>2689082</v>
      </c>
      <c r="BGB5">
        <v>0.2236667</v>
      </c>
      <c r="BGC5">
        <v>601458</v>
      </c>
      <c r="BGD5">
        <v>0.95265339999999998</v>
      </c>
      <c r="BGE5">
        <v>601458</v>
      </c>
      <c r="BGF5">
        <v>4.7346600000000003E-2</v>
      </c>
      <c r="BGG5">
        <v>28477</v>
      </c>
      <c r="BGH5">
        <v>0.2523089</v>
      </c>
      <c r="BGI5">
        <v>28477</v>
      </c>
      <c r="BGJ5">
        <v>0.74769110000000005</v>
      </c>
      <c r="BGK5">
        <v>2689082</v>
      </c>
      <c r="BGL5">
        <v>0.7763333</v>
      </c>
      <c r="BGM5">
        <v>2087624</v>
      </c>
      <c r="BGN5">
        <v>0.74937580000000004</v>
      </c>
      <c r="BGO5">
        <v>2087624</v>
      </c>
      <c r="BGP5">
        <v>0.25062420000000002</v>
      </c>
      <c r="BGQ5">
        <v>523209</v>
      </c>
      <c r="BGR5">
        <v>0.50563349999999996</v>
      </c>
      <c r="BGS5">
        <v>523209</v>
      </c>
      <c r="BGT5">
        <v>0.49436649999999999</v>
      </c>
    </row>
    <row r="6" spans="1:1554" x14ac:dyDescent="0.25">
      <c r="A6" t="s">
        <v>136</v>
      </c>
      <c r="B6">
        <v>2012</v>
      </c>
      <c r="C6">
        <v>1</v>
      </c>
      <c r="D6" t="s">
        <v>559</v>
      </c>
      <c r="E6">
        <v>923158</v>
      </c>
      <c r="F6">
        <v>0.44584679999999999</v>
      </c>
      <c r="G6">
        <v>411587</v>
      </c>
      <c r="H6">
        <v>0.1115317</v>
      </c>
      <c r="I6">
        <v>411587</v>
      </c>
      <c r="J6">
        <v>2.1723200000000002E-2</v>
      </c>
      <c r="K6">
        <v>411587</v>
      </c>
      <c r="L6">
        <v>0.1327933</v>
      </c>
      <c r="M6">
        <v>411587</v>
      </c>
      <c r="N6">
        <v>6.2101099999999999E-2</v>
      </c>
      <c r="O6">
        <v>411587</v>
      </c>
      <c r="P6">
        <v>2.0880200000000002E-2</v>
      </c>
      <c r="Q6">
        <v>411587</v>
      </c>
      <c r="R6">
        <v>3.6172200000000002E-2</v>
      </c>
      <c r="S6">
        <v>411587</v>
      </c>
      <c r="T6">
        <v>0.1385199</v>
      </c>
      <c r="U6">
        <v>411587</v>
      </c>
      <c r="V6">
        <v>0.13022520000000001</v>
      </c>
      <c r="W6">
        <v>411587</v>
      </c>
      <c r="X6">
        <v>0.1001562</v>
      </c>
      <c r="Y6">
        <v>411587</v>
      </c>
      <c r="Z6">
        <v>0.1041748</v>
      </c>
      <c r="AA6">
        <v>411587</v>
      </c>
      <c r="AB6">
        <v>8.0376699999999995E-2</v>
      </c>
      <c r="AC6">
        <v>411587</v>
      </c>
      <c r="AD6">
        <v>3.8837499999999997E-2</v>
      </c>
      <c r="AE6">
        <v>411587</v>
      </c>
      <c r="AF6">
        <v>2.2508E-2</v>
      </c>
      <c r="AG6">
        <v>923158</v>
      </c>
      <c r="AH6">
        <v>0.55415329999999996</v>
      </c>
      <c r="AI6">
        <v>511571</v>
      </c>
      <c r="AJ6">
        <v>8.7614399999999995E-2</v>
      </c>
      <c r="AK6">
        <v>511571</v>
      </c>
      <c r="AL6">
        <v>1.7225399999999998E-2</v>
      </c>
      <c r="AM6">
        <v>511571</v>
      </c>
      <c r="AN6">
        <v>9.8136899999999999E-2</v>
      </c>
      <c r="AO6">
        <v>511571</v>
      </c>
      <c r="AP6">
        <v>4.7794000000000003E-2</v>
      </c>
      <c r="AQ6">
        <v>511571</v>
      </c>
      <c r="AR6">
        <v>1.45767E-2</v>
      </c>
      <c r="AS6">
        <v>511571</v>
      </c>
      <c r="AT6">
        <v>3.4937500000000003E-2</v>
      </c>
      <c r="AU6">
        <v>511571</v>
      </c>
      <c r="AV6">
        <v>0.13059180000000001</v>
      </c>
      <c r="AW6">
        <v>511571</v>
      </c>
      <c r="AX6">
        <v>0.15772</v>
      </c>
      <c r="AY6">
        <v>511571</v>
      </c>
      <c r="AZ6">
        <v>0.1238616</v>
      </c>
      <c r="BA6">
        <v>511571</v>
      </c>
      <c r="BB6">
        <v>9.9356700000000006E-2</v>
      </c>
      <c r="BC6">
        <v>511571</v>
      </c>
      <c r="BD6">
        <v>8.6076E-2</v>
      </c>
      <c r="BE6">
        <v>511571</v>
      </c>
      <c r="BF6">
        <v>4.99794E-2</v>
      </c>
      <c r="BG6">
        <v>511571</v>
      </c>
      <c r="BH6">
        <v>5.2129599999999998E-2</v>
      </c>
      <c r="BI6">
        <v>4228379</v>
      </c>
      <c r="BJ6">
        <v>0.4932995</v>
      </c>
      <c r="BK6">
        <v>2085857</v>
      </c>
      <c r="BL6">
        <v>6.0985499999999998E-2</v>
      </c>
      <c r="BM6">
        <v>2085857</v>
      </c>
      <c r="BN6">
        <v>1.1314299999999999E-2</v>
      </c>
      <c r="BO6">
        <v>2085857</v>
      </c>
      <c r="BP6">
        <v>6.9618399999999997E-2</v>
      </c>
      <c r="BQ6">
        <v>2085857</v>
      </c>
      <c r="BR6">
        <v>3.6379799999999997E-2</v>
      </c>
      <c r="BS6">
        <v>2085857</v>
      </c>
      <c r="BT6">
        <v>1.35935E-2</v>
      </c>
      <c r="BU6">
        <v>2085857</v>
      </c>
      <c r="BV6">
        <v>2.5429400000000001E-2</v>
      </c>
      <c r="BW6">
        <v>2085857</v>
      </c>
      <c r="BX6">
        <v>8.7021799999999996E-2</v>
      </c>
      <c r="BY6">
        <v>2085857</v>
      </c>
      <c r="BZ6">
        <v>0.1744405</v>
      </c>
      <c r="CA6">
        <v>2085857</v>
      </c>
      <c r="CB6">
        <v>0.1477369</v>
      </c>
      <c r="CC6">
        <v>2085857</v>
      </c>
      <c r="CD6">
        <v>0.14166409999999999</v>
      </c>
      <c r="CE6">
        <v>2085857</v>
      </c>
      <c r="CF6">
        <v>0.1187498</v>
      </c>
      <c r="CG6">
        <v>2085857</v>
      </c>
      <c r="CH6">
        <v>6.5979099999999999E-2</v>
      </c>
      <c r="CI6">
        <v>2085857</v>
      </c>
      <c r="CJ6">
        <v>4.70871E-2</v>
      </c>
      <c r="CK6">
        <v>4228379</v>
      </c>
      <c r="CL6">
        <v>0.50670059999999995</v>
      </c>
      <c r="CM6">
        <v>2142522</v>
      </c>
      <c r="CN6">
        <v>5.73964E-2</v>
      </c>
      <c r="CO6">
        <v>2142522</v>
      </c>
      <c r="CP6">
        <v>1.12928E-2</v>
      </c>
      <c r="CQ6">
        <v>2142522</v>
      </c>
      <c r="CR6">
        <v>6.6955200000000006E-2</v>
      </c>
      <c r="CS6">
        <v>2142522</v>
      </c>
      <c r="CT6">
        <v>3.3184699999999998E-2</v>
      </c>
      <c r="CU6">
        <v>2142522</v>
      </c>
      <c r="CV6">
        <v>1.1260600000000001E-2</v>
      </c>
      <c r="CW6">
        <v>2142522</v>
      </c>
      <c r="CX6">
        <v>2.4222400000000002E-2</v>
      </c>
      <c r="CY6">
        <v>2142522</v>
      </c>
      <c r="CZ6">
        <v>8.0736600000000006E-2</v>
      </c>
      <c r="DA6">
        <v>2142522</v>
      </c>
      <c r="DB6">
        <v>0.1615162</v>
      </c>
      <c r="DC6">
        <v>2142522</v>
      </c>
      <c r="DD6">
        <v>0.13667960000000001</v>
      </c>
      <c r="DE6">
        <v>2142522</v>
      </c>
      <c r="DF6">
        <v>0.14359710000000001</v>
      </c>
      <c r="DG6">
        <v>2142522</v>
      </c>
      <c r="DH6">
        <v>0.1267838</v>
      </c>
      <c r="DI6">
        <v>2142522</v>
      </c>
      <c r="DJ6">
        <v>7.7878299999999998E-2</v>
      </c>
      <c r="DK6">
        <v>2142522</v>
      </c>
      <c r="DL6">
        <v>6.8496399999999999E-2</v>
      </c>
      <c r="DM6">
        <v>3470018</v>
      </c>
      <c r="DN6">
        <v>0.1403961</v>
      </c>
      <c r="DO6">
        <v>487177</v>
      </c>
      <c r="DP6">
        <v>0.4023794</v>
      </c>
      <c r="DQ6">
        <v>1647072</v>
      </c>
      <c r="DR6">
        <v>0.11901730000000001</v>
      </c>
      <c r="DS6">
        <v>196030</v>
      </c>
      <c r="DT6">
        <v>0.31664540000000002</v>
      </c>
      <c r="DU6">
        <v>259778</v>
      </c>
      <c r="DV6">
        <v>0.2389425</v>
      </c>
      <c r="DW6">
        <v>196030</v>
      </c>
      <c r="DX6">
        <v>0.3063052</v>
      </c>
      <c r="DY6">
        <v>402367</v>
      </c>
      <c r="DZ6">
        <v>0.14922940000000001</v>
      </c>
      <c r="EA6">
        <v>196030</v>
      </c>
      <c r="EB6">
        <v>0.22787840000000001</v>
      </c>
      <c r="EC6">
        <v>411867</v>
      </c>
      <c r="ED6">
        <v>0.1084598</v>
      </c>
      <c r="EE6">
        <v>196030</v>
      </c>
      <c r="EF6">
        <v>0.149171</v>
      </c>
      <c r="EG6">
        <v>573060</v>
      </c>
      <c r="EH6">
        <v>5.1027799999999998E-2</v>
      </c>
      <c r="EI6">
        <v>487177</v>
      </c>
      <c r="EJ6">
        <v>0.59762059999999995</v>
      </c>
      <c r="EK6">
        <v>1822946</v>
      </c>
      <c r="EL6">
        <v>0.1597124</v>
      </c>
      <c r="EM6">
        <v>291147</v>
      </c>
      <c r="EN6">
        <v>0.28829080000000001</v>
      </c>
      <c r="EO6">
        <v>262163</v>
      </c>
      <c r="EP6">
        <v>0.32016339999999999</v>
      </c>
      <c r="EQ6">
        <v>291147</v>
      </c>
      <c r="ER6">
        <v>0.29456599999999999</v>
      </c>
      <c r="ES6">
        <v>427191</v>
      </c>
      <c r="ET6">
        <v>0.20075799999999999</v>
      </c>
      <c r="EU6">
        <v>291147</v>
      </c>
      <c r="EV6">
        <v>0.26360220000000001</v>
      </c>
      <c r="EW6">
        <v>486365</v>
      </c>
      <c r="EX6">
        <v>0.1577971</v>
      </c>
      <c r="EY6">
        <v>291147</v>
      </c>
      <c r="EZ6">
        <v>0.15354100000000001</v>
      </c>
      <c r="FA6">
        <v>647227</v>
      </c>
      <c r="FB6">
        <v>6.9068500000000005E-2</v>
      </c>
      <c r="FC6">
        <v>3470018</v>
      </c>
      <c r="FD6">
        <v>0.85960389999999998</v>
      </c>
      <c r="FE6">
        <v>2982841</v>
      </c>
      <c r="FF6">
        <v>0.48646309999999998</v>
      </c>
      <c r="FG6">
        <v>1647072</v>
      </c>
      <c r="FH6">
        <v>0.88098279999999995</v>
      </c>
      <c r="FI6">
        <v>1451042</v>
      </c>
      <c r="FJ6">
        <v>0.13625100000000001</v>
      </c>
      <c r="FK6">
        <v>259778</v>
      </c>
      <c r="FL6">
        <v>0.76105750000000005</v>
      </c>
      <c r="FM6">
        <v>1451042</v>
      </c>
      <c r="FN6">
        <v>0.2359146</v>
      </c>
      <c r="FO6">
        <v>402367</v>
      </c>
      <c r="FP6">
        <v>0.85077060000000004</v>
      </c>
      <c r="FQ6">
        <v>1451042</v>
      </c>
      <c r="FR6">
        <v>0.25305680000000003</v>
      </c>
      <c r="FS6">
        <v>411867</v>
      </c>
      <c r="FT6">
        <v>0.8915402</v>
      </c>
      <c r="FU6">
        <v>1451042</v>
      </c>
      <c r="FV6">
        <v>0.37477759999999999</v>
      </c>
      <c r="FW6">
        <v>573060</v>
      </c>
      <c r="FX6">
        <v>0.94897220000000004</v>
      </c>
      <c r="FY6">
        <v>2982841</v>
      </c>
      <c r="FZ6">
        <v>0.51353689999999996</v>
      </c>
      <c r="GA6">
        <v>1822946</v>
      </c>
      <c r="GB6">
        <v>0.84028760000000002</v>
      </c>
      <c r="GC6">
        <v>1531799</v>
      </c>
      <c r="GD6">
        <v>0.1163521</v>
      </c>
      <c r="GE6">
        <v>262163</v>
      </c>
      <c r="GF6">
        <v>0.67983660000000001</v>
      </c>
      <c r="GG6">
        <v>1531799</v>
      </c>
      <c r="GH6">
        <v>0.22289410000000001</v>
      </c>
      <c r="GI6">
        <v>427191</v>
      </c>
      <c r="GJ6">
        <v>0.79924200000000001</v>
      </c>
      <c r="GK6">
        <v>1531799</v>
      </c>
      <c r="GL6">
        <v>0.26740979999999998</v>
      </c>
      <c r="GM6">
        <v>486365</v>
      </c>
      <c r="GN6">
        <v>0.84220289999999998</v>
      </c>
      <c r="GO6">
        <v>1531799</v>
      </c>
      <c r="GP6">
        <v>0.39334400000000003</v>
      </c>
      <c r="GQ6">
        <v>647227</v>
      </c>
      <c r="GR6">
        <v>0.93093150000000002</v>
      </c>
      <c r="GS6">
        <v>4086033</v>
      </c>
      <c r="GT6">
        <v>0.15755089999999999</v>
      </c>
      <c r="GU6">
        <v>643758</v>
      </c>
      <c r="GV6">
        <v>0.41619830000000002</v>
      </c>
      <c r="GW6">
        <v>267931</v>
      </c>
      <c r="GX6">
        <v>0.1168062</v>
      </c>
      <c r="GY6">
        <v>267931</v>
      </c>
      <c r="GZ6">
        <v>0.29523650000000001</v>
      </c>
      <c r="HA6">
        <v>267931</v>
      </c>
      <c r="HB6">
        <v>0.58795730000000002</v>
      </c>
      <c r="HC6">
        <v>267931</v>
      </c>
      <c r="HD6">
        <v>0.51250879999999999</v>
      </c>
      <c r="HE6">
        <v>267931</v>
      </c>
      <c r="HF6">
        <v>0.48749120000000001</v>
      </c>
      <c r="HG6">
        <v>137317</v>
      </c>
      <c r="HH6">
        <v>0.61374039999999996</v>
      </c>
      <c r="HI6">
        <v>137317</v>
      </c>
      <c r="HJ6">
        <v>0.38625949999999998</v>
      </c>
      <c r="HK6">
        <v>643758</v>
      </c>
      <c r="HL6">
        <v>0.58380169999999998</v>
      </c>
      <c r="HM6">
        <v>375827</v>
      </c>
      <c r="HN6">
        <v>6.3962900000000003E-2</v>
      </c>
      <c r="HO6">
        <v>375827</v>
      </c>
      <c r="HP6">
        <v>0.27989740000000002</v>
      </c>
      <c r="HQ6">
        <v>375827</v>
      </c>
      <c r="HR6">
        <v>0.65613969999999999</v>
      </c>
      <c r="HS6">
        <v>375827</v>
      </c>
      <c r="HT6">
        <v>0.43425570000000002</v>
      </c>
      <c r="HU6">
        <v>375827</v>
      </c>
      <c r="HV6">
        <v>0.56574429999999998</v>
      </c>
      <c r="HW6">
        <v>163205</v>
      </c>
      <c r="HX6">
        <v>0.60482219999999998</v>
      </c>
      <c r="HY6">
        <v>163205</v>
      </c>
      <c r="HZ6">
        <v>0.39517780000000002</v>
      </c>
      <c r="IA6">
        <v>4086033</v>
      </c>
      <c r="IB6">
        <v>0.84244909999999995</v>
      </c>
      <c r="IC6">
        <v>3442275</v>
      </c>
      <c r="ID6">
        <v>0.4896759</v>
      </c>
      <c r="IE6">
        <v>1685599</v>
      </c>
      <c r="IF6">
        <v>0.54624919999999999</v>
      </c>
      <c r="IG6">
        <v>1685599</v>
      </c>
      <c r="IH6">
        <v>0.20401710000000001</v>
      </c>
      <c r="II6">
        <v>1685599</v>
      </c>
      <c r="IJ6">
        <v>0.24973380000000001</v>
      </c>
      <c r="IK6">
        <v>1685203</v>
      </c>
      <c r="IL6">
        <v>0.76216340000000005</v>
      </c>
      <c r="IM6">
        <v>1685203</v>
      </c>
      <c r="IN6">
        <v>0.23783660000000001</v>
      </c>
      <c r="IO6">
        <v>1284400</v>
      </c>
      <c r="IP6">
        <v>0.90787530000000005</v>
      </c>
      <c r="IQ6">
        <v>1284400</v>
      </c>
      <c r="IR6">
        <v>9.2124700000000004E-2</v>
      </c>
      <c r="IS6">
        <v>3442275</v>
      </c>
      <c r="IT6">
        <v>0.51032409999999995</v>
      </c>
      <c r="IU6">
        <v>1756676</v>
      </c>
      <c r="IV6">
        <v>0.42451080000000002</v>
      </c>
      <c r="IW6">
        <v>1756676</v>
      </c>
      <c r="IX6">
        <v>0.241838</v>
      </c>
      <c r="IY6">
        <v>1756676</v>
      </c>
      <c r="IZ6">
        <v>0.33365119999999998</v>
      </c>
      <c r="JA6">
        <v>1756495</v>
      </c>
      <c r="JB6">
        <v>0.66666110000000001</v>
      </c>
      <c r="JC6">
        <v>1756495</v>
      </c>
      <c r="JD6">
        <v>0.33333879999999999</v>
      </c>
      <c r="JE6">
        <v>1170987</v>
      </c>
      <c r="JF6">
        <v>0.91802899999999998</v>
      </c>
      <c r="JG6">
        <v>1170987</v>
      </c>
      <c r="JH6">
        <v>8.1971000000000002E-2</v>
      </c>
      <c r="JI6">
        <v>1180383</v>
      </c>
      <c r="JJ6">
        <v>0.19078210000000001</v>
      </c>
      <c r="JK6">
        <v>225196</v>
      </c>
      <c r="JL6">
        <v>0.35389619999999999</v>
      </c>
      <c r="JM6">
        <v>79696</v>
      </c>
      <c r="JN6">
        <v>0.68343449999999994</v>
      </c>
      <c r="JO6">
        <v>79696</v>
      </c>
      <c r="JP6">
        <v>0.68343449999999994</v>
      </c>
      <c r="JQ6">
        <v>79696</v>
      </c>
      <c r="JR6">
        <v>0.68343449999999994</v>
      </c>
      <c r="JS6">
        <v>79696</v>
      </c>
      <c r="JT6">
        <v>0.68343449999999994</v>
      </c>
      <c r="JU6">
        <v>79696</v>
      </c>
      <c r="JV6">
        <v>0.3165655</v>
      </c>
      <c r="JW6">
        <v>225196</v>
      </c>
      <c r="JX6">
        <v>0.64610389999999995</v>
      </c>
      <c r="JY6">
        <v>145500</v>
      </c>
      <c r="JZ6">
        <v>0.1698007</v>
      </c>
      <c r="KA6">
        <v>24706</v>
      </c>
      <c r="KB6">
        <v>0.69934430000000003</v>
      </c>
      <c r="KC6">
        <v>17278</v>
      </c>
      <c r="KD6">
        <v>0.2054057</v>
      </c>
      <c r="KE6">
        <v>17278</v>
      </c>
      <c r="KF6">
        <v>0.33788629999999997</v>
      </c>
      <c r="KG6">
        <v>17278</v>
      </c>
      <c r="KH6">
        <v>0.456708</v>
      </c>
      <c r="KI6">
        <v>24706</v>
      </c>
      <c r="KJ6">
        <v>0.30065570000000003</v>
      </c>
      <c r="KK6">
        <v>145500</v>
      </c>
      <c r="KL6">
        <v>0.83019929999999997</v>
      </c>
      <c r="KM6">
        <v>120794</v>
      </c>
      <c r="KN6">
        <v>0.80668740000000005</v>
      </c>
      <c r="KO6">
        <v>97443</v>
      </c>
      <c r="KP6">
        <v>0.1698018</v>
      </c>
      <c r="KQ6">
        <v>97443</v>
      </c>
      <c r="KR6">
        <v>0.25787379999999999</v>
      </c>
      <c r="KS6">
        <v>97443</v>
      </c>
      <c r="KT6">
        <v>0.57232430000000001</v>
      </c>
      <c r="KU6">
        <v>120794</v>
      </c>
      <c r="KV6">
        <v>0.1933126</v>
      </c>
      <c r="KW6">
        <v>1180383</v>
      </c>
      <c r="KX6">
        <v>3.2635200000000003E-2</v>
      </c>
      <c r="KY6">
        <v>38522</v>
      </c>
      <c r="KZ6">
        <v>0.5276206</v>
      </c>
      <c r="LA6">
        <v>20325</v>
      </c>
      <c r="LB6">
        <v>0.64703569999999999</v>
      </c>
      <c r="LC6">
        <v>20325</v>
      </c>
      <c r="LD6">
        <v>0.64703569999999999</v>
      </c>
      <c r="LE6">
        <v>20325</v>
      </c>
      <c r="LF6">
        <v>0.64703569999999999</v>
      </c>
      <c r="LG6">
        <v>20325</v>
      </c>
      <c r="LH6">
        <v>0.64703569999999999</v>
      </c>
      <c r="LI6">
        <v>20325</v>
      </c>
      <c r="LJ6">
        <v>0.35296430000000001</v>
      </c>
      <c r="LK6">
        <v>38522</v>
      </c>
      <c r="LL6">
        <v>0.4723794</v>
      </c>
      <c r="LM6">
        <v>18197</v>
      </c>
      <c r="LN6">
        <v>0.2381162</v>
      </c>
      <c r="LO6">
        <v>4333</v>
      </c>
      <c r="LP6">
        <v>0.64320330000000003</v>
      </c>
      <c r="LQ6">
        <v>2787</v>
      </c>
      <c r="LR6">
        <v>0.2389666</v>
      </c>
      <c r="LS6">
        <v>2787</v>
      </c>
      <c r="LT6">
        <v>0.31216359999999999</v>
      </c>
      <c r="LU6">
        <v>2787</v>
      </c>
      <c r="LV6">
        <v>0.44886979999999999</v>
      </c>
      <c r="LW6">
        <v>4333</v>
      </c>
      <c r="LX6">
        <v>0.35679670000000002</v>
      </c>
      <c r="LY6">
        <v>18197</v>
      </c>
      <c r="LZ6">
        <v>0.76188389999999995</v>
      </c>
      <c r="MA6">
        <v>13864</v>
      </c>
      <c r="MB6">
        <v>0.65010100000000004</v>
      </c>
      <c r="MC6">
        <v>9013</v>
      </c>
      <c r="MD6">
        <v>9.1090599999999994E-2</v>
      </c>
      <c r="ME6">
        <v>9013</v>
      </c>
      <c r="MF6">
        <v>0.2420948</v>
      </c>
      <c r="MG6">
        <v>9013</v>
      </c>
      <c r="MH6">
        <v>0.66681460000000004</v>
      </c>
      <c r="MI6">
        <v>13864</v>
      </c>
      <c r="MJ6">
        <v>0.34989900000000002</v>
      </c>
      <c r="MK6">
        <v>1180383</v>
      </c>
      <c r="ML6">
        <v>6.1590199999999998E-2</v>
      </c>
      <c r="MM6">
        <v>72700</v>
      </c>
      <c r="MN6">
        <v>0.58386519999999997</v>
      </c>
      <c r="MO6">
        <v>42447</v>
      </c>
      <c r="MP6">
        <v>0.56734280000000004</v>
      </c>
      <c r="MQ6">
        <v>42447</v>
      </c>
      <c r="MR6">
        <v>0.56734280000000004</v>
      </c>
      <c r="MS6">
        <v>42447</v>
      </c>
      <c r="MT6">
        <v>0.56734280000000004</v>
      </c>
      <c r="MU6">
        <v>42447</v>
      </c>
      <c r="MV6">
        <v>0.56734280000000004</v>
      </c>
      <c r="MW6">
        <v>42447</v>
      </c>
      <c r="MX6">
        <v>0.43265720000000002</v>
      </c>
      <c r="MY6">
        <v>72700</v>
      </c>
      <c r="MZ6">
        <v>0.41613480000000003</v>
      </c>
      <c r="NA6">
        <v>30253</v>
      </c>
      <c r="NB6">
        <v>0.2454963</v>
      </c>
      <c r="NC6">
        <v>7427</v>
      </c>
      <c r="ND6">
        <v>0.70364890000000002</v>
      </c>
      <c r="NE6">
        <v>5226</v>
      </c>
      <c r="NF6">
        <v>0.1900115</v>
      </c>
      <c r="NG6">
        <v>5226</v>
      </c>
      <c r="NH6">
        <v>0.27171830000000002</v>
      </c>
      <c r="NI6">
        <v>5226</v>
      </c>
      <c r="NJ6">
        <v>0.53827020000000003</v>
      </c>
      <c r="NK6">
        <v>7427</v>
      </c>
      <c r="NL6">
        <v>0.29635119999999998</v>
      </c>
      <c r="NM6">
        <v>30253</v>
      </c>
      <c r="NN6">
        <v>0.7545037</v>
      </c>
      <c r="NO6">
        <v>22826</v>
      </c>
      <c r="NP6">
        <v>0.64220630000000001</v>
      </c>
      <c r="NQ6">
        <v>14659</v>
      </c>
      <c r="NR6">
        <v>0.14475750000000001</v>
      </c>
      <c r="NS6">
        <v>14659</v>
      </c>
      <c r="NT6">
        <v>0.18882599999999999</v>
      </c>
      <c r="NU6">
        <v>14659</v>
      </c>
      <c r="NV6">
        <v>0.66641649999999997</v>
      </c>
      <c r="NW6">
        <v>22826</v>
      </c>
      <c r="NX6">
        <v>0.35779369999999999</v>
      </c>
      <c r="NY6">
        <v>1180383</v>
      </c>
      <c r="NZ6">
        <v>0.71499250000000003</v>
      </c>
      <c r="OA6">
        <v>843965</v>
      </c>
      <c r="OB6">
        <v>0.75871040000000001</v>
      </c>
      <c r="OC6">
        <v>640325</v>
      </c>
      <c r="OD6">
        <v>0.42519030000000002</v>
      </c>
      <c r="OE6">
        <v>640325</v>
      </c>
      <c r="OF6">
        <v>0.42519030000000002</v>
      </c>
      <c r="OG6">
        <v>640325</v>
      </c>
      <c r="OH6">
        <v>0.42519030000000002</v>
      </c>
      <c r="OI6">
        <v>640325</v>
      </c>
      <c r="OJ6">
        <v>0.42519030000000002</v>
      </c>
      <c r="OK6">
        <v>640325</v>
      </c>
      <c r="OL6">
        <v>0.57480969999999998</v>
      </c>
      <c r="OM6">
        <v>843965</v>
      </c>
      <c r="ON6">
        <v>0.24128959999999999</v>
      </c>
      <c r="OO6">
        <v>203640</v>
      </c>
      <c r="OP6">
        <v>0.31059219999999998</v>
      </c>
      <c r="OQ6">
        <v>63249</v>
      </c>
      <c r="OR6">
        <v>0.38811679999999998</v>
      </c>
      <c r="OS6">
        <v>24548</v>
      </c>
      <c r="OT6">
        <v>0.24612999999999999</v>
      </c>
      <c r="OU6">
        <v>24548</v>
      </c>
      <c r="OV6">
        <v>9.9071199999999998E-2</v>
      </c>
      <c r="OW6">
        <v>24548</v>
      </c>
      <c r="OX6">
        <v>0.65479869999999996</v>
      </c>
      <c r="OY6">
        <v>63249</v>
      </c>
      <c r="OZ6">
        <v>0.61188319999999996</v>
      </c>
      <c r="PA6">
        <v>203640</v>
      </c>
      <c r="PB6">
        <v>0.68940780000000002</v>
      </c>
      <c r="PC6">
        <v>140391</v>
      </c>
      <c r="PD6">
        <v>0.45771450000000002</v>
      </c>
      <c r="PE6">
        <v>64259</v>
      </c>
      <c r="PF6">
        <v>0.1495822</v>
      </c>
      <c r="PG6">
        <v>64259</v>
      </c>
      <c r="PH6">
        <v>8.3241300000000004E-2</v>
      </c>
      <c r="PI6">
        <v>64259</v>
      </c>
      <c r="PJ6">
        <v>0.76717659999999999</v>
      </c>
      <c r="PK6">
        <v>140391</v>
      </c>
      <c r="PL6">
        <v>0.54228549999999998</v>
      </c>
      <c r="PM6">
        <v>5231351</v>
      </c>
      <c r="PN6">
        <v>0.48460180000000003</v>
      </c>
      <c r="PO6">
        <v>2535122</v>
      </c>
      <c r="PP6">
        <v>6.8934400000000007E-2</v>
      </c>
      <c r="PQ6">
        <v>2535122</v>
      </c>
      <c r="PR6">
        <v>6.5721100000000005E-2</v>
      </c>
      <c r="PS6">
        <v>2535122</v>
      </c>
      <c r="PT6">
        <v>6.7438200000000004E-2</v>
      </c>
      <c r="PU6">
        <v>2535122</v>
      </c>
      <c r="PV6">
        <v>4.1661900000000002E-2</v>
      </c>
      <c r="PW6">
        <v>2535122</v>
      </c>
      <c r="PX6">
        <v>2.78791E-2</v>
      </c>
      <c r="PY6">
        <v>2535122</v>
      </c>
      <c r="PZ6">
        <v>1.41922E-2</v>
      </c>
      <c r="QA6">
        <v>2535122</v>
      </c>
      <c r="QB6">
        <v>1.4079400000000001E-2</v>
      </c>
      <c r="QC6">
        <v>2535122</v>
      </c>
      <c r="QD6">
        <v>4.4086599999999997E-2</v>
      </c>
      <c r="QE6">
        <v>2535122</v>
      </c>
      <c r="QF6">
        <v>8.4828700000000007E-2</v>
      </c>
      <c r="QG6">
        <v>2535122</v>
      </c>
      <c r="QH6">
        <v>8.08947E-2</v>
      </c>
      <c r="QI6">
        <v>2535122</v>
      </c>
      <c r="QJ6">
        <v>6.9175399999999998E-2</v>
      </c>
      <c r="QK6">
        <v>2535122</v>
      </c>
      <c r="QL6">
        <v>6.95075E-2</v>
      </c>
      <c r="QM6">
        <v>2535122</v>
      </c>
      <c r="QN6">
        <v>6.6346699999999995E-2</v>
      </c>
      <c r="QO6">
        <v>2535122</v>
      </c>
      <c r="QP6">
        <v>6.83005E-2</v>
      </c>
      <c r="QQ6">
        <v>2535122</v>
      </c>
      <c r="QR6">
        <v>6.0133600000000002E-2</v>
      </c>
      <c r="QS6">
        <v>2535122</v>
      </c>
      <c r="QT6">
        <v>2.1383200000000002E-2</v>
      </c>
      <c r="QU6">
        <v>2535122</v>
      </c>
      <c r="QV6">
        <v>3.0226599999999999E-2</v>
      </c>
      <c r="QW6">
        <v>2535122</v>
      </c>
      <c r="QX6">
        <v>1.5909300000000001E-2</v>
      </c>
      <c r="QY6">
        <v>2535122</v>
      </c>
      <c r="QZ6">
        <v>2.05276E-2</v>
      </c>
      <c r="RA6">
        <v>2535122</v>
      </c>
      <c r="RB6">
        <v>2.49278E-2</v>
      </c>
      <c r="RC6">
        <v>2535122</v>
      </c>
      <c r="RD6">
        <v>1.8435E-2</v>
      </c>
      <c r="RE6">
        <v>2535122</v>
      </c>
      <c r="RF6">
        <v>1.3184400000000001E-2</v>
      </c>
      <c r="RG6">
        <v>2535122</v>
      </c>
      <c r="RH6">
        <v>1.22262E-2</v>
      </c>
      <c r="RI6">
        <v>5231351</v>
      </c>
      <c r="RJ6">
        <v>0.51539820000000003</v>
      </c>
      <c r="RK6">
        <v>2696229</v>
      </c>
      <c r="RL6">
        <v>6.2767699999999996E-2</v>
      </c>
      <c r="RM6">
        <v>2696229</v>
      </c>
      <c r="RN6">
        <v>6.1178000000000003E-2</v>
      </c>
      <c r="RO6">
        <v>2696229</v>
      </c>
      <c r="RP6">
        <v>5.9990500000000002E-2</v>
      </c>
      <c r="RQ6">
        <v>2696229</v>
      </c>
      <c r="RR6">
        <v>3.7675199999999999E-2</v>
      </c>
      <c r="RS6">
        <v>2696229</v>
      </c>
      <c r="RT6">
        <v>2.5064300000000001E-2</v>
      </c>
      <c r="RU6">
        <v>2696229</v>
      </c>
      <c r="RV6">
        <v>1.20287E-2</v>
      </c>
      <c r="RW6">
        <v>2696229</v>
      </c>
      <c r="RX6">
        <v>1.3494000000000001E-2</v>
      </c>
      <c r="RY6">
        <v>2696229</v>
      </c>
      <c r="RZ6">
        <v>4.3553399999999999E-2</v>
      </c>
      <c r="SA6">
        <v>2696229</v>
      </c>
      <c r="SB6">
        <v>8.1735299999999997E-2</v>
      </c>
      <c r="SC6">
        <v>2696229</v>
      </c>
      <c r="SD6">
        <v>7.68258E-2</v>
      </c>
      <c r="SE6">
        <v>2696229</v>
      </c>
      <c r="SF6">
        <v>6.7210500000000006E-2</v>
      </c>
      <c r="SG6">
        <v>2696229</v>
      </c>
      <c r="SH6">
        <v>6.52118E-2</v>
      </c>
      <c r="SI6">
        <v>2696229</v>
      </c>
      <c r="SJ6">
        <v>6.4809400000000003E-2</v>
      </c>
      <c r="SK6">
        <v>2696229</v>
      </c>
      <c r="SL6">
        <v>6.8908800000000006E-2</v>
      </c>
      <c r="SM6">
        <v>2696229</v>
      </c>
      <c r="SN6">
        <v>6.3315800000000005E-2</v>
      </c>
      <c r="SO6">
        <v>2696229</v>
      </c>
      <c r="SP6">
        <v>2.31553E-2</v>
      </c>
      <c r="SQ6">
        <v>2696229</v>
      </c>
      <c r="SR6">
        <v>3.1683900000000001E-2</v>
      </c>
      <c r="SS6">
        <v>2696229</v>
      </c>
      <c r="ST6">
        <v>1.8549199999999998E-2</v>
      </c>
      <c r="SU6">
        <v>2696229</v>
      </c>
      <c r="SV6">
        <v>2.2377600000000001E-2</v>
      </c>
      <c r="SW6">
        <v>2696229</v>
      </c>
      <c r="SX6">
        <v>3.11583E-2</v>
      </c>
      <c r="SY6">
        <v>2696229</v>
      </c>
      <c r="SZ6">
        <v>2.4067700000000001E-2</v>
      </c>
      <c r="TA6">
        <v>2696229</v>
      </c>
      <c r="TB6">
        <v>2.0756400000000001E-2</v>
      </c>
      <c r="TC6">
        <v>2696229</v>
      </c>
      <c r="TD6">
        <v>2.4482299999999999E-2</v>
      </c>
      <c r="TE6">
        <v>2989006</v>
      </c>
      <c r="TF6">
        <v>0.49123319999999998</v>
      </c>
      <c r="TG6">
        <v>1266999</v>
      </c>
      <c r="TH6">
        <v>0.45375330000000003</v>
      </c>
      <c r="TI6">
        <v>12827</v>
      </c>
      <c r="TJ6">
        <v>0.4503781</v>
      </c>
      <c r="TK6">
        <v>341377</v>
      </c>
      <c r="TL6">
        <v>0.48084670000000002</v>
      </c>
      <c r="TM6"/>
      <c r="TN6"/>
      <c r="TO6">
        <v>508071</v>
      </c>
      <c r="TP6">
        <v>0.52538130000000005</v>
      </c>
      <c r="TQ6">
        <v>111020</v>
      </c>
      <c r="TR6">
        <v>0.4912628</v>
      </c>
      <c r="TS6">
        <v>2265955</v>
      </c>
      <c r="TT6">
        <v>0.4864947</v>
      </c>
      <c r="TU6">
        <v>1285944</v>
      </c>
      <c r="TV6">
        <v>0.5131888</v>
      </c>
      <c r="TW6">
        <v>2989006</v>
      </c>
      <c r="TX6">
        <v>0.50876679999999996</v>
      </c>
      <c r="TY6">
        <v>1266999</v>
      </c>
      <c r="TZ6">
        <v>0.54624669999999997</v>
      </c>
      <c r="UA6">
        <v>12827</v>
      </c>
      <c r="UB6">
        <v>0.5496219</v>
      </c>
      <c r="UC6">
        <v>341377</v>
      </c>
      <c r="UD6">
        <v>0.51915330000000004</v>
      </c>
      <c r="UE6"/>
      <c r="UF6"/>
      <c r="UG6">
        <v>508071</v>
      </c>
      <c r="UH6">
        <v>0.4746187</v>
      </c>
      <c r="UI6">
        <v>111020</v>
      </c>
      <c r="UJ6">
        <v>0.50873710000000005</v>
      </c>
      <c r="UK6">
        <v>2265955</v>
      </c>
      <c r="UL6">
        <v>0.51350530000000005</v>
      </c>
      <c r="UM6">
        <v>1285944</v>
      </c>
      <c r="UN6">
        <v>0.4868113</v>
      </c>
      <c r="UO6">
        <v>1199883</v>
      </c>
      <c r="UP6">
        <v>1199883</v>
      </c>
      <c r="UQ6">
        <v>1199883</v>
      </c>
      <c r="UR6">
        <v>1111978</v>
      </c>
      <c r="US6">
        <v>1111978</v>
      </c>
      <c r="UT6">
        <v>1111978</v>
      </c>
      <c r="UU6">
        <v>3.3E-4</v>
      </c>
      <c r="UV6">
        <v>0.89210370000000005</v>
      </c>
      <c r="UW6">
        <v>0.1075663</v>
      </c>
      <c r="UX6">
        <v>1.628E-4</v>
      </c>
      <c r="UY6">
        <v>0.8906444</v>
      </c>
      <c r="UZ6">
        <v>0.10919280000000001</v>
      </c>
      <c r="VA6">
        <v>88499</v>
      </c>
      <c r="VB6">
        <v>6.3279999999999999E-4</v>
      </c>
      <c r="VC6">
        <v>88499</v>
      </c>
      <c r="VD6">
        <v>0.80696959999999995</v>
      </c>
      <c r="VE6">
        <v>88499</v>
      </c>
      <c r="VF6">
        <v>0.1923977</v>
      </c>
      <c r="VG6">
        <v>188865</v>
      </c>
      <c r="VH6">
        <v>2.4360000000000001E-4</v>
      </c>
      <c r="VI6">
        <v>188865</v>
      </c>
      <c r="VJ6">
        <v>0.87423819999999997</v>
      </c>
      <c r="VK6">
        <v>188865</v>
      </c>
      <c r="VL6">
        <v>0.1255182</v>
      </c>
      <c r="VM6">
        <v>187031</v>
      </c>
      <c r="VN6">
        <v>2.1919999999999999E-4</v>
      </c>
      <c r="VO6">
        <v>187031</v>
      </c>
      <c r="VP6">
        <v>0.91343149999999995</v>
      </c>
      <c r="VQ6">
        <v>187031</v>
      </c>
      <c r="VR6">
        <v>8.6349300000000004E-2</v>
      </c>
      <c r="VS6">
        <v>320541</v>
      </c>
      <c r="VT6">
        <v>5.5840000000000002E-4</v>
      </c>
      <c r="VU6">
        <v>320541</v>
      </c>
      <c r="VV6">
        <v>0.90617729999999996</v>
      </c>
      <c r="VW6">
        <v>320541</v>
      </c>
      <c r="VX6">
        <v>9.3264200000000005E-2</v>
      </c>
      <c r="VY6">
        <v>294835</v>
      </c>
      <c r="VZ6">
        <v>0</v>
      </c>
      <c r="WA6">
        <v>294835</v>
      </c>
      <c r="WB6">
        <v>0.8965014</v>
      </c>
      <c r="WC6">
        <v>294835</v>
      </c>
      <c r="WD6">
        <v>0.1034986</v>
      </c>
      <c r="WE6">
        <v>120112</v>
      </c>
      <c r="WF6">
        <v>6.1609999999999996E-4</v>
      </c>
      <c r="WG6">
        <v>120112</v>
      </c>
      <c r="WH6">
        <v>0.90135869999999996</v>
      </c>
      <c r="WI6">
        <v>120112</v>
      </c>
      <c r="WJ6">
        <v>9.8025200000000007E-2</v>
      </c>
      <c r="WK6">
        <v>89134</v>
      </c>
      <c r="WL6">
        <v>1.537E-3</v>
      </c>
      <c r="WM6">
        <v>89134</v>
      </c>
      <c r="WN6">
        <v>0.84736469999999997</v>
      </c>
      <c r="WO6">
        <v>89134</v>
      </c>
      <c r="WP6">
        <v>0.15109829999999999</v>
      </c>
      <c r="WQ6">
        <v>181797</v>
      </c>
      <c r="WR6">
        <v>0</v>
      </c>
      <c r="WS6">
        <v>181797</v>
      </c>
      <c r="WT6">
        <v>0.88767689999999999</v>
      </c>
      <c r="WU6">
        <v>181797</v>
      </c>
      <c r="WV6">
        <v>0.1123231</v>
      </c>
      <c r="WW6">
        <v>165748</v>
      </c>
      <c r="WX6">
        <v>2.655E-4</v>
      </c>
      <c r="WY6">
        <v>165748</v>
      </c>
      <c r="WZ6">
        <v>0.88475280000000001</v>
      </c>
      <c r="XA6">
        <v>165748</v>
      </c>
      <c r="XB6">
        <v>0.1149818</v>
      </c>
      <c r="XC6">
        <v>279397</v>
      </c>
      <c r="XD6">
        <v>0</v>
      </c>
      <c r="XE6">
        <v>279397</v>
      </c>
      <c r="XF6">
        <v>0.89279059999999999</v>
      </c>
      <c r="XG6">
        <v>279397</v>
      </c>
      <c r="XH6">
        <v>0.1072095</v>
      </c>
      <c r="XI6">
        <v>277931</v>
      </c>
      <c r="XJ6">
        <v>0</v>
      </c>
      <c r="XK6">
        <v>277931</v>
      </c>
      <c r="XL6">
        <v>0.89711830000000004</v>
      </c>
      <c r="XM6">
        <v>277931</v>
      </c>
      <c r="XN6">
        <v>0.1028816</v>
      </c>
      <c r="XO6">
        <v>117971</v>
      </c>
      <c r="XP6">
        <v>0</v>
      </c>
      <c r="XQ6">
        <v>117971</v>
      </c>
      <c r="XR6">
        <v>0.91586069999999997</v>
      </c>
      <c r="XS6">
        <v>117971</v>
      </c>
      <c r="XT6">
        <v>8.41393E-2</v>
      </c>
      <c r="XU6">
        <v>3506419</v>
      </c>
      <c r="XV6">
        <v>0.49023600000000001</v>
      </c>
      <c r="XW6">
        <v>1718973</v>
      </c>
      <c r="XX6">
        <v>0.77173409999999998</v>
      </c>
      <c r="XY6">
        <v>1718973</v>
      </c>
      <c r="XZ6">
        <v>0.22826589999999999</v>
      </c>
      <c r="YA6">
        <v>1326590</v>
      </c>
      <c r="YB6">
        <v>0.82408650000000006</v>
      </c>
      <c r="YC6">
        <v>1093225</v>
      </c>
      <c r="YD6">
        <v>0.84367720000000002</v>
      </c>
      <c r="YE6">
        <v>1093225</v>
      </c>
      <c r="YF6">
        <v>1.46438E-2</v>
      </c>
      <c r="YG6">
        <v>1093225</v>
      </c>
      <c r="YH6">
        <v>3.93277E-2</v>
      </c>
      <c r="YI6">
        <v>1093225</v>
      </c>
      <c r="YJ6">
        <v>3.9674399999999999E-2</v>
      </c>
      <c r="YK6">
        <v>1093225</v>
      </c>
      <c r="YL6">
        <v>2.7705199999999999E-2</v>
      </c>
      <c r="YM6">
        <v>1093225</v>
      </c>
      <c r="YN6">
        <v>3.4971799999999997E-2</v>
      </c>
      <c r="YO6">
        <v>1326590</v>
      </c>
      <c r="YP6">
        <v>0.14211850000000001</v>
      </c>
      <c r="YQ6">
        <v>188533</v>
      </c>
      <c r="YR6">
        <v>0.46851209999999999</v>
      </c>
      <c r="YS6">
        <v>188533</v>
      </c>
      <c r="YT6">
        <v>2.32161E-2</v>
      </c>
      <c r="YU6">
        <v>188533</v>
      </c>
      <c r="YV6">
        <v>7.7641600000000005E-2</v>
      </c>
      <c r="YW6">
        <v>188533</v>
      </c>
      <c r="YX6">
        <v>0.13824639999999999</v>
      </c>
      <c r="YY6">
        <v>188533</v>
      </c>
      <c r="YZ6">
        <v>0.13197159999999999</v>
      </c>
      <c r="ZA6">
        <v>188533</v>
      </c>
      <c r="ZB6">
        <v>0.1604122</v>
      </c>
      <c r="ZC6">
        <v>1326590</v>
      </c>
      <c r="ZD6">
        <v>3.3794900000000003E-2</v>
      </c>
      <c r="ZE6">
        <v>44832</v>
      </c>
      <c r="ZF6">
        <v>0.2375758</v>
      </c>
      <c r="ZG6">
        <v>44832</v>
      </c>
      <c r="ZH6">
        <v>2.3443100000000001E-2</v>
      </c>
      <c r="ZI6">
        <v>44832</v>
      </c>
      <c r="ZJ6">
        <v>5.7258200000000002E-2</v>
      </c>
      <c r="ZK6">
        <v>44832</v>
      </c>
      <c r="ZL6">
        <v>9.6917400000000001E-2</v>
      </c>
      <c r="ZM6">
        <v>44832</v>
      </c>
      <c r="ZN6">
        <v>0.18698699999999999</v>
      </c>
      <c r="ZO6">
        <v>44832</v>
      </c>
      <c r="ZP6">
        <v>0.39781850000000002</v>
      </c>
      <c r="ZQ6">
        <v>3506419</v>
      </c>
      <c r="ZR6">
        <v>0.50976399999999999</v>
      </c>
      <c r="ZS6">
        <v>1787446</v>
      </c>
      <c r="ZT6">
        <v>0.69945780000000002</v>
      </c>
      <c r="ZU6">
        <v>1787446</v>
      </c>
      <c r="ZV6">
        <v>0.30054219999999998</v>
      </c>
      <c r="ZW6">
        <v>1250243</v>
      </c>
      <c r="ZX6">
        <v>0.70303539999999998</v>
      </c>
      <c r="ZY6">
        <v>878965</v>
      </c>
      <c r="ZZ6">
        <v>0.8471225</v>
      </c>
      <c r="AAA6">
        <v>878965</v>
      </c>
      <c r="AAB6">
        <v>1.51906E-2</v>
      </c>
      <c r="AAC6">
        <v>878965</v>
      </c>
      <c r="AAD6">
        <v>4.3213300000000003E-2</v>
      </c>
      <c r="AAE6">
        <v>878965</v>
      </c>
      <c r="AAF6">
        <v>3.5145900000000001E-2</v>
      </c>
      <c r="AAG6">
        <v>878965</v>
      </c>
      <c r="AAH6">
        <v>2.76689E-2</v>
      </c>
      <c r="AAI6">
        <v>878965</v>
      </c>
      <c r="AAJ6">
        <v>3.1658800000000001E-2</v>
      </c>
      <c r="AAK6">
        <v>1250243</v>
      </c>
      <c r="AAL6">
        <v>0.2409963</v>
      </c>
      <c r="AAM6">
        <v>301304</v>
      </c>
      <c r="AAN6">
        <v>0.5404873</v>
      </c>
      <c r="AAO6">
        <v>301304</v>
      </c>
      <c r="AAP6">
        <v>2.5741400000000001E-2</v>
      </c>
      <c r="AAQ6">
        <v>301304</v>
      </c>
      <c r="AAR6">
        <v>8.4034700000000004E-2</v>
      </c>
      <c r="AAS6">
        <v>301304</v>
      </c>
      <c r="AAT6">
        <v>0.1174827</v>
      </c>
      <c r="AAU6">
        <v>301304</v>
      </c>
      <c r="AAV6">
        <v>0.1003106</v>
      </c>
      <c r="AAW6">
        <v>301304</v>
      </c>
      <c r="AAX6">
        <v>0.13194320000000001</v>
      </c>
      <c r="AAY6">
        <v>1250243</v>
      </c>
      <c r="AAZ6">
        <v>5.5968299999999999E-2</v>
      </c>
      <c r="ABA6">
        <v>69974</v>
      </c>
      <c r="ABB6">
        <v>0.2781748</v>
      </c>
      <c r="ABC6">
        <v>69974</v>
      </c>
      <c r="ABD6">
        <v>2.0679099999999999E-2</v>
      </c>
      <c r="ABE6">
        <v>69974</v>
      </c>
      <c r="ABF6">
        <v>8.3831100000000006E-2</v>
      </c>
      <c r="ABG6">
        <v>69974</v>
      </c>
      <c r="ABH6">
        <v>0.14352470000000001</v>
      </c>
      <c r="ABI6">
        <v>69974</v>
      </c>
      <c r="ABJ6">
        <v>0.1492269</v>
      </c>
      <c r="ABK6">
        <v>69974</v>
      </c>
      <c r="ABL6">
        <v>0.3245634</v>
      </c>
      <c r="ABM6">
        <v>1936001</v>
      </c>
      <c r="ABN6">
        <v>0.60970159999999995</v>
      </c>
      <c r="ABO6">
        <v>1180383</v>
      </c>
      <c r="ABP6">
        <v>0.66316870000000006</v>
      </c>
      <c r="ABQ6">
        <v>1180383</v>
      </c>
      <c r="ABR6">
        <v>0.3368314</v>
      </c>
      <c r="ABS6">
        <v>397590</v>
      </c>
      <c r="ABT6">
        <v>0.25079859999999998</v>
      </c>
      <c r="ABU6">
        <v>397590</v>
      </c>
      <c r="ABV6">
        <v>0.74920140000000002</v>
      </c>
      <c r="ABW6">
        <v>1936001</v>
      </c>
      <c r="ABX6">
        <v>0.39029839999999999</v>
      </c>
      <c r="ABY6">
        <v>755618</v>
      </c>
      <c r="ABZ6">
        <v>0.82975390000000004</v>
      </c>
      <c r="ACA6">
        <v>755618</v>
      </c>
      <c r="ACB6">
        <v>0.17024610000000001</v>
      </c>
      <c r="ACC6">
        <v>4223085</v>
      </c>
      <c r="ACD6">
        <v>0.47898400000000002</v>
      </c>
      <c r="ACE6">
        <v>2022790</v>
      </c>
      <c r="ACF6">
        <v>0.4425309</v>
      </c>
      <c r="ACG6">
        <v>895147</v>
      </c>
      <c r="ACH6">
        <v>0.117383</v>
      </c>
      <c r="ACI6">
        <v>895147</v>
      </c>
      <c r="ACJ6">
        <v>7.7932500000000002E-2</v>
      </c>
      <c r="ACK6">
        <v>895147</v>
      </c>
      <c r="ACL6">
        <v>0.19536339999999999</v>
      </c>
      <c r="ACM6">
        <v>895147</v>
      </c>
      <c r="ACN6">
        <v>0.18519749999999999</v>
      </c>
      <c r="ACO6">
        <v>895147</v>
      </c>
      <c r="ACP6">
        <v>0.11418789999999999</v>
      </c>
      <c r="ACQ6">
        <v>895147</v>
      </c>
      <c r="ACR6">
        <v>7.0030999999999996E-2</v>
      </c>
      <c r="ACS6">
        <v>895147</v>
      </c>
      <c r="ACT6">
        <v>5.91847E-2</v>
      </c>
      <c r="ACU6">
        <v>895147</v>
      </c>
      <c r="ACV6">
        <v>5.3146600000000002E-2</v>
      </c>
      <c r="ACW6">
        <v>895147</v>
      </c>
      <c r="ACX6">
        <v>4.8664600000000002E-2</v>
      </c>
      <c r="ACY6">
        <v>895147</v>
      </c>
      <c r="ACZ6">
        <v>3.1009399999999999E-2</v>
      </c>
      <c r="ADA6">
        <v>895147</v>
      </c>
      <c r="ADB6">
        <v>2.1516E-2</v>
      </c>
      <c r="ADC6">
        <v>895147</v>
      </c>
      <c r="ADD6">
        <v>1.74027E-2</v>
      </c>
      <c r="ADE6">
        <v>895147</v>
      </c>
      <c r="ADF6">
        <v>6.3051000000000001E-3</v>
      </c>
      <c r="ADG6">
        <v>895147</v>
      </c>
      <c r="ADH6">
        <v>2.6754999999999999E-3</v>
      </c>
      <c r="ADI6">
        <v>2022790</v>
      </c>
      <c r="ADJ6">
        <v>0.45945649999999999</v>
      </c>
      <c r="ADK6">
        <v>929384</v>
      </c>
      <c r="ADL6">
        <v>0.89284520000000001</v>
      </c>
      <c r="ADM6">
        <v>829796</v>
      </c>
      <c r="ADN6">
        <v>7.9499999999999994E-5</v>
      </c>
      <c r="ADO6">
        <v>829796</v>
      </c>
      <c r="ADP6">
        <v>3.3139999999999998E-4</v>
      </c>
      <c r="ADQ6">
        <v>829796</v>
      </c>
      <c r="ADR6">
        <v>6.2630000000000003E-3</v>
      </c>
      <c r="ADS6">
        <v>829796</v>
      </c>
      <c r="ADT6">
        <v>4.7504400000000002E-2</v>
      </c>
      <c r="ADU6">
        <v>829796</v>
      </c>
      <c r="ADV6">
        <v>0.10119839999999999</v>
      </c>
      <c r="ADW6">
        <v>829796</v>
      </c>
      <c r="ADX6">
        <v>0.1069528</v>
      </c>
      <c r="ADY6">
        <v>829796</v>
      </c>
      <c r="ADZ6">
        <v>0.1137388</v>
      </c>
      <c r="AEA6">
        <v>829796</v>
      </c>
      <c r="AEB6">
        <v>0.10842300000000001</v>
      </c>
      <c r="AEC6">
        <v>829796</v>
      </c>
      <c r="AED6">
        <v>0.11496199999999999</v>
      </c>
      <c r="AEE6">
        <v>829796</v>
      </c>
      <c r="AEF6">
        <v>0.1103307</v>
      </c>
      <c r="AEG6">
        <v>829796</v>
      </c>
      <c r="AEH6">
        <v>9.7598699999999997E-2</v>
      </c>
      <c r="AEI6">
        <v>829796</v>
      </c>
      <c r="AEJ6">
        <v>0.1192148</v>
      </c>
      <c r="AEK6">
        <v>829796</v>
      </c>
      <c r="AEL6">
        <v>5.7533399999999998E-2</v>
      </c>
      <c r="AEM6">
        <v>829796</v>
      </c>
      <c r="AEN6">
        <v>1.5869000000000001E-2</v>
      </c>
      <c r="AEO6">
        <v>929384</v>
      </c>
      <c r="AEP6">
        <v>0.10715479999999999</v>
      </c>
      <c r="AEQ6">
        <v>99588</v>
      </c>
      <c r="AER6">
        <v>0.37255490000000002</v>
      </c>
      <c r="AES6">
        <v>37102</v>
      </c>
      <c r="AET6">
        <v>2.9109000000000001E-3</v>
      </c>
      <c r="AEU6">
        <v>37102</v>
      </c>
      <c r="AEV6">
        <v>0</v>
      </c>
      <c r="AEW6">
        <v>37102</v>
      </c>
      <c r="AEX6">
        <v>7.7085000000000001E-3</v>
      </c>
      <c r="AEY6">
        <v>37102</v>
      </c>
      <c r="AEZ6">
        <v>5.79753E-2</v>
      </c>
      <c r="AFA6">
        <v>37102</v>
      </c>
      <c r="AFB6">
        <v>8.6113999999999996E-2</v>
      </c>
      <c r="AFC6">
        <v>37102</v>
      </c>
      <c r="AFD6">
        <v>0.1138214</v>
      </c>
      <c r="AFE6">
        <v>37102</v>
      </c>
      <c r="AFF6">
        <v>0.12519540000000001</v>
      </c>
      <c r="AFG6">
        <v>37102</v>
      </c>
      <c r="AFH6">
        <v>0.1412862</v>
      </c>
      <c r="AFI6">
        <v>37102</v>
      </c>
      <c r="AFJ6">
        <v>0.12476420000000001</v>
      </c>
      <c r="AFK6">
        <v>37102</v>
      </c>
      <c r="AFL6">
        <v>0.1124198</v>
      </c>
      <c r="AFM6">
        <v>37102</v>
      </c>
      <c r="AFN6">
        <v>8.2744899999999996E-2</v>
      </c>
      <c r="AFO6">
        <v>37102</v>
      </c>
      <c r="AFP6">
        <v>0.1084039</v>
      </c>
      <c r="AFQ6">
        <v>37102</v>
      </c>
      <c r="AFR6">
        <v>3.3421399999999997E-2</v>
      </c>
      <c r="AFS6">
        <v>37102</v>
      </c>
      <c r="AFT6">
        <v>3.2342999999999998E-3</v>
      </c>
      <c r="AFU6">
        <v>99588</v>
      </c>
      <c r="AFV6">
        <v>0.62744509999999998</v>
      </c>
      <c r="AFW6">
        <v>62486</v>
      </c>
      <c r="AFX6">
        <v>5.9052999999999996E-3</v>
      </c>
      <c r="AFY6">
        <v>62486</v>
      </c>
      <c r="AFZ6">
        <v>9.4421000000000001E-3</v>
      </c>
      <c r="AGA6">
        <v>62486</v>
      </c>
      <c r="AGB6">
        <v>4.4265899999999997E-2</v>
      </c>
      <c r="AGC6">
        <v>62486</v>
      </c>
      <c r="AGD6">
        <v>8.5235099999999994E-2</v>
      </c>
      <c r="AGE6">
        <v>62486</v>
      </c>
      <c r="AGF6">
        <v>0.1087284</v>
      </c>
      <c r="AGG6">
        <v>62486</v>
      </c>
      <c r="AGH6">
        <v>0.129501</v>
      </c>
      <c r="AGI6">
        <v>62486</v>
      </c>
      <c r="AGJ6">
        <v>0.1188746</v>
      </c>
      <c r="AGK6">
        <v>62486</v>
      </c>
      <c r="AGL6">
        <v>8.4434899999999993E-2</v>
      </c>
      <c r="AGM6">
        <v>62486</v>
      </c>
      <c r="AGN6">
        <v>0.1012227</v>
      </c>
      <c r="AGO6">
        <v>62486</v>
      </c>
      <c r="AGP6">
        <v>6.7535100000000001E-2</v>
      </c>
      <c r="AGQ6">
        <v>62486</v>
      </c>
      <c r="AGR6">
        <v>7.8049499999999994E-2</v>
      </c>
      <c r="AGS6">
        <v>62486</v>
      </c>
      <c r="AGT6">
        <v>0.1055436</v>
      </c>
      <c r="AGU6">
        <v>62486</v>
      </c>
      <c r="AGV6">
        <v>5.4524200000000002E-2</v>
      </c>
      <c r="AGW6">
        <v>62486</v>
      </c>
      <c r="AGX6">
        <v>6.7375000000000004E-3</v>
      </c>
      <c r="AGY6">
        <v>2022790</v>
      </c>
      <c r="AGZ6">
        <v>2.51895E-2</v>
      </c>
      <c r="AHA6">
        <v>50953</v>
      </c>
      <c r="AHB6">
        <v>0</v>
      </c>
      <c r="AHC6">
        <v>50953</v>
      </c>
      <c r="AHD6">
        <v>0</v>
      </c>
      <c r="AHE6">
        <v>50953</v>
      </c>
      <c r="AHF6">
        <v>0</v>
      </c>
      <c r="AHG6">
        <v>50953</v>
      </c>
      <c r="AHH6">
        <v>2.9242999999999999E-3</v>
      </c>
      <c r="AHI6">
        <v>50953</v>
      </c>
      <c r="AHJ6">
        <v>7.0457000000000002E-3</v>
      </c>
      <c r="AHK6">
        <v>50953</v>
      </c>
      <c r="AHL6">
        <v>6.0644000000000002E-3</v>
      </c>
      <c r="AHM6">
        <v>50953</v>
      </c>
      <c r="AHN6">
        <v>4.1999000000000003E-3</v>
      </c>
      <c r="AHO6">
        <v>50953</v>
      </c>
      <c r="AHP6">
        <v>2.9988399999999998E-2</v>
      </c>
      <c r="AHQ6">
        <v>50953</v>
      </c>
      <c r="AHR6">
        <v>3.2166899999999998E-2</v>
      </c>
      <c r="AHS6">
        <v>50953</v>
      </c>
      <c r="AHT6">
        <v>7.7208399999999996E-2</v>
      </c>
      <c r="AHU6">
        <v>50953</v>
      </c>
      <c r="AHV6">
        <v>7.8582200000000005E-2</v>
      </c>
      <c r="AHW6">
        <v>50953</v>
      </c>
      <c r="AHX6">
        <v>0.2220674</v>
      </c>
      <c r="AHY6">
        <v>50953</v>
      </c>
      <c r="AHZ6">
        <v>0.28581240000000002</v>
      </c>
      <c r="AIA6">
        <v>50953</v>
      </c>
      <c r="AIB6">
        <v>0.2539399</v>
      </c>
      <c r="AIC6">
        <v>2022790</v>
      </c>
      <c r="AID6">
        <v>7.2823200000000005E-2</v>
      </c>
      <c r="AIE6">
        <v>147306</v>
      </c>
      <c r="AIF6">
        <v>0</v>
      </c>
      <c r="AIG6">
        <v>147306</v>
      </c>
      <c r="AIH6">
        <v>3.4620000000000001E-4</v>
      </c>
      <c r="AII6">
        <v>147306</v>
      </c>
      <c r="AIJ6">
        <v>2.0977000000000001E-3</v>
      </c>
      <c r="AIK6">
        <v>147306</v>
      </c>
      <c r="AIL6">
        <v>1.51182E-2</v>
      </c>
      <c r="AIM6">
        <v>147306</v>
      </c>
      <c r="AIN6">
        <v>5.79813E-2</v>
      </c>
      <c r="AIO6">
        <v>147306</v>
      </c>
      <c r="AIP6">
        <v>7.6758599999999996E-2</v>
      </c>
      <c r="AIQ6">
        <v>147306</v>
      </c>
      <c r="AIR6">
        <v>0.1124462</v>
      </c>
      <c r="AIS6">
        <v>147306</v>
      </c>
      <c r="AIT6">
        <v>0.12632209999999999</v>
      </c>
      <c r="AIU6">
        <v>147306</v>
      </c>
      <c r="AIV6">
        <v>0.1466335</v>
      </c>
      <c r="AIW6">
        <v>147306</v>
      </c>
      <c r="AIX6">
        <v>0.14127729999999999</v>
      </c>
      <c r="AIY6">
        <v>147306</v>
      </c>
      <c r="AIZ6">
        <v>0.12653249999999999</v>
      </c>
      <c r="AJA6">
        <v>147306</v>
      </c>
      <c r="AJB6">
        <v>0.1298861</v>
      </c>
      <c r="AJC6">
        <v>147306</v>
      </c>
      <c r="AJD6">
        <v>5.1348900000000003E-2</v>
      </c>
      <c r="AJE6">
        <v>147306</v>
      </c>
      <c r="AJF6">
        <v>1.3251300000000001E-2</v>
      </c>
      <c r="AJG6">
        <v>4223085</v>
      </c>
      <c r="AJH6">
        <v>0.52101609999999998</v>
      </c>
      <c r="AJI6">
        <v>2200295</v>
      </c>
      <c r="AJJ6">
        <v>0.3853588</v>
      </c>
      <c r="AJK6">
        <v>847903</v>
      </c>
      <c r="AJL6">
        <v>0.1194453</v>
      </c>
      <c r="AJM6">
        <v>847903</v>
      </c>
      <c r="AJN6">
        <v>7.8119800000000003E-2</v>
      </c>
      <c r="AJO6">
        <v>847903</v>
      </c>
      <c r="AJP6">
        <v>0.19906289999999999</v>
      </c>
      <c r="AJQ6">
        <v>847903</v>
      </c>
      <c r="AJR6">
        <v>0.1802907</v>
      </c>
      <c r="AJS6">
        <v>847903</v>
      </c>
      <c r="AJT6">
        <v>0.1104749</v>
      </c>
      <c r="AJU6">
        <v>847903</v>
      </c>
      <c r="AJV6">
        <v>6.9360500000000005E-2</v>
      </c>
      <c r="AJW6">
        <v>847903</v>
      </c>
      <c r="AJX6">
        <v>5.8570400000000002E-2</v>
      </c>
      <c r="AJY6">
        <v>847903</v>
      </c>
      <c r="AJZ6">
        <v>4.7927699999999997E-2</v>
      </c>
      <c r="AKA6">
        <v>847903</v>
      </c>
      <c r="AKB6">
        <v>4.2691199999999999E-2</v>
      </c>
      <c r="AKC6">
        <v>847903</v>
      </c>
      <c r="AKD6">
        <v>3.38848E-2</v>
      </c>
      <c r="AKE6">
        <v>847903</v>
      </c>
      <c r="AKF6">
        <v>2.3773900000000001E-2</v>
      </c>
      <c r="AKG6">
        <v>847903</v>
      </c>
      <c r="AKH6">
        <v>2.1159299999999999E-2</v>
      </c>
      <c r="AKI6">
        <v>847903</v>
      </c>
      <c r="AKJ6">
        <v>1.04092E-2</v>
      </c>
      <c r="AKK6">
        <v>847903</v>
      </c>
      <c r="AKL6">
        <v>4.8295999999999999E-3</v>
      </c>
      <c r="AKM6">
        <v>2200295</v>
      </c>
      <c r="AKN6">
        <v>0.41513840000000002</v>
      </c>
      <c r="AKO6">
        <v>913427</v>
      </c>
      <c r="AKP6">
        <v>0.87748340000000002</v>
      </c>
      <c r="AKQ6">
        <v>801517</v>
      </c>
      <c r="AKR6">
        <v>0</v>
      </c>
      <c r="AKS6">
        <v>801517</v>
      </c>
      <c r="AKT6">
        <v>8.0099999999999995E-4</v>
      </c>
      <c r="AKU6">
        <v>801517</v>
      </c>
      <c r="AKV6">
        <v>1.51313E-2</v>
      </c>
      <c r="AKW6">
        <v>801517</v>
      </c>
      <c r="AKX6">
        <v>7.0996600000000007E-2</v>
      </c>
      <c r="AKY6">
        <v>801517</v>
      </c>
      <c r="AKZ6">
        <v>0.11262519999999999</v>
      </c>
      <c r="ALA6">
        <v>801517</v>
      </c>
      <c r="ALB6">
        <v>0.11660139999999999</v>
      </c>
      <c r="ALC6">
        <v>801517</v>
      </c>
      <c r="ALD6">
        <v>0.1125241</v>
      </c>
      <c r="ALE6">
        <v>801517</v>
      </c>
      <c r="ALF6">
        <v>0.1145964</v>
      </c>
      <c r="ALG6">
        <v>801517</v>
      </c>
      <c r="ALH6">
        <v>0.1143344</v>
      </c>
      <c r="ALI6">
        <v>801517</v>
      </c>
      <c r="ALJ6">
        <v>0.10816240000000001</v>
      </c>
      <c r="ALK6">
        <v>801517</v>
      </c>
      <c r="ALL6">
        <v>8.9011199999999999E-2</v>
      </c>
      <c r="ALM6">
        <v>801517</v>
      </c>
      <c r="ALN6">
        <v>9.9506300000000006E-2</v>
      </c>
      <c r="ALO6">
        <v>801517</v>
      </c>
      <c r="ALP6">
        <v>3.8050300000000002E-2</v>
      </c>
      <c r="ALQ6">
        <v>801517</v>
      </c>
      <c r="ALR6">
        <v>7.6591999999999997E-3</v>
      </c>
      <c r="ALS6">
        <v>913427</v>
      </c>
      <c r="ALT6">
        <v>0.1225166</v>
      </c>
      <c r="ALU6">
        <v>111910</v>
      </c>
      <c r="ALV6">
        <v>0.50983829999999997</v>
      </c>
      <c r="ALW6">
        <v>57056</v>
      </c>
      <c r="ALX6">
        <v>3.1021999999999998E-3</v>
      </c>
      <c r="ALY6">
        <v>57056</v>
      </c>
      <c r="ALZ6">
        <v>0</v>
      </c>
      <c r="AMA6">
        <v>57056</v>
      </c>
      <c r="AMB6">
        <v>1.2443900000000001E-2</v>
      </c>
      <c r="AMC6">
        <v>57056</v>
      </c>
      <c r="AMD6">
        <v>4.5060999999999997E-2</v>
      </c>
      <c r="AME6">
        <v>57056</v>
      </c>
      <c r="AMF6">
        <v>0.10523</v>
      </c>
      <c r="AMG6">
        <v>57056</v>
      </c>
      <c r="AMH6">
        <v>0.1121354</v>
      </c>
      <c r="AMI6">
        <v>57056</v>
      </c>
      <c r="AMJ6">
        <v>0.12575359999999999</v>
      </c>
      <c r="AMK6">
        <v>57056</v>
      </c>
      <c r="AML6">
        <v>0.1258763</v>
      </c>
      <c r="AMM6">
        <v>57056</v>
      </c>
      <c r="AMN6">
        <v>0.16182350000000001</v>
      </c>
      <c r="AMO6">
        <v>57056</v>
      </c>
      <c r="AMP6">
        <v>0.12386079999999999</v>
      </c>
      <c r="AMQ6">
        <v>57056</v>
      </c>
      <c r="AMR6">
        <v>9.1611799999999993E-2</v>
      </c>
      <c r="AMS6">
        <v>57056</v>
      </c>
      <c r="AMT6">
        <v>5.5016099999999998E-2</v>
      </c>
      <c r="AMU6">
        <v>57056</v>
      </c>
      <c r="AMV6">
        <v>2.9918E-2</v>
      </c>
      <c r="AMW6">
        <v>57056</v>
      </c>
      <c r="AMX6">
        <v>8.1674E-3</v>
      </c>
      <c r="AMY6">
        <v>111910</v>
      </c>
      <c r="AMZ6">
        <v>0.49016169999999998</v>
      </c>
      <c r="ANA6">
        <v>54854</v>
      </c>
      <c r="ANB6">
        <v>2.297E-3</v>
      </c>
      <c r="ANC6">
        <v>54854</v>
      </c>
      <c r="AND6">
        <v>1.1029300000000001E-2</v>
      </c>
      <c r="ANE6">
        <v>54854</v>
      </c>
      <c r="ANF6">
        <v>6.6120999999999999E-2</v>
      </c>
      <c r="ANG6">
        <v>54854</v>
      </c>
      <c r="ANH6">
        <v>8.4059499999999995E-2</v>
      </c>
      <c r="ANI6">
        <v>54854</v>
      </c>
      <c r="ANJ6">
        <v>0.1121887</v>
      </c>
      <c r="ANK6">
        <v>54854</v>
      </c>
      <c r="ANL6">
        <v>8.2400600000000004E-2</v>
      </c>
      <c r="ANM6">
        <v>54854</v>
      </c>
      <c r="ANN6">
        <v>7.9975900000000003E-2</v>
      </c>
      <c r="ANO6">
        <v>54854</v>
      </c>
      <c r="ANP6">
        <v>0.1189339</v>
      </c>
      <c r="ANQ6">
        <v>54854</v>
      </c>
      <c r="ANR6">
        <v>0.1126627</v>
      </c>
      <c r="ANS6">
        <v>54854</v>
      </c>
      <c r="ANT6">
        <v>9.6510700000000005E-2</v>
      </c>
      <c r="ANU6">
        <v>54854</v>
      </c>
      <c r="ANV6">
        <v>6.9566500000000003E-2</v>
      </c>
      <c r="ANW6">
        <v>54854</v>
      </c>
      <c r="ANX6">
        <v>0.1053888</v>
      </c>
      <c r="ANY6">
        <v>54854</v>
      </c>
      <c r="ANZ6">
        <v>3.9833E-2</v>
      </c>
      <c r="AOA6">
        <v>54854</v>
      </c>
      <c r="AOB6">
        <v>1.9032299999999999E-2</v>
      </c>
      <c r="AOC6">
        <v>2200295</v>
      </c>
      <c r="AOD6">
        <v>9.3170699999999995E-2</v>
      </c>
      <c r="AOE6">
        <v>205003</v>
      </c>
      <c r="AOF6">
        <v>0</v>
      </c>
      <c r="AOG6">
        <v>205003</v>
      </c>
      <c r="AOH6">
        <v>4.5849999999999998E-4</v>
      </c>
      <c r="AOI6">
        <v>205003</v>
      </c>
      <c r="AOJ6">
        <v>1.6341000000000001E-3</v>
      </c>
      <c r="AOK6">
        <v>205003</v>
      </c>
      <c r="AOL6">
        <v>1.561E-4</v>
      </c>
      <c r="AOM6">
        <v>205003</v>
      </c>
      <c r="AON6">
        <v>2.1267999999999999E-3</v>
      </c>
      <c r="AOO6">
        <v>205003</v>
      </c>
      <c r="AOP6">
        <v>4.4146000000000003E-3</v>
      </c>
      <c r="AOQ6">
        <v>205003</v>
      </c>
      <c r="AOR6">
        <v>1.4058299999999999E-2</v>
      </c>
      <c r="AOS6">
        <v>205003</v>
      </c>
      <c r="AOT6">
        <v>2.2019199999999999E-2</v>
      </c>
      <c r="AOU6">
        <v>205003</v>
      </c>
      <c r="AOV6">
        <v>4.0214E-2</v>
      </c>
      <c r="AOW6">
        <v>205003</v>
      </c>
      <c r="AOX6">
        <v>5.6979700000000001E-2</v>
      </c>
      <c r="AOY6">
        <v>205003</v>
      </c>
      <c r="AOZ6">
        <v>7.7081800000000006E-2</v>
      </c>
      <c r="APA6">
        <v>205003</v>
      </c>
      <c r="APB6">
        <v>0.2382502</v>
      </c>
      <c r="APC6">
        <v>205003</v>
      </c>
      <c r="APD6">
        <v>0.29773709999999998</v>
      </c>
      <c r="APE6">
        <v>205003</v>
      </c>
      <c r="APF6">
        <v>0.24486959999999999</v>
      </c>
      <c r="APG6">
        <v>2200295</v>
      </c>
      <c r="APH6">
        <v>0.1063321</v>
      </c>
      <c r="API6">
        <v>233962</v>
      </c>
      <c r="APJ6">
        <v>0</v>
      </c>
      <c r="APK6">
        <v>233962</v>
      </c>
      <c r="APL6">
        <v>0</v>
      </c>
      <c r="APM6">
        <v>233962</v>
      </c>
      <c r="APN6">
        <v>2.8167000000000001E-3</v>
      </c>
      <c r="APO6">
        <v>233962</v>
      </c>
      <c r="APP6">
        <v>1.44853E-2</v>
      </c>
      <c r="APQ6">
        <v>233962</v>
      </c>
      <c r="APR6">
        <v>4.53193E-2</v>
      </c>
      <c r="APS6">
        <v>233962</v>
      </c>
      <c r="APT6">
        <v>7.3187100000000005E-2</v>
      </c>
      <c r="APU6">
        <v>233962</v>
      </c>
      <c r="APV6">
        <v>9.2023499999999994E-2</v>
      </c>
      <c r="APW6">
        <v>233962</v>
      </c>
      <c r="APX6">
        <v>0.1027175</v>
      </c>
      <c r="APY6">
        <v>233962</v>
      </c>
      <c r="APZ6">
        <v>0.14659649999999999</v>
      </c>
      <c r="AQA6">
        <v>233962</v>
      </c>
      <c r="AQB6">
        <v>0.13355590000000001</v>
      </c>
      <c r="AQC6">
        <v>233962</v>
      </c>
      <c r="AQD6">
        <v>0.13468849999999999</v>
      </c>
      <c r="AQE6">
        <v>233962</v>
      </c>
      <c r="AQF6">
        <v>0.16626199999999999</v>
      </c>
      <c r="AQG6">
        <v>233962</v>
      </c>
      <c r="AQH6">
        <v>7.09645E-2</v>
      </c>
      <c r="AQI6">
        <v>233962</v>
      </c>
      <c r="AQJ6">
        <v>1.7383200000000001E-2</v>
      </c>
      <c r="AQK6">
        <v>531663</v>
      </c>
      <c r="AQL6">
        <v>0.28293299999999999</v>
      </c>
      <c r="AQM6">
        <v>1936001</v>
      </c>
      <c r="AQN6">
        <v>0.57081890000000002</v>
      </c>
      <c r="AQO6">
        <v>1105106</v>
      </c>
      <c r="AQP6">
        <v>0.69911939999999995</v>
      </c>
      <c r="AQQ6">
        <v>772601</v>
      </c>
      <c r="AQR6">
        <v>0.77379140000000002</v>
      </c>
      <c r="AQS6">
        <v>597832</v>
      </c>
      <c r="AQT6">
        <v>0.40327049999999998</v>
      </c>
      <c r="AQU6">
        <v>597832</v>
      </c>
      <c r="AQV6">
        <v>0.59672950000000002</v>
      </c>
      <c r="AQW6">
        <v>772601</v>
      </c>
      <c r="AQX6">
        <v>0.22620860000000001</v>
      </c>
      <c r="AQY6">
        <v>174769</v>
      </c>
      <c r="AQZ6">
        <v>0.29855409999999999</v>
      </c>
      <c r="ARA6">
        <v>52178</v>
      </c>
      <c r="ARB6">
        <v>0.31570779999999998</v>
      </c>
      <c r="ARC6">
        <v>52178</v>
      </c>
      <c r="ARD6">
        <v>0.68429229999999996</v>
      </c>
      <c r="ARE6">
        <v>174769</v>
      </c>
      <c r="ARF6">
        <v>0.70144589999999996</v>
      </c>
      <c r="ARG6">
        <v>122591</v>
      </c>
      <c r="ARH6">
        <v>0.3147703</v>
      </c>
      <c r="ARI6">
        <v>122591</v>
      </c>
      <c r="ARJ6">
        <v>0.68522970000000005</v>
      </c>
      <c r="ARK6">
        <v>1105106</v>
      </c>
      <c r="ARL6">
        <v>0.3008806</v>
      </c>
      <c r="ARM6">
        <v>1936001</v>
      </c>
      <c r="ARN6">
        <v>0.42918109999999998</v>
      </c>
      <c r="ARO6">
        <v>830895</v>
      </c>
      <c r="ARP6">
        <v>0.4907744</v>
      </c>
      <c r="ARQ6">
        <v>407782</v>
      </c>
      <c r="ARR6">
        <v>0.45357809999999998</v>
      </c>
      <c r="ARS6">
        <v>184961</v>
      </c>
      <c r="ART6">
        <v>0.53695099999999996</v>
      </c>
      <c r="ARU6">
        <v>184961</v>
      </c>
      <c r="ARV6">
        <v>0.46304899999999999</v>
      </c>
      <c r="ARW6">
        <v>407782</v>
      </c>
      <c r="ARX6">
        <v>0.54642190000000002</v>
      </c>
      <c r="ARY6">
        <v>222821</v>
      </c>
      <c r="ARZ6">
        <v>0.2133417</v>
      </c>
      <c r="ASA6">
        <v>47537</v>
      </c>
      <c r="ASB6">
        <v>0.51248499999999997</v>
      </c>
      <c r="ASC6">
        <v>47537</v>
      </c>
      <c r="ASD6">
        <v>0.48751499999999998</v>
      </c>
      <c r="ASE6">
        <v>222821</v>
      </c>
      <c r="ASF6">
        <v>0.78665830000000003</v>
      </c>
      <c r="ASG6">
        <v>175284</v>
      </c>
      <c r="ASH6">
        <v>0.63803319999999997</v>
      </c>
      <c r="ASI6">
        <v>175284</v>
      </c>
      <c r="ASJ6">
        <v>0.36196689999999998</v>
      </c>
      <c r="ASK6">
        <v>830895</v>
      </c>
      <c r="ASL6">
        <v>0.50922559999999994</v>
      </c>
      <c r="ASM6">
        <v>1710016</v>
      </c>
      <c r="ASN6">
        <v>0.55325270000000004</v>
      </c>
      <c r="ASO6">
        <v>946071</v>
      </c>
      <c r="ASP6">
        <v>0.37607750000000001</v>
      </c>
      <c r="ASQ6">
        <v>355796</v>
      </c>
      <c r="ASR6">
        <v>0.50004780000000004</v>
      </c>
      <c r="ASS6">
        <v>177915</v>
      </c>
      <c r="AST6">
        <v>0.65106929999999996</v>
      </c>
      <c r="ASU6">
        <v>177915</v>
      </c>
      <c r="ASV6">
        <v>0.34893069999999998</v>
      </c>
      <c r="ASW6">
        <v>355796</v>
      </c>
      <c r="ASX6">
        <v>0.21506430000000001</v>
      </c>
      <c r="ASY6">
        <v>76519</v>
      </c>
      <c r="ASZ6">
        <v>0.60237320000000005</v>
      </c>
      <c r="ATA6">
        <v>76519</v>
      </c>
      <c r="ATB6">
        <v>0.30080109999999999</v>
      </c>
      <c r="ATC6">
        <v>76519</v>
      </c>
      <c r="ATD6">
        <v>9.6825599999999998E-2</v>
      </c>
      <c r="ATE6">
        <v>355796</v>
      </c>
      <c r="ATF6">
        <v>0.20877129999999999</v>
      </c>
      <c r="ATG6">
        <v>74280</v>
      </c>
      <c r="ATH6">
        <v>0.14383409999999999</v>
      </c>
      <c r="ATI6">
        <v>74280</v>
      </c>
      <c r="ATJ6">
        <v>0.26117390000000001</v>
      </c>
      <c r="ATK6">
        <v>74280</v>
      </c>
      <c r="ATL6">
        <v>0.35994880000000001</v>
      </c>
      <c r="ATM6">
        <v>74280</v>
      </c>
      <c r="ATN6">
        <v>0.2350431</v>
      </c>
      <c r="ATO6">
        <v>355796</v>
      </c>
      <c r="ATP6">
        <v>7.6116699999999995E-2</v>
      </c>
      <c r="ATQ6">
        <v>27082</v>
      </c>
      <c r="ATR6">
        <v>0.78698029999999997</v>
      </c>
      <c r="ATS6">
        <v>27082</v>
      </c>
      <c r="ATT6">
        <v>0.21301970000000001</v>
      </c>
      <c r="ATU6">
        <v>946071</v>
      </c>
      <c r="ATV6">
        <v>0.13993140000000001</v>
      </c>
      <c r="ATW6">
        <v>132385</v>
      </c>
      <c r="ATX6">
        <v>4.3577400000000002E-2</v>
      </c>
      <c r="ATY6">
        <v>132385</v>
      </c>
      <c r="ATZ6">
        <v>0.28429959999999999</v>
      </c>
      <c r="AUA6">
        <v>37637</v>
      </c>
      <c r="AUB6">
        <v>0.52233180000000001</v>
      </c>
      <c r="AUC6">
        <v>37637</v>
      </c>
      <c r="AUD6">
        <v>0.47766829999999999</v>
      </c>
      <c r="AUE6">
        <v>132385</v>
      </c>
      <c r="AUF6">
        <v>0.30975560000000002</v>
      </c>
      <c r="AUG6">
        <v>132385</v>
      </c>
      <c r="AUH6">
        <v>0.26750760000000001</v>
      </c>
      <c r="AUI6">
        <v>132385</v>
      </c>
      <c r="AUJ6">
        <v>9.4859700000000005E-2</v>
      </c>
      <c r="AUK6">
        <v>946071</v>
      </c>
      <c r="AUL6">
        <v>0.18387100000000001</v>
      </c>
      <c r="AUM6">
        <v>173955</v>
      </c>
      <c r="AUN6">
        <v>0.57067630000000003</v>
      </c>
      <c r="AUO6">
        <v>173955</v>
      </c>
      <c r="AUP6">
        <v>0.42932369999999997</v>
      </c>
      <c r="AUQ6">
        <v>946071</v>
      </c>
      <c r="AUR6">
        <v>0.10335270000000001</v>
      </c>
      <c r="AUS6">
        <v>97779</v>
      </c>
      <c r="AUT6">
        <v>1.7120199999999999E-2</v>
      </c>
      <c r="AUU6">
        <v>97779</v>
      </c>
      <c r="AUV6">
        <v>0.50852430000000004</v>
      </c>
      <c r="AUW6">
        <v>97779</v>
      </c>
      <c r="AUX6">
        <v>0.47435539999999998</v>
      </c>
      <c r="AUY6">
        <v>946071</v>
      </c>
      <c r="AUZ6">
        <v>0.19676750000000001</v>
      </c>
      <c r="AVA6">
        <v>186156</v>
      </c>
      <c r="AVB6">
        <v>0.48885339999999999</v>
      </c>
      <c r="AVC6">
        <v>186156</v>
      </c>
      <c r="AVD6">
        <v>0.3368949</v>
      </c>
      <c r="AVE6">
        <v>186156</v>
      </c>
      <c r="AVF6">
        <v>0.17425170000000001</v>
      </c>
      <c r="AVG6">
        <v>1710016</v>
      </c>
      <c r="AVH6">
        <v>0.44674730000000001</v>
      </c>
      <c r="AVI6">
        <v>763945</v>
      </c>
      <c r="AVJ6">
        <v>0.46526129999999999</v>
      </c>
      <c r="AVK6">
        <v>355434</v>
      </c>
      <c r="AVL6">
        <v>0.41135339999999998</v>
      </c>
      <c r="AVM6">
        <v>146209</v>
      </c>
      <c r="AVN6">
        <v>0.57158589999999998</v>
      </c>
      <c r="AVO6">
        <v>146209</v>
      </c>
      <c r="AVP6">
        <v>0.42841410000000002</v>
      </c>
      <c r="AVQ6">
        <v>355434</v>
      </c>
      <c r="AVR6">
        <v>7.6382699999999998E-2</v>
      </c>
      <c r="AVS6">
        <v>27149</v>
      </c>
      <c r="AVT6">
        <v>0.53420009999999996</v>
      </c>
      <c r="AVU6">
        <v>27149</v>
      </c>
      <c r="AVV6">
        <v>0.17566029999999999</v>
      </c>
      <c r="AVW6">
        <v>27149</v>
      </c>
      <c r="AVX6">
        <v>0.2901396</v>
      </c>
      <c r="AVY6">
        <v>355434</v>
      </c>
      <c r="AVZ6">
        <v>0.31779459999999998</v>
      </c>
      <c r="AWA6">
        <v>112955</v>
      </c>
      <c r="AWB6">
        <v>0.18000089999999999</v>
      </c>
      <c r="AWC6">
        <v>112955</v>
      </c>
      <c r="AWD6">
        <v>0.13765659999999999</v>
      </c>
      <c r="AWE6">
        <v>112955</v>
      </c>
      <c r="AWF6">
        <v>0.54601390000000005</v>
      </c>
      <c r="AWG6">
        <v>112955</v>
      </c>
      <c r="AWH6">
        <v>0.13632859999999999</v>
      </c>
      <c r="AWI6">
        <v>355434</v>
      </c>
      <c r="AWJ6">
        <v>0.19446930000000001</v>
      </c>
      <c r="AWK6">
        <v>69121</v>
      </c>
      <c r="AWL6">
        <v>0.75590630000000003</v>
      </c>
      <c r="AWM6">
        <v>69121</v>
      </c>
      <c r="AWN6">
        <v>0.2440937</v>
      </c>
      <c r="AWO6">
        <v>763945</v>
      </c>
      <c r="AWP6">
        <v>0.16088720000000001</v>
      </c>
      <c r="AWQ6">
        <v>122909</v>
      </c>
      <c r="AWR6">
        <v>0.2189181</v>
      </c>
      <c r="AWS6">
        <v>122909</v>
      </c>
      <c r="AWT6">
        <v>8.7552599999999994E-2</v>
      </c>
      <c r="AWU6">
        <v>10761</v>
      </c>
      <c r="AWV6">
        <v>0.60384720000000003</v>
      </c>
      <c r="AWW6">
        <v>10761</v>
      </c>
      <c r="AWX6">
        <v>0.39615280000000003</v>
      </c>
      <c r="AWY6">
        <v>122909</v>
      </c>
      <c r="AWZ6">
        <v>0.22042320000000001</v>
      </c>
      <c r="AXA6">
        <v>122909</v>
      </c>
      <c r="AXB6">
        <v>0.2069743</v>
      </c>
      <c r="AXC6">
        <v>122909</v>
      </c>
      <c r="AXD6">
        <v>0.26613179999999997</v>
      </c>
      <c r="AXE6">
        <v>763945</v>
      </c>
      <c r="AXF6">
        <v>0.30319069999999998</v>
      </c>
      <c r="AXG6">
        <v>231621</v>
      </c>
      <c r="AXH6">
        <v>0.29268499999999997</v>
      </c>
      <c r="AXI6">
        <v>231621</v>
      </c>
      <c r="AXJ6">
        <v>0.70731500000000003</v>
      </c>
      <c r="AXK6">
        <v>763945</v>
      </c>
      <c r="AXL6">
        <v>3.8524000000000002E-3</v>
      </c>
      <c r="AXM6">
        <v>2943</v>
      </c>
      <c r="AXN6">
        <v>9.0723799999999993E-2</v>
      </c>
      <c r="AXO6">
        <v>2943</v>
      </c>
      <c r="AXP6">
        <v>0.48793750000000002</v>
      </c>
      <c r="AXQ6">
        <v>2943</v>
      </c>
      <c r="AXR6">
        <v>0.42133880000000001</v>
      </c>
      <c r="AXS6">
        <v>763945</v>
      </c>
      <c r="AXT6">
        <v>6.6808500000000007E-2</v>
      </c>
      <c r="AXU6">
        <v>51038</v>
      </c>
      <c r="AXV6">
        <v>0.65429680000000001</v>
      </c>
      <c r="AXW6">
        <v>51038</v>
      </c>
      <c r="AXX6">
        <v>0.14324619999999999</v>
      </c>
      <c r="AXY6">
        <v>51038</v>
      </c>
      <c r="AXZ6">
        <v>0.202457</v>
      </c>
      <c r="AYA6">
        <v>254114</v>
      </c>
      <c r="AYB6">
        <v>2.8054300000000001E-2</v>
      </c>
      <c r="AYC6">
        <v>254114</v>
      </c>
      <c r="AYD6">
        <v>0.15576870000000001</v>
      </c>
      <c r="AYE6">
        <v>254114</v>
      </c>
      <c r="AYF6">
        <v>0.26914300000000002</v>
      </c>
      <c r="AYG6">
        <v>254114</v>
      </c>
      <c r="AYH6">
        <v>0.3846502</v>
      </c>
      <c r="AYI6">
        <v>254114</v>
      </c>
      <c r="AYJ6">
        <v>4.4684700000000001E-2</v>
      </c>
      <c r="AYK6">
        <v>254114</v>
      </c>
      <c r="AYL6">
        <v>0.11111550000000001</v>
      </c>
      <c r="AYM6">
        <v>254114</v>
      </c>
      <c r="AYN6">
        <v>6.5836999999999996E-3</v>
      </c>
      <c r="AYO6">
        <v>420129</v>
      </c>
      <c r="AYP6">
        <v>4.7847199999999999E-2</v>
      </c>
      <c r="AYQ6">
        <v>420129</v>
      </c>
      <c r="AYR6">
        <v>6.2035699999999999E-2</v>
      </c>
      <c r="AYS6">
        <v>420129</v>
      </c>
      <c r="AYT6">
        <v>0.22226979999999999</v>
      </c>
      <c r="AYU6">
        <v>420129</v>
      </c>
      <c r="AYV6">
        <v>0.20365169999999999</v>
      </c>
      <c r="AYW6">
        <v>420129</v>
      </c>
      <c r="AYX6">
        <v>6.2918799999999997E-2</v>
      </c>
      <c r="AYY6">
        <v>420129</v>
      </c>
      <c r="AYZ6">
        <v>0.2748775</v>
      </c>
      <c r="AZA6">
        <v>420129</v>
      </c>
      <c r="AZB6">
        <v>0.12639929999999999</v>
      </c>
      <c r="AZC6">
        <v>351578</v>
      </c>
      <c r="AZD6">
        <v>7.4424500000000005E-2</v>
      </c>
      <c r="AZE6">
        <v>351578</v>
      </c>
      <c r="AZF6">
        <v>7.6384199999999999E-2</v>
      </c>
      <c r="AZG6">
        <v>351578</v>
      </c>
      <c r="AZH6">
        <v>0.25108510000000001</v>
      </c>
      <c r="AZI6">
        <v>351578</v>
      </c>
      <c r="AZJ6">
        <v>0.17247950000000001</v>
      </c>
      <c r="AZK6">
        <v>351578</v>
      </c>
      <c r="AZL6">
        <v>5.5376000000000002E-2</v>
      </c>
      <c r="AZM6">
        <v>351578</v>
      </c>
      <c r="AZN6">
        <v>0.22256509999999999</v>
      </c>
      <c r="AZO6">
        <v>351578</v>
      </c>
      <c r="AZP6">
        <v>0.1476856</v>
      </c>
      <c r="AZQ6">
        <v>624630</v>
      </c>
      <c r="AZR6">
        <v>8.3804799999999999E-2</v>
      </c>
      <c r="AZS6">
        <v>624630</v>
      </c>
      <c r="AZT6">
        <v>7.7726000000000003E-2</v>
      </c>
      <c r="AZU6">
        <v>624630</v>
      </c>
      <c r="AZV6">
        <v>0.24865280000000001</v>
      </c>
      <c r="AZW6">
        <v>624630</v>
      </c>
      <c r="AZX6">
        <v>0.20566580000000001</v>
      </c>
      <c r="AZY6">
        <v>624630</v>
      </c>
      <c r="AZZ6">
        <v>6.44237E-2</v>
      </c>
      <c r="BAA6">
        <v>624630</v>
      </c>
      <c r="BAB6">
        <v>0.18264569999999999</v>
      </c>
      <c r="BAC6">
        <v>624630</v>
      </c>
      <c r="BAD6">
        <v>0.13708110000000001</v>
      </c>
      <c r="BAE6">
        <v>266721</v>
      </c>
      <c r="BAF6">
        <v>0.1379456</v>
      </c>
      <c r="BAG6">
        <v>266721</v>
      </c>
      <c r="BAH6">
        <v>0.10666580000000001</v>
      </c>
      <c r="BAI6">
        <v>266721</v>
      </c>
      <c r="BAJ6">
        <v>0.26489849999999998</v>
      </c>
      <c r="BAK6">
        <v>266721</v>
      </c>
      <c r="BAL6">
        <v>0.16675100000000001</v>
      </c>
      <c r="BAM6">
        <v>266721</v>
      </c>
      <c r="BAN6">
        <v>3.8965800000000002E-2</v>
      </c>
      <c r="BAO6">
        <v>266721</v>
      </c>
      <c r="BAP6">
        <v>0.143787</v>
      </c>
      <c r="BAQ6">
        <v>266721</v>
      </c>
      <c r="BAR6">
        <v>0.14098630000000001</v>
      </c>
      <c r="BAS6">
        <v>253824</v>
      </c>
      <c r="BAT6">
        <v>1.1921599999999999E-2</v>
      </c>
      <c r="BAU6">
        <v>253824</v>
      </c>
      <c r="BAV6">
        <v>0.1167029</v>
      </c>
      <c r="BAW6">
        <v>253824</v>
      </c>
      <c r="BAX6">
        <v>0.24248690000000001</v>
      </c>
      <c r="BAY6">
        <v>253824</v>
      </c>
      <c r="BAZ6">
        <v>0.39434019999999997</v>
      </c>
      <c r="BBA6">
        <v>253824</v>
      </c>
      <c r="BBB6">
        <v>4.3880799999999998E-2</v>
      </c>
      <c r="BBC6">
        <v>253824</v>
      </c>
      <c r="BBD6">
        <v>0.17673659999999999</v>
      </c>
      <c r="BBE6">
        <v>253824</v>
      </c>
      <c r="BBF6">
        <v>1.39309E-2</v>
      </c>
      <c r="BBG6">
        <v>427517</v>
      </c>
      <c r="BBH6">
        <v>3.1741400000000003E-2</v>
      </c>
      <c r="BBI6">
        <v>427517</v>
      </c>
      <c r="BBJ6">
        <v>4.8276399999999997E-2</v>
      </c>
      <c r="BBK6">
        <v>427517</v>
      </c>
      <c r="BBL6">
        <v>0.16733600000000001</v>
      </c>
      <c r="BBM6">
        <v>427517</v>
      </c>
      <c r="BBN6">
        <v>0.20211589999999999</v>
      </c>
      <c r="BBO6">
        <v>427517</v>
      </c>
      <c r="BBP6">
        <v>6.5964599999999998E-2</v>
      </c>
      <c r="BBQ6">
        <v>427517</v>
      </c>
      <c r="BBR6">
        <v>0.3157372</v>
      </c>
      <c r="BBS6">
        <v>427517</v>
      </c>
      <c r="BBT6">
        <v>0.16882839999999999</v>
      </c>
      <c r="BBU6">
        <v>357041</v>
      </c>
      <c r="BBV6">
        <v>5.9942700000000002E-2</v>
      </c>
      <c r="BBW6">
        <v>357041</v>
      </c>
      <c r="BBX6">
        <v>6.7364800000000002E-2</v>
      </c>
      <c r="BBY6">
        <v>357041</v>
      </c>
      <c r="BBZ6">
        <v>0.20436309999999999</v>
      </c>
      <c r="BCA6">
        <v>357041</v>
      </c>
      <c r="BCB6">
        <v>0.18755830000000001</v>
      </c>
      <c r="BCC6">
        <v>357041</v>
      </c>
      <c r="BCD6">
        <v>7.5697200000000006E-2</v>
      </c>
      <c r="BCE6">
        <v>357041</v>
      </c>
      <c r="BCF6">
        <v>0.23022570000000001</v>
      </c>
      <c r="BCG6">
        <v>357041</v>
      </c>
      <c r="BCH6">
        <v>0.17484830000000001</v>
      </c>
      <c r="BCI6">
        <v>679108</v>
      </c>
      <c r="BCJ6">
        <v>7.2991299999999995E-2</v>
      </c>
      <c r="BCK6">
        <v>679108</v>
      </c>
      <c r="BCL6">
        <v>6.7008499999999999E-2</v>
      </c>
      <c r="BCM6">
        <v>679108</v>
      </c>
      <c r="BCN6">
        <v>0.24566779999999999</v>
      </c>
      <c r="BCO6">
        <v>679108</v>
      </c>
      <c r="BCP6">
        <v>0.2110312</v>
      </c>
      <c r="BCQ6">
        <v>679108</v>
      </c>
      <c r="BCR6">
        <v>7.5956999999999997E-2</v>
      </c>
      <c r="BCS6">
        <v>679108</v>
      </c>
      <c r="BCT6">
        <v>0.19447130000000001</v>
      </c>
      <c r="BCU6">
        <v>679108</v>
      </c>
      <c r="BCV6">
        <v>0.13287280000000001</v>
      </c>
      <c r="BCW6">
        <v>381224</v>
      </c>
      <c r="BCX6">
        <v>0.1434222</v>
      </c>
      <c r="BCY6">
        <v>381224</v>
      </c>
      <c r="BCZ6">
        <v>0.105059</v>
      </c>
      <c r="BDA6">
        <v>381224</v>
      </c>
      <c r="BDB6">
        <v>0.32459660000000001</v>
      </c>
      <c r="BDC6">
        <v>381224</v>
      </c>
      <c r="BDD6">
        <v>0.18671960000000001</v>
      </c>
      <c r="BDE6">
        <v>381224</v>
      </c>
      <c r="BDF6">
        <v>4.1508400000000001E-2</v>
      </c>
      <c r="BDG6">
        <v>381224</v>
      </c>
      <c r="BDH6">
        <v>0.1103</v>
      </c>
      <c r="BDI6">
        <v>381224</v>
      </c>
      <c r="BDJ6">
        <v>8.8394200000000006E-2</v>
      </c>
      <c r="BDK6">
        <v>1320703</v>
      </c>
      <c r="BDL6">
        <v>5.1207599999999999E-2</v>
      </c>
      <c r="BDM6">
        <v>67630</v>
      </c>
      <c r="BDN6">
        <v>0.61957709999999999</v>
      </c>
      <c r="BDO6">
        <v>41902</v>
      </c>
      <c r="BDP6">
        <v>0.63135410000000003</v>
      </c>
      <c r="BDQ6">
        <v>41902</v>
      </c>
      <c r="BDR6">
        <v>0.36864590000000003</v>
      </c>
      <c r="BDS6">
        <v>67630</v>
      </c>
      <c r="BDT6">
        <v>0.38042290000000001</v>
      </c>
      <c r="BDU6">
        <v>25728</v>
      </c>
      <c r="BDV6">
        <v>0.64940920000000002</v>
      </c>
      <c r="BDW6">
        <v>25728</v>
      </c>
      <c r="BDX6">
        <v>0.35059079999999998</v>
      </c>
      <c r="BDY6">
        <v>1320703</v>
      </c>
      <c r="BDZ6">
        <v>0.94879239999999998</v>
      </c>
      <c r="BEA6">
        <v>1253073</v>
      </c>
      <c r="BEB6">
        <v>0.38021969999999999</v>
      </c>
      <c r="BEC6">
        <v>476443</v>
      </c>
      <c r="BED6">
        <v>0.74976019999999999</v>
      </c>
      <c r="BEE6">
        <v>476443</v>
      </c>
      <c r="BEF6">
        <v>0.25023980000000001</v>
      </c>
      <c r="BEG6">
        <v>1253073</v>
      </c>
      <c r="BEH6">
        <v>0.61978040000000001</v>
      </c>
      <c r="BEI6">
        <v>776630</v>
      </c>
      <c r="BEJ6">
        <v>0.74211660000000002</v>
      </c>
      <c r="BEK6">
        <v>776630</v>
      </c>
      <c r="BEL6">
        <v>0.25788339999999998</v>
      </c>
      <c r="BEM6">
        <v>2382439</v>
      </c>
      <c r="BEN6">
        <v>0.51686109999999996</v>
      </c>
      <c r="BEO6">
        <v>1231390</v>
      </c>
      <c r="BEP6">
        <v>0.97479839999999995</v>
      </c>
      <c r="BEQ6">
        <v>1200357</v>
      </c>
      <c r="BER6">
        <v>0.4564917</v>
      </c>
      <c r="BES6">
        <v>1200357</v>
      </c>
      <c r="BET6">
        <v>0.54350830000000006</v>
      </c>
      <c r="BEU6">
        <v>1231390</v>
      </c>
      <c r="BEV6">
        <v>2.5201600000000001E-2</v>
      </c>
      <c r="BEW6">
        <v>2382439</v>
      </c>
      <c r="BEX6">
        <v>0.48313889999999998</v>
      </c>
      <c r="BEY6">
        <v>1151049</v>
      </c>
      <c r="BEZ6">
        <v>0.97894700000000001</v>
      </c>
      <c r="BFA6">
        <v>1126816</v>
      </c>
      <c r="BFB6">
        <v>0.48291200000000001</v>
      </c>
      <c r="BFC6">
        <v>1126816</v>
      </c>
      <c r="BFD6">
        <v>0.51708799999999999</v>
      </c>
      <c r="BFE6">
        <v>1151049</v>
      </c>
      <c r="BFF6">
        <v>2.1052999999999999E-2</v>
      </c>
      <c r="BFG6">
        <v>2535122</v>
      </c>
      <c r="BFH6">
        <v>0.24375550000000001</v>
      </c>
      <c r="BFI6">
        <v>617950</v>
      </c>
      <c r="BFJ6">
        <v>0.95603689999999997</v>
      </c>
      <c r="BFK6">
        <v>617950</v>
      </c>
      <c r="BFL6">
        <v>4.3963099999999998E-2</v>
      </c>
      <c r="BFM6">
        <v>27167</v>
      </c>
      <c r="BFN6">
        <v>0.2366106</v>
      </c>
      <c r="BFO6">
        <v>27167</v>
      </c>
      <c r="BFP6">
        <v>0.7633894</v>
      </c>
      <c r="BFQ6">
        <v>2535122</v>
      </c>
      <c r="BFR6">
        <v>0.75624449999999999</v>
      </c>
      <c r="BFS6">
        <v>1917172</v>
      </c>
      <c r="BFT6">
        <v>0.72477590000000003</v>
      </c>
      <c r="BFU6">
        <v>1917172</v>
      </c>
      <c r="BFV6">
        <v>0.27522410000000003</v>
      </c>
      <c r="BFW6">
        <v>527652</v>
      </c>
      <c r="BFX6">
        <v>0.45712700000000001</v>
      </c>
      <c r="BFY6">
        <v>527652</v>
      </c>
      <c r="BFZ6">
        <v>0.54287300000000005</v>
      </c>
      <c r="BGA6">
        <v>2696229</v>
      </c>
      <c r="BGB6">
        <v>0.22161139999999999</v>
      </c>
      <c r="BGC6">
        <v>597515</v>
      </c>
      <c r="BGD6">
        <v>0.95277940000000005</v>
      </c>
      <c r="BGE6">
        <v>597515</v>
      </c>
      <c r="BGF6">
        <v>4.7220600000000001E-2</v>
      </c>
      <c r="BGG6">
        <v>28215</v>
      </c>
      <c r="BGH6">
        <v>0.20790359999999999</v>
      </c>
      <c r="BGI6">
        <v>28215</v>
      </c>
      <c r="BGJ6">
        <v>0.79209640000000003</v>
      </c>
      <c r="BGK6">
        <v>2696229</v>
      </c>
      <c r="BGL6">
        <v>0.77838859999999999</v>
      </c>
      <c r="BGM6">
        <v>2098714</v>
      </c>
      <c r="BGN6">
        <v>0.74970479999999995</v>
      </c>
      <c r="BGO6">
        <v>2098714</v>
      </c>
      <c r="BGP6">
        <v>0.2502952</v>
      </c>
      <c r="BGQ6">
        <v>525298</v>
      </c>
      <c r="BGR6">
        <v>0.50533790000000001</v>
      </c>
      <c r="BGS6">
        <v>525298</v>
      </c>
      <c r="BGT6">
        <v>0.49466209999999999</v>
      </c>
    </row>
    <row r="7" spans="1:1554" x14ac:dyDescent="0.25">
      <c r="A7" t="s">
        <v>131</v>
      </c>
      <c r="B7">
        <v>2008</v>
      </c>
      <c r="C7">
        <v>1</v>
      </c>
      <c r="D7" t="s">
        <v>540</v>
      </c>
      <c r="E7">
        <v>44290</v>
      </c>
      <c r="F7">
        <v>0.39397159999999998</v>
      </c>
      <c r="G7">
        <v>17449</v>
      </c>
      <c r="H7">
        <v>0.20872260000000001</v>
      </c>
      <c r="I7">
        <v>17449</v>
      </c>
      <c r="J7">
        <v>1.6849099999999999E-2</v>
      </c>
      <c r="K7">
        <v>17449</v>
      </c>
      <c r="L7">
        <v>0.1742793</v>
      </c>
      <c r="M7">
        <v>17449</v>
      </c>
      <c r="N7">
        <v>4.8369500000000003E-2</v>
      </c>
      <c r="O7">
        <v>17449</v>
      </c>
      <c r="P7">
        <v>1.2952E-2</v>
      </c>
      <c r="Q7">
        <v>17449</v>
      </c>
      <c r="R7">
        <v>5.3756699999999998E-2</v>
      </c>
      <c r="S7">
        <v>17449</v>
      </c>
      <c r="T7">
        <v>9.8859500000000003E-2</v>
      </c>
      <c r="U7">
        <v>17449</v>
      </c>
      <c r="V7">
        <v>0.1190326</v>
      </c>
      <c r="W7">
        <v>17449</v>
      </c>
      <c r="X7">
        <v>5.5991699999999998E-2</v>
      </c>
      <c r="Y7">
        <v>17449</v>
      </c>
      <c r="Z7">
        <v>7.3872400000000005E-2</v>
      </c>
      <c r="AA7">
        <v>17449</v>
      </c>
      <c r="AB7">
        <v>6.9344900000000001E-2</v>
      </c>
      <c r="AC7">
        <v>17449</v>
      </c>
      <c r="AD7">
        <v>3.62771E-2</v>
      </c>
      <c r="AE7">
        <v>17449</v>
      </c>
      <c r="AF7">
        <v>3.1692400000000003E-2</v>
      </c>
      <c r="AG7">
        <v>44290</v>
      </c>
      <c r="AH7">
        <v>0.60602840000000002</v>
      </c>
      <c r="AI7">
        <v>26841</v>
      </c>
      <c r="AJ7">
        <v>0.105473</v>
      </c>
      <c r="AK7">
        <v>26841</v>
      </c>
      <c r="AL7">
        <v>1.0022E-2</v>
      </c>
      <c r="AM7">
        <v>26841</v>
      </c>
      <c r="AN7">
        <v>8.7291800000000003E-2</v>
      </c>
      <c r="AO7">
        <v>26841</v>
      </c>
      <c r="AP7">
        <v>6.48262E-2</v>
      </c>
      <c r="AQ7">
        <v>26841</v>
      </c>
      <c r="AR7">
        <v>1.95969E-2</v>
      </c>
      <c r="AS7">
        <v>26841</v>
      </c>
      <c r="AT7">
        <v>2.2242100000000001E-2</v>
      </c>
      <c r="AU7">
        <v>26841</v>
      </c>
      <c r="AV7">
        <v>0.1567751</v>
      </c>
      <c r="AW7">
        <v>26841</v>
      </c>
      <c r="AX7">
        <v>0.22070709999999999</v>
      </c>
      <c r="AY7">
        <v>26841</v>
      </c>
      <c r="AZ7">
        <v>8.1554299999999996E-2</v>
      </c>
      <c r="BA7">
        <v>26841</v>
      </c>
      <c r="BB7">
        <v>8.1703399999999995E-2</v>
      </c>
      <c r="BC7">
        <v>26841</v>
      </c>
      <c r="BD7">
        <v>6.6502699999999998E-2</v>
      </c>
      <c r="BE7">
        <v>26841</v>
      </c>
      <c r="BF7">
        <v>3.9678100000000001E-2</v>
      </c>
      <c r="BG7">
        <v>26841</v>
      </c>
      <c r="BH7">
        <v>4.3627300000000001E-2</v>
      </c>
      <c r="BI7">
        <v>626749</v>
      </c>
      <c r="BJ7">
        <v>0.50701799999999997</v>
      </c>
      <c r="BK7">
        <v>317773</v>
      </c>
      <c r="BL7">
        <v>7.2828699999999996E-2</v>
      </c>
      <c r="BM7">
        <v>317773</v>
      </c>
      <c r="BN7">
        <v>1.50799E-2</v>
      </c>
      <c r="BO7">
        <v>317773</v>
      </c>
      <c r="BP7">
        <v>9.9785100000000002E-2</v>
      </c>
      <c r="BQ7">
        <v>317773</v>
      </c>
      <c r="BR7">
        <v>4.5154899999999998E-2</v>
      </c>
      <c r="BS7">
        <v>317773</v>
      </c>
      <c r="BT7">
        <v>1.4724299999999999E-2</v>
      </c>
      <c r="BU7">
        <v>317773</v>
      </c>
      <c r="BV7">
        <v>3.1871799999999999E-2</v>
      </c>
      <c r="BW7">
        <v>317773</v>
      </c>
      <c r="BX7">
        <v>9.3450400000000003E-2</v>
      </c>
      <c r="BY7">
        <v>317773</v>
      </c>
      <c r="BZ7">
        <v>0.1581129</v>
      </c>
      <c r="CA7">
        <v>317773</v>
      </c>
      <c r="CB7">
        <v>0.15944710000000001</v>
      </c>
      <c r="CC7">
        <v>317773</v>
      </c>
      <c r="CD7">
        <v>0.1474229</v>
      </c>
      <c r="CE7">
        <v>317773</v>
      </c>
      <c r="CF7">
        <v>9.0973700000000005E-2</v>
      </c>
      <c r="CG7">
        <v>317773</v>
      </c>
      <c r="CH7">
        <v>4.6825899999999997E-2</v>
      </c>
      <c r="CI7">
        <v>317773</v>
      </c>
      <c r="CJ7">
        <v>2.4322400000000001E-2</v>
      </c>
      <c r="CK7">
        <v>626749</v>
      </c>
      <c r="CL7">
        <v>0.49298199999999998</v>
      </c>
      <c r="CM7">
        <v>308976</v>
      </c>
      <c r="CN7">
        <v>7.3960399999999996E-2</v>
      </c>
      <c r="CO7">
        <v>308976</v>
      </c>
      <c r="CP7">
        <v>9.1009999999999997E-3</v>
      </c>
      <c r="CQ7">
        <v>308976</v>
      </c>
      <c r="CR7">
        <v>9.7195299999999998E-2</v>
      </c>
      <c r="CS7">
        <v>308976</v>
      </c>
      <c r="CT7">
        <v>4.9139700000000001E-2</v>
      </c>
      <c r="CU7">
        <v>308976</v>
      </c>
      <c r="CV7">
        <v>1.2017099999999999E-2</v>
      </c>
      <c r="CW7">
        <v>308976</v>
      </c>
      <c r="CX7">
        <v>3.5135399999999997E-2</v>
      </c>
      <c r="CY7">
        <v>308976</v>
      </c>
      <c r="CZ7">
        <v>8.3588999999999997E-2</v>
      </c>
      <c r="DA7">
        <v>308976</v>
      </c>
      <c r="DB7">
        <v>0.1514972</v>
      </c>
      <c r="DC7">
        <v>308976</v>
      </c>
      <c r="DD7">
        <v>0.1600027</v>
      </c>
      <c r="DE7">
        <v>308976</v>
      </c>
      <c r="DF7">
        <v>0.14676539999999999</v>
      </c>
      <c r="DG7">
        <v>308976</v>
      </c>
      <c r="DH7">
        <v>9.3874600000000002E-2</v>
      </c>
      <c r="DI7">
        <v>308976</v>
      </c>
      <c r="DJ7">
        <v>5.1152799999999998E-2</v>
      </c>
      <c r="DK7">
        <v>308976</v>
      </c>
      <c r="DL7">
        <v>3.6569200000000003E-2</v>
      </c>
      <c r="DM7">
        <v>418045</v>
      </c>
      <c r="DN7">
        <v>5.0391699999999998E-2</v>
      </c>
      <c r="DO7">
        <v>21066</v>
      </c>
      <c r="DP7">
        <v>0.3198994</v>
      </c>
      <c r="DQ7">
        <v>206016</v>
      </c>
      <c r="DR7">
        <v>3.27111E-2</v>
      </c>
      <c r="DS7">
        <v>6739</v>
      </c>
      <c r="DT7">
        <v>0.20255229999999999</v>
      </c>
      <c r="DU7">
        <v>22640</v>
      </c>
      <c r="DV7">
        <v>6.0291499999999998E-2</v>
      </c>
      <c r="DW7">
        <v>6739</v>
      </c>
      <c r="DX7">
        <v>0.32927729999999999</v>
      </c>
      <c r="DY7">
        <v>55272</v>
      </c>
      <c r="DZ7">
        <v>4.0146899999999999E-2</v>
      </c>
      <c r="EA7">
        <v>6739</v>
      </c>
      <c r="EB7">
        <v>0.2998961</v>
      </c>
      <c r="EC7">
        <v>63888</v>
      </c>
      <c r="ED7">
        <v>3.1633500000000002E-2</v>
      </c>
      <c r="EE7">
        <v>6739</v>
      </c>
      <c r="EF7">
        <v>0.16827420000000001</v>
      </c>
      <c r="EG7">
        <v>64216</v>
      </c>
      <c r="EH7">
        <v>1.76592E-2</v>
      </c>
      <c r="EI7">
        <v>21066</v>
      </c>
      <c r="EJ7">
        <v>0.68010060000000006</v>
      </c>
      <c r="EK7">
        <v>212029</v>
      </c>
      <c r="EL7">
        <v>6.7570900000000003E-2</v>
      </c>
      <c r="EM7">
        <v>14327</v>
      </c>
      <c r="EN7">
        <v>0.18007960000000001</v>
      </c>
      <c r="EO7">
        <v>21288</v>
      </c>
      <c r="EP7">
        <v>0.121195</v>
      </c>
      <c r="EQ7">
        <v>14327</v>
      </c>
      <c r="ER7">
        <v>0.41229850000000001</v>
      </c>
      <c r="ES7">
        <v>58804</v>
      </c>
      <c r="ET7">
        <v>0.10045229999999999</v>
      </c>
      <c r="EU7">
        <v>14327</v>
      </c>
      <c r="EV7">
        <v>0.2834508</v>
      </c>
      <c r="EW7">
        <v>67524</v>
      </c>
      <c r="EX7">
        <v>6.0141600000000003E-2</v>
      </c>
      <c r="EY7">
        <v>14327</v>
      </c>
      <c r="EZ7">
        <v>0.12417110000000001</v>
      </c>
      <c r="FA7">
        <v>64413</v>
      </c>
      <c r="FB7">
        <v>2.76186E-2</v>
      </c>
      <c r="FC7">
        <v>418045</v>
      </c>
      <c r="FD7">
        <v>0.94960829999999996</v>
      </c>
      <c r="FE7">
        <v>396979</v>
      </c>
      <c r="FF7">
        <v>0.50198379999999998</v>
      </c>
      <c r="FG7">
        <v>206016</v>
      </c>
      <c r="FH7">
        <v>0.96728899999999995</v>
      </c>
      <c r="FI7">
        <v>199277</v>
      </c>
      <c r="FJ7">
        <v>0.10676090000000001</v>
      </c>
      <c r="FK7">
        <v>22640</v>
      </c>
      <c r="FL7">
        <v>0.93970849999999995</v>
      </c>
      <c r="FM7">
        <v>199277</v>
      </c>
      <c r="FN7">
        <v>0.2662274</v>
      </c>
      <c r="FO7">
        <v>55272</v>
      </c>
      <c r="FP7">
        <v>0.95985310000000001</v>
      </c>
      <c r="FQ7">
        <v>199277</v>
      </c>
      <c r="FR7">
        <v>0.31045729999999999</v>
      </c>
      <c r="FS7">
        <v>63888</v>
      </c>
      <c r="FT7">
        <v>0.96836650000000002</v>
      </c>
      <c r="FU7">
        <v>199277</v>
      </c>
      <c r="FV7">
        <v>0.31655430000000001</v>
      </c>
      <c r="FW7">
        <v>64216</v>
      </c>
      <c r="FX7">
        <v>0.98234089999999996</v>
      </c>
      <c r="FY7">
        <v>396979</v>
      </c>
      <c r="FZ7">
        <v>0.49801630000000002</v>
      </c>
      <c r="GA7">
        <v>212029</v>
      </c>
      <c r="GB7">
        <v>0.93242910000000001</v>
      </c>
      <c r="GC7">
        <v>197702</v>
      </c>
      <c r="GD7">
        <v>9.4627299999999998E-2</v>
      </c>
      <c r="GE7">
        <v>21288</v>
      </c>
      <c r="GF7">
        <v>0.87880499999999995</v>
      </c>
      <c r="GG7">
        <v>197702</v>
      </c>
      <c r="GH7">
        <v>0.2675593</v>
      </c>
      <c r="GI7">
        <v>58804</v>
      </c>
      <c r="GJ7">
        <v>0.8995476</v>
      </c>
      <c r="GK7">
        <v>197702</v>
      </c>
      <c r="GL7">
        <v>0.32100329999999999</v>
      </c>
      <c r="GM7">
        <v>67524</v>
      </c>
      <c r="GN7">
        <v>0.93985839999999998</v>
      </c>
      <c r="GO7">
        <v>197702</v>
      </c>
      <c r="GP7">
        <v>0.31681019999999999</v>
      </c>
      <c r="GQ7">
        <v>64413</v>
      </c>
      <c r="GR7">
        <v>0.97238139999999995</v>
      </c>
      <c r="GS7">
        <v>502020</v>
      </c>
      <c r="GT7">
        <v>5.6838399999999997E-2</v>
      </c>
      <c r="GU7">
        <v>28534</v>
      </c>
      <c r="GV7">
        <v>0.32950170000000001</v>
      </c>
      <c r="GW7">
        <v>9402</v>
      </c>
      <c r="GX7">
        <v>0.1194427</v>
      </c>
      <c r="GY7">
        <v>9402</v>
      </c>
      <c r="GZ7">
        <v>0.43129119999999999</v>
      </c>
      <c r="HA7">
        <v>9402</v>
      </c>
      <c r="HB7">
        <v>0.4492661</v>
      </c>
      <c r="HC7">
        <v>9402</v>
      </c>
      <c r="HD7">
        <v>0.5486067</v>
      </c>
      <c r="HE7">
        <v>9402</v>
      </c>
      <c r="HF7">
        <v>0.4513933</v>
      </c>
      <c r="HG7">
        <v>5158</v>
      </c>
      <c r="HH7">
        <v>0.70298559999999999</v>
      </c>
      <c r="HI7">
        <v>5158</v>
      </c>
      <c r="HJ7">
        <v>0.29701440000000001</v>
      </c>
      <c r="HK7">
        <v>28534</v>
      </c>
      <c r="HL7">
        <v>0.67049840000000005</v>
      </c>
      <c r="HM7">
        <v>19132</v>
      </c>
      <c r="HN7">
        <v>8.6974700000000002E-2</v>
      </c>
      <c r="HO7">
        <v>19132</v>
      </c>
      <c r="HP7">
        <v>0.38469579999999998</v>
      </c>
      <c r="HQ7">
        <v>19132</v>
      </c>
      <c r="HR7">
        <v>0.52832950000000001</v>
      </c>
      <c r="HS7">
        <v>19132</v>
      </c>
      <c r="HT7">
        <v>0.47459750000000001</v>
      </c>
      <c r="HU7">
        <v>19132</v>
      </c>
      <c r="HV7">
        <v>0.52540249999999999</v>
      </c>
      <c r="HW7">
        <v>9080</v>
      </c>
      <c r="HX7">
        <v>0.69251099999999999</v>
      </c>
      <c r="HY7">
        <v>9080</v>
      </c>
      <c r="HZ7">
        <v>0.30748900000000001</v>
      </c>
      <c r="IA7">
        <v>502020</v>
      </c>
      <c r="IB7">
        <v>0.94316160000000004</v>
      </c>
      <c r="IC7">
        <v>473486</v>
      </c>
      <c r="ID7">
        <v>0.50498010000000004</v>
      </c>
      <c r="IE7">
        <v>239101</v>
      </c>
      <c r="IF7">
        <v>0.628521</v>
      </c>
      <c r="IG7">
        <v>239101</v>
      </c>
      <c r="IH7">
        <v>0.22249179999999999</v>
      </c>
      <c r="II7">
        <v>239101</v>
      </c>
      <c r="IJ7">
        <v>0.14898719999999999</v>
      </c>
      <c r="IK7">
        <v>238948</v>
      </c>
      <c r="IL7">
        <v>0.83473810000000004</v>
      </c>
      <c r="IM7">
        <v>238948</v>
      </c>
      <c r="IN7">
        <v>0.16526189999999999</v>
      </c>
      <c r="IO7">
        <v>199459</v>
      </c>
      <c r="IP7">
        <v>0.94134130000000005</v>
      </c>
      <c r="IQ7">
        <v>199459</v>
      </c>
      <c r="IR7">
        <v>5.8658700000000001E-2</v>
      </c>
      <c r="IS7">
        <v>473486</v>
      </c>
      <c r="IT7">
        <v>0.49501990000000001</v>
      </c>
      <c r="IU7">
        <v>234385</v>
      </c>
      <c r="IV7">
        <v>0.39481620000000001</v>
      </c>
      <c r="IW7">
        <v>234385</v>
      </c>
      <c r="IX7">
        <v>0.31743070000000001</v>
      </c>
      <c r="IY7">
        <v>234385</v>
      </c>
      <c r="IZ7">
        <v>0.28775299999999998</v>
      </c>
      <c r="JA7">
        <v>234300</v>
      </c>
      <c r="JB7">
        <v>0.67587280000000005</v>
      </c>
      <c r="JC7">
        <v>234300</v>
      </c>
      <c r="JD7">
        <v>0.3241272</v>
      </c>
      <c r="JE7">
        <v>158357</v>
      </c>
      <c r="JF7">
        <v>0.94057729999999995</v>
      </c>
      <c r="JG7">
        <v>158357</v>
      </c>
      <c r="JH7">
        <v>5.9422700000000002E-2</v>
      </c>
      <c r="JI7">
        <v>169152</v>
      </c>
      <c r="JJ7">
        <v>8.8399800000000001E-2</v>
      </c>
      <c r="JK7">
        <v>14953</v>
      </c>
      <c r="JL7">
        <v>0.33083659999999998</v>
      </c>
      <c r="JM7">
        <v>4947</v>
      </c>
      <c r="JN7">
        <v>0.70810589999999995</v>
      </c>
      <c r="JO7">
        <v>4947</v>
      </c>
      <c r="JP7">
        <v>0.70810589999999995</v>
      </c>
      <c r="JQ7">
        <v>4947</v>
      </c>
      <c r="JR7">
        <v>0.70810589999999995</v>
      </c>
      <c r="JS7">
        <v>4947</v>
      </c>
      <c r="JT7">
        <v>0.70810589999999995</v>
      </c>
      <c r="JU7">
        <v>4947</v>
      </c>
      <c r="JV7">
        <v>0.29189409999999999</v>
      </c>
      <c r="JW7">
        <v>14953</v>
      </c>
      <c r="JX7">
        <v>0.66916339999999996</v>
      </c>
      <c r="JY7">
        <v>10006</v>
      </c>
      <c r="JZ7">
        <v>0.12572459999999999</v>
      </c>
      <c r="KA7">
        <v>1258</v>
      </c>
      <c r="KB7">
        <v>0.86883940000000004</v>
      </c>
      <c r="KC7">
        <v>1093</v>
      </c>
      <c r="KD7">
        <v>0.4693504</v>
      </c>
      <c r="KE7">
        <v>1093</v>
      </c>
      <c r="KF7">
        <v>0</v>
      </c>
      <c r="KG7">
        <v>1093</v>
      </c>
      <c r="KH7">
        <v>0.53064960000000005</v>
      </c>
      <c r="KI7">
        <v>1258</v>
      </c>
      <c r="KJ7">
        <v>0.13116059999999999</v>
      </c>
      <c r="KK7">
        <v>10006</v>
      </c>
      <c r="KL7">
        <v>0.87427540000000004</v>
      </c>
      <c r="KM7">
        <v>8748</v>
      </c>
      <c r="KN7">
        <v>0.89254690000000003</v>
      </c>
      <c r="KO7">
        <v>7808</v>
      </c>
      <c r="KP7">
        <v>0.27433400000000002</v>
      </c>
      <c r="KQ7">
        <v>7808</v>
      </c>
      <c r="KR7">
        <v>0.42174689999999998</v>
      </c>
      <c r="KS7">
        <v>7808</v>
      </c>
      <c r="KT7">
        <v>0.30391899999999999</v>
      </c>
      <c r="KU7">
        <v>8748</v>
      </c>
      <c r="KV7">
        <v>0.1074531</v>
      </c>
      <c r="KW7">
        <v>169152</v>
      </c>
      <c r="KX7">
        <v>2.6337300000000001E-2</v>
      </c>
      <c r="KY7">
        <v>4455</v>
      </c>
      <c r="KZ7">
        <v>0.6343434</v>
      </c>
      <c r="LA7">
        <v>2826</v>
      </c>
      <c r="LB7">
        <v>0.87614999999999998</v>
      </c>
      <c r="LC7">
        <v>2826</v>
      </c>
      <c r="LD7">
        <v>0.87614999999999998</v>
      </c>
      <c r="LE7">
        <v>2826</v>
      </c>
      <c r="LF7">
        <v>0.87614999999999998</v>
      </c>
      <c r="LG7">
        <v>2826</v>
      </c>
      <c r="LH7">
        <v>0.87614999999999998</v>
      </c>
      <c r="LI7">
        <v>2826</v>
      </c>
      <c r="LJ7">
        <v>0.12385</v>
      </c>
      <c r="LK7">
        <v>4455</v>
      </c>
      <c r="LL7">
        <v>0.3656566</v>
      </c>
      <c r="LM7">
        <v>1629</v>
      </c>
      <c r="LN7">
        <v>0.247391</v>
      </c>
      <c r="LO7">
        <v>403</v>
      </c>
      <c r="LP7">
        <v>0.60794040000000005</v>
      </c>
      <c r="LQ7">
        <v>245</v>
      </c>
      <c r="LR7">
        <v>0.1632653</v>
      </c>
      <c r="LS7">
        <v>245</v>
      </c>
      <c r="LT7">
        <v>0</v>
      </c>
      <c r="LU7">
        <v>245</v>
      </c>
      <c r="LV7">
        <v>0.83673470000000005</v>
      </c>
      <c r="LW7">
        <v>403</v>
      </c>
      <c r="LX7">
        <v>0.39205960000000001</v>
      </c>
      <c r="LY7">
        <v>1629</v>
      </c>
      <c r="LZ7">
        <v>0.75260899999999997</v>
      </c>
      <c r="MA7">
        <v>1226</v>
      </c>
      <c r="MB7">
        <v>0.93066879999999996</v>
      </c>
      <c r="MC7">
        <v>1141</v>
      </c>
      <c r="MD7">
        <v>0</v>
      </c>
      <c r="ME7">
        <v>1141</v>
      </c>
      <c r="MF7">
        <v>0.31288339999999998</v>
      </c>
      <c r="MG7">
        <v>1141</v>
      </c>
      <c r="MH7">
        <v>0.68711659999999997</v>
      </c>
      <c r="MI7">
        <v>1226</v>
      </c>
      <c r="MJ7">
        <v>6.9331199999999996E-2</v>
      </c>
      <c r="MK7">
        <v>169152</v>
      </c>
      <c r="ML7">
        <v>3.0735700000000001E-2</v>
      </c>
      <c r="MM7">
        <v>5199</v>
      </c>
      <c r="MN7">
        <v>0.587036</v>
      </c>
      <c r="MO7">
        <v>3052</v>
      </c>
      <c r="MP7">
        <v>0.68315859999999995</v>
      </c>
      <c r="MQ7">
        <v>3052</v>
      </c>
      <c r="MR7">
        <v>0.68315859999999995</v>
      </c>
      <c r="MS7">
        <v>3052</v>
      </c>
      <c r="MT7">
        <v>0.68315859999999995</v>
      </c>
      <c r="MU7">
        <v>3052</v>
      </c>
      <c r="MV7">
        <v>0.68315859999999995</v>
      </c>
      <c r="MW7">
        <v>3052</v>
      </c>
      <c r="MX7">
        <v>0.3168414</v>
      </c>
      <c r="MY7">
        <v>5199</v>
      </c>
      <c r="MZ7">
        <v>0.412964</v>
      </c>
      <c r="NA7">
        <v>2147</v>
      </c>
      <c r="NB7">
        <v>0.50023289999999998</v>
      </c>
      <c r="NC7">
        <v>1074</v>
      </c>
      <c r="ND7">
        <v>1</v>
      </c>
      <c r="NE7">
        <v>1074</v>
      </c>
      <c r="NF7">
        <v>0.33426440000000002</v>
      </c>
      <c r="NG7">
        <v>1074</v>
      </c>
      <c r="NH7">
        <v>4.1899400000000003E-2</v>
      </c>
      <c r="NI7">
        <v>1074</v>
      </c>
      <c r="NJ7">
        <v>0.6238361</v>
      </c>
      <c r="NK7">
        <v>1074</v>
      </c>
      <c r="NL7">
        <v>0</v>
      </c>
      <c r="NM7">
        <v>2147</v>
      </c>
      <c r="NN7">
        <v>0.49976710000000002</v>
      </c>
      <c r="NO7">
        <v>1073</v>
      </c>
      <c r="NP7">
        <v>0.79310349999999996</v>
      </c>
      <c r="NQ7">
        <v>851</v>
      </c>
      <c r="NR7">
        <v>0.2244418</v>
      </c>
      <c r="NS7">
        <v>851</v>
      </c>
      <c r="NT7">
        <v>8.1081100000000003E-2</v>
      </c>
      <c r="NU7">
        <v>851</v>
      </c>
      <c r="NV7">
        <v>0.69447709999999996</v>
      </c>
      <c r="NW7">
        <v>1073</v>
      </c>
      <c r="NX7">
        <v>0.20689660000000001</v>
      </c>
      <c r="NY7">
        <v>169152</v>
      </c>
      <c r="NZ7">
        <v>0.85452729999999999</v>
      </c>
      <c r="OA7">
        <v>144545</v>
      </c>
      <c r="OB7">
        <v>0.86489329999999998</v>
      </c>
      <c r="OC7">
        <v>125016</v>
      </c>
      <c r="OD7">
        <v>0.53879509999999997</v>
      </c>
      <c r="OE7">
        <v>125016</v>
      </c>
      <c r="OF7">
        <v>0.53879509999999997</v>
      </c>
      <c r="OG7">
        <v>125016</v>
      </c>
      <c r="OH7">
        <v>0.53879509999999997</v>
      </c>
      <c r="OI7">
        <v>125016</v>
      </c>
      <c r="OJ7">
        <v>0.53879509999999997</v>
      </c>
      <c r="OK7">
        <v>125016</v>
      </c>
      <c r="OL7">
        <v>0.46120499999999998</v>
      </c>
      <c r="OM7">
        <v>144545</v>
      </c>
      <c r="ON7">
        <v>0.1351067</v>
      </c>
      <c r="OO7">
        <v>19529</v>
      </c>
      <c r="OP7">
        <v>0.34231139999999999</v>
      </c>
      <c r="OQ7">
        <v>6685</v>
      </c>
      <c r="OR7">
        <v>0.44233359999999999</v>
      </c>
      <c r="OS7">
        <v>2957</v>
      </c>
      <c r="OT7">
        <v>0.138654</v>
      </c>
      <c r="OU7">
        <v>2957</v>
      </c>
      <c r="OV7">
        <v>0.15928310000000001</v>
      </c>
      <c r="OW7">
        <v>2957</v>
      </c>
      <c r="OX7">
        <v>0.70206290000000005</v>
      </c>
      <c r="OY7">
        <v>6685</v>
      </c>
      <c r="OZ7">
        <v>0.55766640000000001</v>
      </c>
      <c r="PA7">
        <v>19529</v>
      </c>
      <c r="PB7">
        <v>0.65768859999999996</v>
      </c>
      <c r="PC7">
        <v>12844</v>
      </c>
      <c r="PD7">
        <v>0.65376829999999997</v>
      </c>
      <c r="PE7">
        <v>8397</v>
      </c>
      <c r="PF7">
        <v>9.3009400000000006E-2</v>
      </c>
      <c r="PG7">
        <v>8397</v>
      </c>
      <c r="PH7">
        <v>0.1012266</v>
      </c>
      <c r="PI7">
        <v>8397</v>
      </c>
      <c r="PJ7">
        <v>0.80576400000000004</v>
      </c>
      <c r="PK7">
        <v>12844</v>
      </c>
      <c r="PL7">
        <v>0.34623169999999998</v>
      </c>
      <c r="PM7">
        <v>681097</v>
      </c>
      <c r="PN7">
        <v>0.50048230000000005</v>
      </c>
      <c r="PO7">
        <v>340877</v>
      </c>
      <c r="PP7">
        <v>7.9345299999999994E-2</v>
      </c>
      <c r="PQ7">
        <v>340877</v>
      </c>
      <c r="PR7">
        <v>7.6458700000000004E-2</v>
      </c>
      <c r="PS7">
        <v>340877</v>
      </c>
      <c r="PT7">
        <v>8.5749400000000003E-2</v>
      </c>
      <c r="PU7">
        <v>340877</v>
      </c>
      <c r="PV7">
        <v>4.7149000000000003E-2</v>
      </c>
      <c r="PW7">
        <v>340877</v>
      </c>
      <c r="PX7">
        <v>3.0368699999999998E-2</v>
      </c>
      <c r="PY7">
        <v>340877</v>
      </c>
      <c r="PZ7">
        <v>1.6800800000000001E-2</v>
      </c>
      <c r="QA7">
        <v>340877</v>
      </c>
      <c r="QB7">
        <v>1.31719E-2</v>
      </c>
      <c r="QC7">
        <v>340877</v>
      </c>
      <c r="QD7">
        <v>3.58546E-2</v>
      </c>
      <c r="QE7">
        <v>340877</v>
      </c>
      <c r="QF7">
        <v>7.9412800000000006E-2</v>
      </c>
      <c r="QG7">
        <v>340877</v>
      </c>
      <c r="QH7">
        <v>7.6658199999999996E-2</v>
      </c>
      <c r="QI7">
        <v>340877</v>
      </c>
      <c r="QJ7">
        <v>7.8327400000000005E-2</v>
      </c>
      <c r="QK7">
        <v>340877</v>
      </c>
      <c r="QL7">
        <v>7.5343900000000005E-2</v>
      </c>
      <c r="QM7">
        <v>340877</v>
      </c>
      <c r="QN7">
        <v>7.7849199999999993E-2</v>
      </c>
      <c r="QO7">
        <v>340877</v>
      </c>
      <c r="QP7">
        <v>6.5085100000000007E-2</v>
      </c>
      <c r="QQ7">
        <v>340877</v>
      </c>
      <c r="QR7">
        <v>4.8689099999999999E-2</v>
      </c>
      <c r="QS7">
        <v>340877</v>
      </c>
      <c r="QT7">
        <v>1.9746099999999999E-2</v>
      </c>
      <c r="QU7">
        <v>340877</v>
      </c>
      <c r="QV7">
        <v>2.11895E-2</v>
      </c>
      <c r="QW7">
        <v>340877</v>
      </c>
      <c r="QX7">
        <v>1.3075099999999999E-2</v>
      </c>
      <c r="QY7">
        <v>340877</v>
      </c>
      <c r="QZ7">
        <v>1.1241599999999999E-2</v>
      </c>
      <c r="RA7">
        <v>340877</v>
      </c>
      <c r="RB7">
        <v>2.22778E-2</v>
      </c>
      <c r="RC7">
        <v>340877</v>
      </c>
      <c r="RD7">
        <v>1.04554E-2</v>
      </c>
      <c r="RE7">
        <v>340877</v>
      </c>
      <c r="RF7">
        <v>1.0141499999999999E-2</v>
      </c>
      <c r="RG7">
        <v>340877</v>
      </c>
      <c r="RH7">
        <v>5.6090999999999997E-3</v>
      </c>
      <c r="RI7">
        <v>681097</v>
      </c>
      <c r="RJ7">
        <v>0.49951770000000001</v>
      </c>
      <c r="RK7">
        <v>340220</v>
      </c>
      <c r="RL7">
        <v>7.5689300000000001E-2</v>
      </c>
      <c r="RM7">
        <v>340220</v>
      </c>
      <c r="RN7">
        <v>7.3972700000000002E-2</v>
      </c>
      <c r="RO7">
        <v>340220</v>
      </c>
      <c r="RP7">
        <v>8.0915299999999996E-2</v>
      </c>
      <c r="RQ7">
        <v>340220</v>
      </c>
      <c r="RR7">
        <v>4.61231E-2</v>
      </c>
      <c r="RS7">
        <v>340220</v>
      </c>
      <c r="RT7">
        <v>2.62242E-2</v>
      </c>
      <c r="RU7">
        <v>340220</v>
      </c>
      <c r="RV7">
        <v>1.6298300000000002E-2</v>
      </c>
      <c r="RW7">
        <v>340220</v>
      </c>
      <c r="RX7">
        <v>1.1328E-2</v>
      </c>
      <c r="RY7">
        <v>340220</v>
      </c>
      <c r="RZ7">
        <v>3.5915000000000002E-2</v>
      </c>
      <c r="SA7">
        <v>340220</v>
      </c>
      <c r="SB7">
        <v>8.3022799999999994E-2</v>
      </c>
      <c r="SC7">
        <v>340220</v>
      </c>
      <c r="SD7">
        <v>7.2097499999999995E-2</v>
      </c>
      <c r="SE7">
        <v>340220</v>
      </c>
      <c r="SF7">
        <v>7.5806799999999994E-2</v>
      </c>
      <c r="SG7">
        <v>340220</v>
      </c>
      <c r="SH7">
        <v>7.6059600000000005E-2</v>
      </c>
      <c r="SI7">
        <v>340220</v>
      </c>
      <c r="SJ7">
        <v>7.5874399999999995E-2</v>
      </c>
      <c r="SK7">
        <v>340220</v>
      </c>
      <c r="SL7">
        <v>6.4005599999999996E-2</v>
      </c>
      <c r="SM7">
        <v>340220</v>
      </c>
      <c r="SN7">
        <v>4.7428100000000001E-2</v>
      </c>
      <c r="SO7">
        <v>340220</v>
      </c>
      <c r="SP7">
        <v>2.4343099999999999E-2</v>
      </c>
      <c r="SQ7">
        <v>340220</v>
      </c>
      <c r="SR7">
        <v>1.91758E-2</v>
      </c>
      <c r="SS7">
        <v>340220</v>
      </c>
      <c r="ST7">
        <v>1.6142500000000001E-2</v>
      </c>
      <c r="SU7">
        <v>340220</v>
      </c>
      <c r="SV7">
        <v>1.35265E-2</v>
      </c>
      <c r="SW7">
        <v>340220</v>
      </c>
      <c r="SX7">
        <v>2.12392E-2</v>
      </c>
      <c r="SY7">
        <v>340220</v>
      </c>
      <c r="SZ7">
        <v>1.43231E-2</v>
      </c>
      <c r="TA7">
        <v>340220</v>
      </c>
      <c r="TB7">
        <v>1.1663E-2</v>
      </c>
      <c r="TC7">
        <v>340220</v>
      </c>
      <c r="TD7">
        <v>1.8826099999999998E-2</v>
      </c>
      <c r="TE7">
        <v>536407</v>
      </c>
      <c r="TF7">
        <v>0.50022829999999996</v>
      </c>
      <c r="TG7">
        <v>71864</v>
      </c>
      <c r="TH7">
        <v>0.49315369999999997</v>
      </c>
      <c r="TI7"/>
      <c r="TJ7"/>
      <c r="TK7">
        <v>25576</v>
      </c>
      <c r="TL7">
        <v>0.47528930000000003</v>
      </c>
      <c r="TM7"/>
      <c r="TN7"/>
      <c r="TO7">
        <v>32776</v>
      </c>
      <c r="TP7">
        <v>0.53200510000000001</v>
      </c>
      <c r="TQ7">
        <v>13547</v>
      </c>
      <c r="TR7">
        <v>0.50992839999999995</v>
      </c>
      <c r="TS7">
        <v>468235</v>
      </c>
      <c r="TT7">
        <v>0.49634689999999998</v>
      </c>
      <c r="TU7">
        <v>101607</v>
      </c>
      <c r="TV7">
        <v>0.53024890000000002</v>
      </c>
      <c r="TW7">
        <v>536407</v>
      </c>
      <c r="TX7">
        <v>0.49977159999999998</v>
      </c>
      <c r="TY7">
        <v>71864</v>
      </c>
      <c r="TZ7">
        <v>0.50684620000000002</v>
      </c>
      <c r="UA7"/>
      <c r="UB7"/>
      <c r="UC7">
        <v>25576</v>
      </c>
      <c r="UD7">
        <v>0.52471069999999997</v>
      </c>
      <c r="UE7"/>
      <c r="UF7"/>
      <c r="UG7">
        <v>32776</v>
      </c>
      <c r="UH7">
        <v>0.46799489999999999</v>
      </c>
      <c r="UI7">
        <v>13547</v>
      </c>
      <c r="UJ7">
        <v>0.4900716</v>
      </c>
      <c r="UK7">
        <v>468235</v>
      </c>
      <c r="UL7">
        <v>0.50365309999999996</v>
      </c>
      <c r="UM7">
        <v>101607</v>
      </c>
      <c r="UN7">
        <v>0.46975109999999998</v>
      </c>
      <c r="UO7">
        <v>170572</v>
      </c>
      <c r="UP7">
        <v>170572</v>
      </c>
      <c r="UQ7">
        <v>170572</v>
      </c>
      <c r="UR7">
        <v>138681</v>
      </c>
      <c r="US7">
        <v>138681</v>
      </c>
      <c r="UT7">
        <v>138681</v>
      </c>
      <c r="UU7">
        <v>8.9700000000000001E-4</v>
      </c>
      <c r="UV7">
        <v>0.94932930000000004</v>
      </c>
      <c r="UW7">
        <v>4.9773699999999997E-2</v>
      </c>
      <c r="UX7">
        <v>6.1289999999999999E-4</v>
      </c>
      <c r="UY7">
        <v>0.93752570000000002</v>
      </c>
      <c r="UZ7">
        <v>6.1861399999999997E-2</v>
      </c>
      <c r="VA7">
        <v>10409</v>
      </c>
      <c r="VB7">
        <v>2.2095999999999999E-3</v>
      </c>
      <c r="VC7">
        <v>10409</v>
      </c>
      <c r="VD7">
        <v>0.90152750000000004</v>
      </c>
      <c r="VE7">
        <v>10409</v>
      </c>
      <c r="VF7">
        <v>9.6262799999999996E-2</v>
      </c>
      <c r="VG7">
        <v>25493</v>
      </c>
      <c r="VH7">
        <v>0</v>
      </c>
      <c r="VI7">
        <v>25493</v>
      </c>
      <c r="VJ7">
        <v>0.91256420000000005</v>
      </c>
      <c r="VK7">
        <v>25493</v>
      </c>
      <c r="VL7">
        <v>8.7435799999999994E-2</v>
      </c>
      <c r="VM7">
        <v>24958</v>
      </c>
      <c r="VN7">
        <v>2.6044000000000002E-3</v>
      </c>
      <c r="VO7">
        <v>24958</v>
      </c>
      <c r="VP7">
        <v>0.96397949999999999</v>
      </c>
      <c r="VQ7">
        <v>24958</v>
      </c>
      <c r="VR7">
        <v>3.3416099999999997E-2</v>
      </c>
      <c r="VS7">
        <v>49883</v>
      </c>
      <c r="VT7">
        <v>1.3029999999999999E-3</v>
      </c>
      <c r="VU7">
        <v>49883</v>
      </c>
      <c r="VV7">
        <v>0.95519509999999996</v>
      </c>
      <c r="VW7">
        <v>49883</v>
      </c>
      <c r="VX7">
        <v>4.35018E-2</v>
      </c>
      <c r="VY7">
        <v>45704</v>
      </c>
      <c r="VZ7">
        <v>0</v>
      </c>
      <c r="WA7">
        <v>45704</v>
      </c>
      <c r="WB7">
        <v>0.96363560000000004</v>
      </c>
      <c r="WC7">
        <v>45704</v>
      </c>
      <c r="WD7">
        <v>3.6364399999999998E-2</v>
      </c>
      <c r="WE7">
        <v>14125</v>
      </c>
      <c r="WF7">
        <v>0</v>
      </c>
      <c r="WG7">
        <v>14125</v>
      </c>
      <c r="WH7">
        <v>0.95801769999999997</v>
      </c>
      <c r="WI7">
        <v>14125</v>
      </c>
      <c r="WJ7">
        <v>4.19823E-2</v>
      </c>
      <c r="WK7">
        <v>9740</v>
      </c>
      <c r="WL7">
        <v>0</v>
      </c>
      <c r="WM7">
        <v>9740</v>
      </c>
      <c r="WN7">
        <v>0.85995889999999997</v>
      </c>
      <c r="WO7">
        <v>9740</v>
      </c>
      <c r="WP7">
        <v>0.1400411</v>
      </c>
      <c r="WQ7">
        <v>24342</v>
      </c>
      <c r="WR7">
        <v>0</v>
      </c>
      <c r="WS7">
        <v>24342</v>
      </c>
      <c r="WT7">
        <v>0.91902879999999998</v>
      </c>
      <c r="WU7">
        <v>24342</v>
      </c>
      <c r="WV7">
        <v>8.0971199999999993E-2</v>
      </c>
      <c r="WW7">
        <v>18359</v>
      </c>
      <c r="WX7">
        <v>4.6299000000000002E-3</v>
      </c>
      <c r="WY7">
        <v>18359</v>
      </c>
      <c r="WZ7">
        <v>0.94465929999999998</v>
      </c>
      <c r="XA7">
        <v>18359</v>
      </c>
      <c r="XB7">
        <v>5.07108E-2</v>
      </c>
      <c r="XC7">
        <v>38154</v>
      </c>
      <c r="XD7">
        <v>0</v>
      </c>
      <c r="XE7">
        <v>38154</v>
      </c>
      <c r="XF7">
        <v>0.9332705</v>
      </c>
      <c r="XG7">
        <v>38154</v>
      </c>
      <c r="XH7">
        <v>6.67296E-2</v>
      </c>
      <c r="XI7">
        <v>37249</v>
      </c>
      <c r="XJ7">
        <v>0</v>
      </c>
      <c r="XK7">
        <v>37249</v>
      </c>
      <c r="XL7">
        <v>0.96480440000000001</v>
      </c>
      <c r="XM7">
        <v>37249</v>
      </c>
      <c r="XN7">
        <v>3.51956E-2</v>
      </c>
      <c r="XO7">
        <v>10837</v>
      </c>
      <c r="XP7">
        <v>0</v>
      </c>
      <c r="XQ7">
        <v>10837</v>
      </c>
      <c r="XR7">
        <v>0.95792189999999999</v>
      </c>
      <c r="XS7">
        <v>10837</v>
      </c>
      <c r="XT7">
        <v>4.20781E-2</v>
      </c>
      <c r="XU7">
        <v>453784</v>
      </c>
      <c r="XV7">
        <v>0.50423989999999996</v>
      </c>
      <c r="XW7">
        <v>228816</v>
      </c>
      <c r="XX7">
        <v>0.89086430000000005</v>
      </c>
      <c r="XY7">
        <v>228816</v>
      </c>
      <c r="XZ7">
        <v>0.1091357</v>
      </c>
      <c r="YA7">
        <v>203844</v>
      </c>
      <c r="YB7">
        <v>0.86978770000000005</v>
      </c>
      <c r="YC7">
        <v>177301</v>
      </c>
      <c r="YD7">
        <v>0.84051419999999999</v>
      </c>
      <c r="YE7">
        <v>177301</v>
      </c>
      <c r="YF7">
        <v>1.26903E-2</v>
      </c>
      <c r="YG7">
        <v>177301</v>
      </c>
      <c r="YH7">
        <v>4.1669299999999999E-2</v>
      </c>
      <c r="YI7">
        <v>177301</v>
      </c>
      <c r="YJ7">
        <v>4.1753899999999997E-2</v>
      </c>
      <c r="YK7">
        <v>177301</v>
      </c>
      <c r="YL7">
        <v>4.0028000000000001E-2</v>
      </c>
      <c r="YM7">
        <v>177301</v>
      </c>
      <c r="YN7">
        <v>2.3344500000000001E-2</v>
      </c>
      <c r="YO7">
        <v>203844</v>
      </c>
      <c r="YP7">
        <v>0.1035203</v>
      </c>
      <c r="YQ7">
        <v>21102</v>
      </c>
      <c r="YR7">
        <v>0.35380529999999999</v>
      </c>
      <c r="YS7">
        <v>21102</v>
      </c>
      <c r="YT7">
        <v>6.2078999999999997E-3</v>
      </c>
      <c r="YU7">
        <v>21102</v>
      </c>
      <c r="YV7">
        <v>0.1118377</v>
      </c>
      <c r="YW7">
        <v>21102</v>
      </c>
      <c r="YX7">
        <v>0.13752249999999999</v>
      </c>
      <c r="YY7">
        <v>21102</v>
      </c>
      <c r="YZ7">
        <v>0.1494171</v>
      </c>
      <c r="ZA7">
        <v>21102</v>
      </c>
      <c r="ZB7">
        <v>0.24120939999999999</v>
      </c>
      <c r="ZC7">
        <v>203844</v>
      </c>
      <c r="ZD7">
        <v>2.6692E-2</v>
      </c>
      <c r="ZE7">
        <v>5441</v>
      </c>
      <c r="ZF7">
        <v>0.28597689999999998</v>
      </c>
      <c r="ZG7">
        <v>5441</v>
      </c>
      <c r="ZH7">
        <v>2.6833300000000001E-2</v>
      </c>
      <c r="ZI7">
        <v>5441</v>
      </c>
      <c r="ZJ7">
        <v>0.11137660000000001</v>
      </c>
      <c r="ZK7">
        <v>5441</v>
      </c>
      <c r="ZL7">
        <v>3.7860699999999997E-2</v>
      </c>
      <c r="ZM7">
        <v>5441</v>
      </c>
      <c r="ZN7">
        <v>0.19610369999999999</v>
      </c>
      <c r="ZO7">
        <v>5441</v>
      </c>
      <c r="ZP7">
        <v>0.34184890000000001</v>
      </c>
      <c r="ZQ7">
        <v>453784</v>
      </c>
      <c r="ZR7">
        <v>0.49576009999999998</v>
      </c>
      <c r="ZS7">
        <v>224968</v>
      </c>
      <c r="ZT7">
        <v>0.76449979999999995</v>
      </c>
      <c r="ZU7">
        <v>224968</v>
      </c>
      <c r="ZV7">
        <v>0.23550019999999999</v>
      </c>
      <c r="ZW7">
        <v>171988</v>
      </c>
      <c r="ZX7">
        <v>0.66443010000000002</v>
      </c>
      <c r="ZY7">
        <v>114274</v>
      </c>
      <c r="ZZ7">
        <v>0.81414839999999999</v>
      </c>
      <c r="AAA7">
        <v>114274</v>
      </c>
      <c r="AAB7">
        <v>1.6705500000000002E-2</v>
      </c>
      <c r="AAC7">
        <v>114274</v>
      </c>
      <c r="AAD7">
        <v>6.41703E-2</v>
      </c>
      <c r="AAE7">
        <v>114274</v>
      </c>
      <c r="AAF7">
        <v>4.7613599999999999E-2</v>
      </c>
      <c r="AAG7">
        <v>114274</v>
      </c>
      <c r="AAH7">
        <v>2.5683899999999999E-2</v>
      </c>
      <c r="AAI7">
        <v>114274</v>
      </c>
      <c r="AAJ7">
        <v>3.1678199999999997E-2</v>
      </c>
      <c r="AAK7">
        <v>171988</v>
      </c>
      <c r="AAL7">
        <v>0.26841989999999999</v>
      </c>
      <c r="AAM7">
        <v>46165</v>
      </c>
      <c r="AAN7">
        <v>0.53183150000000001</v>
      </c>
      <c r="AAO7">
        <v>46165</v>
      </c>
      <c r="AAP7">
        <v>2.53222E-2</v>
      </c>
      <c r="AAQ7">
        <v>46165</v>
      </c>
      <c r="AAR7">
        <v>9.1173000000000004E-2</v>
      </c>
      <c r="AAS7">
        <v>46165</v>
      </c>
      <c r="AAT7">
        <v>0.12489980000000001</v>
      </c>
      <c r="AAU7">
        <v>46165</v>
      </c>
      <c r="AAV7">
        <v>0.10679089999999999</v>
      </c>
      <c r="AAW7">
        <v>46165</v>
      </c>
      <c r="AAX7">
        <v>0.1199827</v>
      </c>
      <c r="AAY7">
        <v>171988</v>
      </c>
      <c r="AAZ7">
        <v>6.7150000000000001E-2</v>
      </c>
      <c r="ABA7">
        <v>11549</v>
      </c>
      <c r="ABB7">
        <v>0.2347389</v>
      </c>
      <c r="ABC7">
        <v>11549</v>
      </c>
      <c r="ABD7">
        <v>1.44601E-2</v>
      </c>
      <c r="ABE7">
        <v>11549</v>
      </c>
      <c r="ABF7">
        <v>0.1050307</v>
      </c>
      <c r="ABG7">
        <v>11549</v>
      </c>
      <c r="ABH7">
        <v>0.16832630000000001</v>
      </c>
      <c r="ABI7">
        <v>11549</v>
      </c>
      <c r="ABJ7">
        <v>0.2119664</v>
      </c>
      <c r="ABK7">
        <v>11549</v>
      </c>
      <c r="ABL7">
        <v>0.26547749999999998</v>
      </c>
      <c r="ABM7">
        <v>217655</v>
      </c>
      <c r="ABN7">
        <v>0.77715650000000003</v>
      </c>
      <c r="ABO7">
        <v>169152</v>
      </c>
      <c r="ABP7">
        <v>0.80307059999999997</v>
      </c>
      <c r="ABQ7">
        <v>169152</v>
      </c>
      <c r="ABR7">
        <v>0.1969294</v>
      </c>
      <c r="ABS7">
        <v>33311</v>
      </c>
      <c r="ABT7">
        <v>0.28278950000000003</v>
      </c>
      <c r="ABU7">
        <v>33311</v>
      </c>
      <c r="ABV7">
        <v>0.71721049999999997</v>
      </c>
      <c r="ABW7">
        <v>217655</v>
      </c>
      <c r="ABX7">
        <v>0.2228435</v>
      </c>
      <c r="ABY7">
        <v>48503</v>
      </c>
      <c r="ABZ7">
        <v>0.81572279999999997</v>
      </c>
      <c r="ACA7">
        <v>48503</v>
      </c>
      <c r="ACB7">
        <v>0.1842773</v>
      </c>
      <c r="ACC7">
        <v>520310</v>
      </c>
      <c r="ACD7">
        <v>0.49689030000000001</v>
      </c>
      <c r="ACE7">
        <v>258537</v>
      </c>
      <c r="ACF7">
        <v>0.334428</v>
      </c>
      <c r="ACG7">
        <v>86462</v>
      </c>
      <c r="ACH7">
        <v>0.18301680000000001</v>
      </c>
      <c r="ACI7">
        <v>86462</v>
      </c>
      <c r="ACJ7">
        <v>0.1194282</v>
      </c>
      <c r="ACK7">
        <v>86462</v>
      </c>
      <c r="ACL7">
        <v>0.2415165</v>
      </c>
      <c r="ACM7">
        <v>86462</v>
      </c>
      <c r="ACN7">
        <v>0.1891929</v>
      </c>
      <c r="ACO7">
        <v>86462</v>
      </c>
      <c r="ACP7">
        <v>9.3208600000000003E-2</v>
      </c>
      <c r="ACQ7">
        <v>86462</v>
      </c>
      <c r="ACR7">
        <v>5.6660700000000001E-2</v>
      </c>
      <c r="ACS7">
        <v>86462</v>
      </c>
      <c r="ACT7">
        <v>3.40728E-2</v>
      </c>
      <c r="ACU7">
        <v>86462</v>
      </c>
      <c r="ACV7">
        <v>3.8918800000000003E-2</v>
      </c>
      <c r="ACW7">
        <v>86462</v>
      </c>
      <c r="ACX7">
        <v>1.7695599999999999E-2</v>
      </c>
      <c r="ACY7">
        <v>86462</v>
      </c>
      <c r="ACZ7">
        <v>1.0293500000000001E-2</v>
      </c>
      <c r="ADA7">
        <v>86462</v>
      </c>
      <c r="ADB7">
        <v>5.2970999999999999E-3</v>
      </c>
      <c r="ADC7">
        <v>86462</v>
      </c>
      <c r="ADD7">
        <v>5.1005E-3</v>
      </c>
      <c r="ADE7">
        <v>86462</v>
      </c>
      <c r="ADF7">
        <v>3.1459000000000001E-3</v>
      </c>
      <c r="ADG7">
        <v>86462</v>
      </c>
      <c r="ADH7">
        <v>2.4518999999999999E-3</v>
      </c>
      <c r="ADI7">
        <v>258537</v>
      </c>
      <c r="ADJ7">
        <v>0.57796369999999997</v>
      </c>
      <c r="ADK7">
        <v>149425</v>
      </c>
      <c r="ADL7">
        <v>0.93599460000000001</v>
      </c>
      <c r="ADM7">
        <v>139861</v>
      </c>
      <c r="ADN7">
        <v>0</v>
      </c>
      <c r="ADO7">
        <v>139861</v>
      </c>
      <c r="ADP7">
        <v>1.8589999999999999E-4</v>
      </c>
      <c r="ADQ7">
        <v>139861</v>
      </c>
      <c r="ADR7">
        <v>7.0927999999999998E-3</v>
      </c>
      <c r="ADS7">
        <v>139861</v>
      </c>
      <c r="ADT7">
        <v>6.1160699999999998E-2</v>
      </c>
      <c r="ADU7">
        <v>139861</v>
      </c>
      <c r="ADV7">
        <v>0.1084577</v>
      </c>
      <c r="ADW7">
        <v>139861</v>
      </c>
      <c r="ADX7">
        <v>0.1351985</v>
      </c>
      <c r="ADY7">
        <v>139861</v>
      </c>
      <c r="ADZ7">
        <v>0.14134749999999999</v>
      </c>
      <c r="AEA7">
        <v>139861</v>
      </c>
      <c r="AEB7">
        <v>0.1278627</v>
      </c>
      <c r="AEC7">
        <v>139861</v>
      </c>
      <c r="AED7">
        <v>0.1249455</v>
      </c>
      <c r="AEE7">
        <v>139861</v>
      </c>
      <c r="AEF7">
        <v>9.1919799999999996E-2</v>
      </c>
      <c r="AEG7">
        <v>139861</v>
      </c>
      <c r="AEH7">
        <v>7.6497399999999993E-2</v>
      </c>
      <c r="AEI7">
        <v>139861</v>
      </c>
      <c r="AEJ7">
        <v>8.7579799999999999E-2</v>
      </c>
      <c r="AEK7">
        <v>139861</v>
      </c>
      <c r="AEL7">
        <v>3.35762E-2</v>
      </c>
      <c r="AEM7">
        <v>139861</v>
      </c>
      <c r="AEN7">
        <v>4.1755999999999998E-3</v>
      </c>
      <c r="AEO7">
        <v>149425</v>
      </c>
      <c r="AEP7">
        <v>6.4005400000000004E-2</v>
      </c>
      <c r="AEQ7">
        <v>9564</v>
      </c>
      <c r="AER7">
        <v>0.30301129999999998</v>
      </c>
      <c r="AES7">
        <v>2898</v>
      </c>
      <c r="AET7">
        <v>0</v>
      </c>
      <c r="AEU7">
        <v>2898</v>
      </c>
      <c r="AEV7">
        <v>0</v>
      </c>
      <c r="AEW7">
        <v>2898</v>
      </c>
      <c r="AEX7">
        <v>0</v>
      </c>
      <c r="AEY7">
        <v>2898</v>
      </c>
      <c r="AEZ7">
        <v>4.4858500000000003E-2</v>
      </c>
      <c r="AFA7">
        <v>2898</v>
      </c>
      <c r="AFB7">
        <v>0.35093170000000001</v>
      </c>
      <c r="AFC7">
        <v>2898</v>
      </c>
      <c r="AFD7">
        <v>0.16494130000000001</v>
      </c>
      <c r="AFE7">
        <v>2898</v>
      </c>
      <c r="AFF7">
        <v>0.14630779999999999</v>
      </c>
      <c r="AFG7">
        <v>2898</v>
      </c>
      <c r="AFH7">
        <v>4.2443099999999997E-2</v>
      </c>
      <c r="AFI7">
        <v>2898</v>
      </c>
      <c r="AFJ7">
        <v>8.5231199999999993E-2</v>
      </c>
      <c r="AFK7">
        <v>2898</v>
      </c>
      <c r="AFL7">
        <v>8.7991700000000006E-2</v>
      </c>
      <c r="AFM7">
        <v>2898</v>
      </c>
      <c r="AFN7">
        <v>2.4499699999999999E-2</v>
      </c>
      <c r="AFO7">
        <v>2898</v>
      </c>
      <c r="AFP7">
        <v>5.2795000000000002E-2</v>
      </c>
      <c r="AFQ7">
        <v>2898</v>
      </c>
      <c r="AFR7">
        <v>0</v>
      </c>
      <c r="AFS7">
        <v>2898</v>
      </c>
      <c r="AFT7">
        <v>0</v>
      </c>
      <c r="AFU7">
        <v>9564</v>
      </c>
      <c r="AFV7">
        <v>0.69698870000000002</v>
      </c>
      <c r="AFW7">
        <v>6666</v>
      </c>
      <c r="AFX7">
        <v>3.7203699999999999E-2</v>
      </c>
      <c r="AFY7">
        <v>6666</v>
      </c>
      <c r="AFZ7">
        <v>0</v>
      </c>
      <c r="AGA7">
        <v>6666</v>
      </c>
      <c r="AGB7">
        <v>6.8256800000000006E-2</v>
      </c>
      <c r="AGC7">
        <v>6666</v>
      </c>
      <c r="AGD7">
        <v>0.13606360000000001</v>
      </c>
      <c r="AGE7">
        <v>6666</v>
      </c>
      <c r="AGF7">
        <v>0.13651369999999999</v>
      </c>
      <c r="AGG7">
        <v>6666</v>
      </c>
      <c r="AGH7">
        <v>0.13786380000000001</v>
      </c>
      <c r="AGI7">
        <v>6666</v>
      </c>
      <c r="AGJ7">
        <v>4.9505E-2</v>
      </c>
      <c r="AGK7">
        <v>6666</v>
      </c>
      <c r="AGL7">
        <v>0.11236119999999999</v>
      </c>
      <c r="AGM7">
        <v>6666</v>
      </c>
      <c r="AGN7">
        <v>9.60096E-2</v>
      </c>
      <c r="AGO7">
        <v>6666</v>
      </c>
      <c r="AGP7">
        <v>6.6456600000000005E-2</v>
      </c>
      <c r="AGQ7">
        <v>6666</v>
      </c>
      <c r="AGR7">
        <v>3.1503200000000002E-2</v>
      </c>
      <c r="AGS7">
        <v>6666</v>
      </c>
      <c r="AGT7">
        <v>8.5958599999999996E-2</v>
      </c>
      <c r="AGU7">
        <v>6666</v>
      </c>
      <c r="AGV7">
        <v>3.4503399999999997E-2</v>
      </c>
      <c r="AGW7">
        <v>6666</v>
      </c>
      <c r="AGX7">
        <v>7.8008000000000001E-3</v>
      </c>
      <c r="AGY7">
        <v>258537</v>
      </c>
      <c r="AGZ7">
        <v>2.2074199999999999E-2</v>
      </c>
      <c r="AHA7">
        <v>5707</v>
      </c>
      <c r="AHB7">
        <v>0</v>
      </c>
      <c r="AHC7">
        <v>5707</v>
      </c>
      <c r="AHD7">
        <v>0</v>
      </c>
      <c r="AHE7">
        <v>5707</v>
      </c>
      <c r="AHF7">
        <v>0</v>
      </c>
      <c r="AHG7">
        <v>5707</v>
      </c>
      <c r="AHH7">
        <v>0</v>
      </c>
      <c r="AHI7">
        <v>5707</v>
      </c>
      <c r="AHJ7">
        <v>5.3968799999999997E-2</v>
      </c>
      <c r="AHK7">
        <v>5707</v>
      </c>
      <c r="AHL7">
        <v>7.5345999999999998E-3</v>
      </c>
      <c r="AHM7">
        <v>5707</v>
      </c>
      <c r="AHN7">
        <v>1.6120599999999999E-2</v>
      </c>
      <c r="AHO7">
        <v>5707</v>
      </c>
      <c r="AHP7">
        <v>4.5207600000000001E-2</v>
      </c>
      <c r="AHQ7">
        <v>5707</v>
      </c>
      <c r="AHR7">
        <v>1.0338200000000001E-2</v>
      </c>
      <c r="AHS7">
        <v>5707</v>
      </c>
      <c r="AHT7">
        <v>8.1478900000000007E-2</v>
      </c>
      <c r="AHU7">
        <v>5707</v>
      </c>
      <c r="AHV7">
        <v>7.7273499999999995E-2</v>
      </c>
      <c r="AHW7">
        <v>5707</v>
      </c>
      <c r="AHX7">
        <v>0.26125809999999999</v>
      </c>
      <c r="AHY7">
        <v>5707</v>
      </c>
      <c r="AHZ7">
        <v>0.260382</v>
      </c>
      <c r="AIA7">
        <v>5707</v>
      </c>
      <c r="AIB7">
        <v>0.18643770000000001</v>
      </c>
      <c r="AIC7">
        <v>258537</v>
      </c>
      <c r="AID7">
        <v>6.5534099999999998E-2</v>
      </c>
      <c r="AIE7">
        <v>16943</v>
      </c>
      <c r="AIF7">
        <v>0</v>
      </c>
      <c r="AIG7">
        <v>16943</v>
      </c>
      <c r="AIH7">
        <v>0</v>
      </c>
      <c r="AII7">
        <v>16943</v>
      </c>
      <c r="AIJ7">
        <v>6.4923999999999997E-3</v>
      </c>
      <c r="AIK7">
        <v>16943</v>
      </c>
      <c r="AIL7">
        <v>6.6163E-2</v>
      </c>
      <c r="AIM7">
        <v>16943</v>
      </c>
      <c r="AIN7">
        <v>3.9426299999999997E-2</v>
      </c>
      <c r="AIO7">
        <v>16943</v>
      </c>
      <c r="AIP7">
        <v>8.56991E-2</v>
      </c>
      <c r="AIQ7">
        <v>16943</v>
      </c>
      <c r="AIR7">
        <v>0.12524350000000001</v>
      </c>
      <c r="AIS7">
        <v>16943</v>
      </c>
      <c r="AIT7">
        <v>0.2454701</v>
      </c>
      <c r="AIU7">
        <v>16943</v>
      </c>
      <c r="AIV7">
        <v>0.1319129</v>
      </c>
      <c r="AIW7">
        <v>16943</v>
      </c>
      <c r="AIX7">
        <v>9.96282E-2</v>
      </c>
      <c r="AIY7">
        <v>16943</v>
      </c>
      <c r="AIZ7">
        <v>0.1224695</v>
      </c>
      <c r="AJA7">
        <v>16943</v>
      </c>
      <c r="AJB7">
        <v>5.7604900000000001E-2</v>
      </c>
      <c r="AJC7">
        <v>16943</v>
      </c>
      <c r="AJD7">
        <v>1.98902E-2</v>
      </c>
      <c r="AJE7">
        <v>16943</v>
      </c>
      <c r="AJF7">
        <v>0</v>
      </c>
      <c r="AJG7">
        <v>520310</v>
      </c>
      <c r="AJH7">
        <v>0.50310969999999999</v>
      </c>
      <c r="AJI7">
        <v>261773</v>
      </c>
      <c r="AJJ7">
        <v>0.27556700000000001</v>
      </c>
      <c r="AJK7">
        <v>72136</v>
      </c>
      <c r="AJL7">
        <v>0.21753349999999999</v>
      </c>
      <c r="AJM7">
        <v>72136</v>
      </c>
      <c r="AJN7">
        <v>0.1215759</v>
      </c>
      <c r="AJO7">
        <v>72136</v>
      </c>
      <c r="AJP7">
        <v>0.26249030000000001</v>
      </c>
      <c r="AJQ7">
        <v>72136</v>
      </c>
      <c r="AJR7">
        <v>0.18912889999999999</v>
      </c>
      <c r="AJS7">
        <v>72136</v>
      </c>
      <c r="AJT7">
        <v>5.4730000000000001E-2</v>
      </c>
      <c r="AJU7">
        <v>72136</v>
      </c>
      <c r="AJV7">
        <v>3.7734299999999998E-2</v>
      </c>
      <c r="AJW7">
        <v>72136</v>
      </c>
      <c r="AJX7">
        <v>3.0525699999999999E-2</v>
      </c>
      <c r="AJY7">
        <v>72136</v>
      </c>
      <c r="AJZ7">
        <v>2.6394600000000001E-2</v>
      </c>
      <c r="AKA7">
        <v>72136</v>
      </c>
      <c r="AKB7">
        <v>2.17229E-2</v>
      </c>
      <c r="AKC7">
        <v>72136</v>
      </c>
      <c r="AKD7">
        <v>8.7057999999999996E-3</v>
      </c>
      <c r="AKE7">
        <v>72136</v>
      </c>
      <c r="AKF7">
        <v>1.3557700000000001E-2</v>
      </c>
      <c r="AKG7">
        <v>72136</v>
      </c>
      <c r="AKH7">
        <v>1.1173300000000001E-2</v>
      </c>
      <c r="AKI7">
        <v>72136</v>
      </c>
      <c r="AKJ7">
        <v>4.0895000000000003E-3</v>
      </c>
      <c r="AKK7">
        <v>72136</v>
      </c>
      <c r="AKL7">
        <v>6.3770000000000005E-4</v>
      </c>
      <c r="AKM7">
        <v>261773</v>
      </c>
      <c r="AKN7">
        <v>0.56748399999999999</v>
      </c>
      <c r="AKO7">
        <v>148552</v>
      </c>
      <c r="AKP7">
        <v>0.9310948</v>
      </c>
      <c r="AKQ7">
        <v>138316</v>
      </c>
      <c r="AKR7">
        <v>0</v>
      </c>
      <c r="AKS7">
        <v>138316</v>
      </c>
      <c r="AKT7">
        <v>0</v>
      </c>
      <c r="AKU7">
        <v>138316</v>
      </c>
      <c r="AKV7">
        <v>1.5811599999999999E-2</v>
      </c>
      <c r="AKW7">
        <v>138316</v>
      </c>
      <c r="AKX7">
        <v>8.4278000000000006E-2</v>
      </c>
      <c r="AKY7">
        <v>138316</v>
      </c>
      <c r="AKZ7">
        <v>0.1197331</v>
      </c>
      <c r="ALA7">
        <v>138316</v>
      </c>
      <c r="ALB7">
        <v>0.1469606</v>
      </c>
      <c r="ALC7">
        <v>138316</v>
      </c>
      <c r="ALD7">
        <v>0.140461</v>
      </c>
      <c r="ALE7">
        <v>138316</v>
      </c>
      <c r="ALF7">
        <v>0.1362749</v>
      </c>
      <c r="ALG7">
        <v>138316</v>
      </c>
      <c r="ALH7">
        <v>0.1172605</v>
      </c>
      <c r="ALI7">
        <v>138316</v>
      </c>
      <c r="ALJ7">
        <v>8.5463700000000004E-2</v>
      </c>
      <c r="ALK7">
        <v>138316</v>
      </c>
      <c r="ALL7">
        <v>6.4670800000000001E-2</v>
      </c>
      <c r="ALM7">
        <v>138316</v>
      </c>
      <c r="ALN7">
        <v>6.6644499999999995E-2</v>
      </c>
      <c r="ALO7">
        <v>138316</v>
      </c>
      <c r="ALP7">
        <v>2.0778499999999998E-2</v>
      </c>
      <c r="ALQ7">
        <v>138316</v>
      </c>
      <c r="ALR7">
        <v>1.6628999999999999E-3</v>
      </c>
      <c r="ALS7">
        <v>148552</v>
      </c>
      <c r="ALT7">
        <v>6.89052E-2</v>
      </c>
      <c r="ALU7">
        <v>10236</v>
      </c>
      <c r="ALV7">
        <v>0.3639117</v>
      </c>
      <c r="ALW7">
        <v>3725</v>
      </c>
      <c r="ALX7">
        <v>0</v>
      </c>
      <c r="ALY7">
        <v>3725</v>
      </c>
      <c r="ALZ7">
        <v>1.31544E-2</v>
      </c>
      <c r="AMA7">
        <v>3725</v>
      </c>
      <c r="AMB7">
        <v>0</v>
      </c>
      <c r="AMC7">
        <v>3725</v>
      </c>
      <c r="AMD7">
        <v>0.16456380000000001</v>
      </c>
      <c r="AME7">
        <v>3725</v>
      </c>
      <c r="AMF7">
        <v>7.9731499999999997E-2</v>
      </c>
      <c r="AMG7">
        <v>3725</v>
      </c>
      <c r="AMH7">
        <v>1.5033599999999999E-2</v>
      </c>
      <c r="AMI7">
        <v>3725</v>
      </c>
      <c r="AMJ7">
        <v>0.28536909999999999</v>
      </c>
      <c r="AMK7">
        <v>3725</v>
      </c>
      <c r="AML7">
        <v>0.22657720000000001</v>
      </c>
      <c r="AMM7">
        <v>3725</v>
      </c>
      <c r="AMN7">
        <v>5.2617400000000002E-2</v>
      </c>
      <c r="AMO7">
        <v>3725</v>
      </c>
      <c r="AMP7">
        <v>5.0201299999999997E-2</v>
      </c>
      <c r="AMQ7">
        <v>3725</v>
      </c>
      <c r="AMR7">
        <v>2.5503399999999999E-2</v>
      </c>
      <c r="AMS7">
        <v>3725</v>
      </c>
      <c r="AMT7">
        <v>1.44966E-2</v>
      </c>
      <c r="AMU7">
        <v>3725</v>
      </c>
      <c r="AMV7">
        <v>7.2751700000000002E-2</v>
      </c>
      <c r="AMW7">
        <v>3725</v>
      </c>
      <c r="AMX7">
        <v>0</v>
      </c>
      <c r="AMY7">
        <v>10236</v>
      </c>
      <c r="AMZ7">
        <v>0.63608830000000005</v>
      </c>
      <c r="ANA7">
        <v>6511</v>
      </c>
      <c r="ANB7">
        <v>0</v>
      </c>
      <c r="ANC7">
        <v>6511</v>
      </c>
      <c r="AND7">
        <v>1.5819400000000001E-2</v>
      </c>
      <c r="ANE7">
        <v>6511</v>
      </c>
      <c r="ANF7">
        <v>7.6178800000000005E-2</v>
      </c>
      <c r="ANG7">
        <v>6511</v>
      </c>
      <c r="ANH7">
        <v>0.17846719999999999</v>
      </c>
      <c r="ANI7">
        <v>6511</v>
      </c>
      <c r="ANJ7">
        <v>0.1684841</v>
      </c>
      <c r="ANK7">
        <v>6511</v>
      </c>
      <c r="ANL7">
        <v>4.7765299999999997E-2</v>
      </c>
      <c r="ANM7">
        <v>6511</v>
      </c>
      <c r="ANN7">
        <v>6.3584699999999994E-2</v>
      </c>
      <c r="ANO7">
        <v>6511</v>
      </c>
      <c r="ANP7">
        <v>8.7544000000000007E-3</v>
      </c>
      <c r="ANQ7">
        <v>6511</v>
      </c>
      <c r="ANR7">
        <v>9.6759300000000006E-2</v>
      </c>
      <c r="ANS7">
        <v>6511</v>
      </c>
      <c r="ANT7">
        <v>4.0393199999999997E-2</v>
      </c>
      <c r="ANU7">
        <v>6511</v>
      </c>
      <c r="ANV7">
        <v>0.12931960000000001</v>
      </c>
      <c r="ANW7">
        <v>6511</v>
      </c>
      <c r="ANX7">
        <v>6.8038699999999994E-2</v>
      </c>
      <c r="ANY7">
        <v>6511</v>
      </c>
      <c r="ANZ7">
        <v>8.5547499999999999E-2</v>
      </c>
      <c r="AOA7">
        <v>6511</v>
      </c>
      <c r="AOB7">
        <v>2.0887699999999999E-2</v>
      </c>
      <c r="AOC7">
        <v>261773</v>
      </c>
      <c r="AOD7">
        <v>7.4140600000000001E-2</v>
      </c>
      <c r="AOE7">
        <v>19408</v>
      </c>
      <c r="AOF7">
        <v>0</v>
      </c>
      <c r="AOG7">
        <v>19408</v>
      </c>
      <c r="AOH7">
        <v>0</v>
      </c>
      <c r="AOI7">
        <v>19408</v>
      </c>
      <c r="AOJ7">
        <v>0</v>
      </c>
      <c r="AOK7">
        <v>19408</v>
      </c>
      <c r="AOL7">
        <v>0</v>
      </c>
      <c r="AOM7">
        <v>19408</v>
      </c>
      <c r="AON7">
        <v>3.8644E-3</v>
      </c>
      <c r="AOO7">
        <v>19408</v>
      </c>
      <c r="AOP7">
        <v>7.7289999999999998E-4</v>
      </c>
      <c r="AOQ7">
        <v>19408</v>
      </c>
      <c r="AOR7">
        <v>1.0356600000000001E-2</v>
      </c>
      <c r="AOS7">
        <v>19408</v>
      </c>
      <c r="AOT7">
        <v>3.0811999999999999E-2</v>
      </c>
      <c r="AOU7">
        <v>19408</v>
      </c>
      <c r="AOV7">
        <v>7.2649999999999998E-3</v>
      </c>
      <c r="AOW7">
        <v>19408</v>
      </c>
      <c r="AOX7">
        <v>7.1516899999999994E-2</v>
      </c>
      <c r="AOY7">
        <v>19408</v>
      </c>
      <c r="AOZ7">
        <v>0.1125824</v>
      </c>
      <c r="APA7">
        <v>19408</v>
      </c>
      <c r="APB7">
        <v>0.24355940000000001</v>
      </c>
      <c r="APC7">
        <v>19408</v>
      </c>
      <c r="APD7">
        <v>0.2178998</v>
      </c>
      <c r="APE7">
        <v>19408</v>
      </c>
      <c r="APF7">
        <v>0.30137059999999999</v>
      </c>
      <c r="APG7">
        <v>261773</v>
      </c>
      <c r="APH7">
        <v>8.2808400000000004E-2</v>
      </c>
      <c r="API7">
        <v>21677</v>
      </c>
      <c r="APJ7">
        <v>0</v>
      </c>
      <c r="APK7">
        <v>21677</v>
      </c>
      <c r="APL7">
        <v>0</v>
      </c>
      <c r="APM7">
        <v>21677</v>
      </c>
      <c r="APN7">
        <v>0</v>
      </c>
      <c r="APO7">
        <v>21677</v>
      </c>
      <c r="APP7">
        <v>5.4020400000000003E-2</v>
      </c>
      <c r="APQ7">
        <v>21677</v>
      </c>
      <c r="APR7">
        <v>0.1176823</v>
      </c>
      <c r="APS7">
        <v>21677</v>
      </c>
      <c r="APT7">
        <v>0.1088712</v>
      </c>
      <c r="APU7">
        <v>21677</v>
      </c>
      <c r="APV7">
        <v>0.1185127</v>
      </c>
      <c r="APW7">
        <v>21677</v>
      </c>
      <c r="APX7">
        <v>0.16432160000000001</v>
      </c>
      <c r="APY7">
        <v>21677</v>
      </c>
      <c r="APZ7">
        <v>0.13945659999999999</v>
      </c>
      <c r="AQA7">
        <v>21677</v>
      </c>
      <c r="AQB7">
        <v>8.5297799999999993E-2</v>
      </c>
      <c r="AQC7">
        <v>21677</v>
      </c>
      <c r="AQD7">
        <v>8.1238199999999997E-2</v>
      </c>
      <c r="AQE7">
        <v>21677</v>
      </c>
      <c r="AQF7">
        <v>9.5585199999999995E-2</v>
      </c>
      <c r="AQG7">
        <v>21677</v>
      </c>
      <c r="AQH7">
        <v>2.83711E-2</v>
      </c>
      <c r="AQI7">
        <v>21677</v>
      </c>
      <c r="AQJ7">
        <v>6.6429999999999996E-3</v>
      </c>
      <c r="AQK7">
        <v>93216</v>
      </c>
      <c r="AQL7">
        <v>0.17721210000000001</v>
      </c>
      <c r="AQM7">
        <v>217655</v>
      </c>
      <c r="AQN7">
        <v>0.85245919999999997</v>
      </c>
      <c r="AQO7">
        <v>185542</v>
      </c>
      <c r="AQP7">
        <v>0.80835599999999996</v>
      </c>
      <c r="AQQ7">
        <v>149984</v>
      </c>
      <c r="AQR7">
        <v>0.85824489999999998</v>
      </c>
      <c r="AQS7">
        <v>128723</v>
      </c>
      <c r="AQT7">
        <v>0.5323369</v>
      </c>
      <c r="AQU7">
        <v>128723</v>
      </c>
      <c r="AQV7">
        <v>0.4676631</v>
      </c>
      <c r="AQW7">
        <v>149984</v>
      </c>
      <c r="AQX7">
        <v>0.14175509999999999</v>
      </c>
      <c r="AQY7">
        <v>21261</v>
      </c>
      <c r="AQZ7">
        <v>0.2807018</v>
      </c>
      <c r="ARA7">
        <v>5968</v>
      </c>
      <c r="ARB7">
        <v>0.35707100000000003</v>
      </c>
      <c r="ARC7">
        <v>5968</v>
      </c>
      <c r="ARD7">
        <v>0.64292899999999997</v>
      </c>
      <c r="ARE7">
        <v>21261</v>
      </c>
      <c r="ARF7">
        <v>0.7192982</v>
      </c>
      <c r="ARG7">
        <v>15293</v>
      </c>
      <c r="ARH7">
        <v>0.57640749999999996</v>
      </c>
      <c r="ARI7">
        <v>15293</v>
      </c>
      <c r="ARJ7">
        <v>0.42359249999999998</v>
      </c>
      <c r="ARK7">
        <v>185542</v>
      </c>
      <c r="ARL7">
        <v>0.19164390000000001</v>
      </c>
      <c r="ARM7">
        <v>217655</v>
      </c>
      <c r="ARN7">
        <v>0.1475408</v>
      </c>
      <c r="ARO7">
        <v>32113</v>
      </c>
      <c r="ARP7">
        <v>0.59689219999999998</v>
      </c>
      <c r="ARQ7">
        <v>19168</v>
      </c>
      <c r="ARR7">
        <v>0.37134810000000001</v>
      </c>
      <c r="ARS7">
        <v>7118</v>
      </c>
      <c r="ART7">
        <v>0.57431860000000001</v>
      </c>
      <c r="ARU7">
        <v>7118</v>
      </c>
      <c r="ARV7">
        <v>0.42568139999999999</v>
      </c>
      <c r="ARW7">
        <v>19168</v>
      </c>
      <c r="ARX7">
        <v>0.62865190000000004</v>
      </c>
      <c r="ARY7">
        <v>12050</v>
      </c>
      <c r="ARZ7">
        <v>0.28647299999999998</v>
      </c>
      <c r="ASA7">
        <v>3452</v>
      </c>
      <c r="ASB7">
        <v>0.56604869999999996</v>
      </c>
      <c r="ASC7">
        <v>3452</v>
      </c>
      <c r="ASD7">
        <v>0.43395129999999998</v>
      </c>
      <c r="ASE7">
        <v>12050</v>
      </c>
      <c r="ASF7">
        <v>0.71352700000000002</v>
      </c>
      <c r="ASG7">
        <v>8598</v>
      </c>
      <c r="ASH7">
        <v>0.89602230000000005</v>
      </c>
      <c r="ASI7">
        <v>8598</v>
      </c>
      <c r="ASJ7">
        <v>0.10397770000000001</v>
      </c>
      <c r="ASK7">
        <v>32113</v>
      </c>
      <c r="ASL7">
        <v>0.40310780000000002</v>
      </c>
      <c r="ASM7">
        <v>243635</v>
      </c>
      <c r="ASN7">
        <v>0.61677510000000002</v>
      </c>
      <c r="ASO7">
        <v>150268</v>
      </c>
      <c r="ASP7">
        <v>0.34061809999999998</v>
      </c>
      <c r="ASQ7">
        <v>51184</v>
      </c>
      <c r="ASR7">
        <v>0.61052280000000003</v>
      </c>
      <c r="ASS7">
        <v>31249</v>
      </c>
      <c r="AST7">
        <v>0.77820089999999997</v>
      </c>
      <c r="ASU7">
        <v>31249</v>
      </c>
      <c r="ASV7">
        <v>0.2217991</v>
      </c>
      <c r="ASW7">
        <v>51184</v>
      </c>
      <c r="ASX7">
        <v>0.38947720000000002</v>
      </c>
      <c r="ASY7">
        <v>19935</v>
      </c>
      <c r="ASZ7">
        <v>0.23762230000000001</v>
      </c>
      <c r="ATA7">
        <v>19935</v>
      </c>
      <c r="ATB7">
        <v>0.29806870000000002</v>
      </c>
      <c r="ATC7">
        <v>19935</v>
      </c>
      <c r="ATD7">
        <v>1.6754499999999999E-2</v>
      </c>
      <c r="ATE7">
        <v>51184</v>
      </c>
      <c r="ATF7">
        <v>2.2604699999999998E-2</v>
      </c>
      <c r="ATG7">
        <v>1157</v>
      </c>
      <c r="ATH7">
        <v>0.556612</v>
      </c>
      <c r="ATI7">
        <v>1157</v>
      </c>
      <c r="ATJ7">
        <v>1.902334</v>
      </c>
      <c r="ATK7">
        <v>1157</v>
      </c>
      <c r="ATL7">
        <v>1.5254970000000001</v>
      </c>
      <c r="ATM7">
        <v>1157</v>
      </c>
      <c r="ATN7">
        <v>2.72688</v>
      </c>
      <c r="ATO7">
        <v>51184</v>
      </c>
      <c r="ATP7">
        <v>4.3079899999999997E-2</v>
      </c>
      <c r="ATQ7">
        <v>2205</v>
      </c>
      <c r="ATR7">
        <v>0.43083900000000003</v>
      </c>
      <c r="ATS7">
        <v>2205</v>
      </c>
      <c r="ATT7">
        <v>5.3306120000000004</v>
      </c>
      <c r="ATU7">
        <v>150268</v>
      </c>
      <c r="ATV7">
        <v>1.6770000000000001E-3</v>
      </c>
      <c r="ATW7">
        <v>252</v>
      </c>
      <c r="ATX7">
        <v>13.329359999999999</v>
      </c>
      <c r="ATY7">
        <v>252</v>
      </c>
      <c r="ATZ7">
        <v>6.3412699999999997</v>
      </c>
      <c r="AUA7">
        <v>1598</v>
      </c>
      <c r="AUB7">
        <v>1.1020030000000001</v>
      </c>
      <c r="AUC7">
        <v>1598</v>
      </c>
      <c r="AUD7">
        <v>1.8297870000000001</v>
      </c>
      <c r="AUE7">
        <v>252</v>
      </c>
      <c r="AUF7">
        <v>18.642859999999999</v>
      </c>
      <c r="AUG7">
        <v>252</v>
      </c>
      <c r="AUH7">
        <v>2.0674600000000001</v>
      </c>
      <c r="AUI7">
        <v>252</v>
      </c>
      <c r="AUJ7">
        <v>108.6071</v>
      </c>
      <c r="AUK7">
        <v>150268</v>
      </c>
      <c r="AUL7">
        <v>0.1070687</v>
      </c>
      <c r="AUM7">
        <v>16089</v>
      </c>
      <c r="AUN7">
        <v>0.7011001</v>
      </c>
      <c r="AUO7">
        <v>16089</v>
      </c>
      <c r="AUP7">
        <v>3.10771E-2</v>
      </c>
      <c r="AUQ7">
        <v>150268</v>
      </c>
      <c r="AUR7">
        <v>0.1733104</v>
      </c>
      <c r="AUS7">
        <v>26043</v>
      </c>
      <c r="AUT7">
        <v>0.56026569999999998</v>
      </c>
      <c r="AUU7">
        <v>26043</v>
      </c>
      <c r="AUV7">
        <v>0.43973430000000002</v>
      </c>
      <c r="AUW7">
        <v>26043</v>
      </c>
      <c r="AUX7">
        <v>1.283185</v>
      </c>
      <c r="AUY7">
        <v>150268</v>
      </c>
      <c r="AUZ7">
        <v>9.1496499999999995E-2</v>
      </c>
      <c r="AVA7">
        <v>13749</v>
      </c>
      <c r="AVB7">
        <v>1.430577</v>
      </c>
      <c r="AVC7">
        <v>13749</v>
      </c>
      <c r="AVD7">
        <v>0.13804640000000001</v>
      </c>
      <c r="AVE7">
        <v>13749</v>
      </c>
      <c r="AVF7">
        <v>0.78878459999999995</v>
      </c>
      <c r="AVG7">
        <v>243635</v>
      </c>
      <c r="AVH7">
        <v>2.84278E-2</v>
      </c>
      <c r="AVI7">
        <v>6926</v>
      </c>
      <c r="AVJ7">
        <v>13.480650000000001</v>
      </c>
      <c r="AVK7">
        <v>93367</v>
      </c>
      <c r="AVL7">
        <v>0.3967676</v>
      </c>
      <c r="AVM7">
        <v>37045</v>
      </c>
      <c r="AVN7">
        <v>0.38391150000000002</v>
      </c>
      <c r="AVO7">
        <v>37045</v>
      </c>
      <c r="AVP7">
        <v>0.2181401</v>
      </c>
      <c r="AVQ7">
        <v>93367</v>
      </c>
      <c r="AVR7">
        <v>6.5772700000000003E-2</v>
      </c>
      <c r="AVS7">
        <v>6141</v>
      </c>
      <c r="AVT7">
        <v>3.7164959999999998</v>
      </c>
      <c r="AVU7">
        <v>6141</v>
      </c>
      <c r="AVV7">
        <v>0.17896110000000001</v>
      </c>
      <c r="AVW7">
        <v>6141</v>
      </c>
      <c r="AVX7">
        <v>4.4943799999999999E-2</v>
      </c>
      <c r="AVY7">
        <v>93367</v>
      </c>
      <c r="AVZ7">
        <v>3.9735999999999999E-3</v>
      </c>
      <c r="AWA7">
        <v>371</v>
      </c>
      <c r="AWB7">
        <v>5.5579510000000001</v>
      </c>
      <c r="AWC7">
        <v>371</v>
      </c>
      <c r="AWD7">
        <v>2.1832880000000001</v>
      </c>
      <c r="AWE7">
        <v>371</v>
      </c>
      <c r="AWF7">
        <v>25.762799999999999</v>
      </c>
      <c r="AWG7">
        <v>371</v>
      </c>
      <c r="AWH7">
        <v>3.8463609999999999</v>
      </c>
      <c r="AWI7">
        <v>93367</v>
      </c>
      <c r="AWJ7">
        <v>7.7329200000000001E-2</v>
      </c>
      <c r="AWK7">
        <v>7220</v>
      </c>
      <c r="AWL7">
        <v>0.76191129999999996</v>
      </c>
      <c r="AWM7">
        <v>7220</v>
      </c>
      <c r="AWN7">
        <v>0.23808860000000001</v>
      </c>
      <c r="AWO7">
        <v>6926</v>
      </c>
      <c r="AWP7">
        <v>2.1876989999999998</v>
      </c>
      <c r="AWQ7">
        <v>15152</v>
      </c>
      <c r="AWR7">
        <v>0.29963040000000002</v>
      </c>
      <c r="AWS7">
        <v>15152</v>
      </c>
      <c r="AWT7">
        <v>0.12565999999999999</v>
      </c>
      <c r="AWU7">
        <v>1904</v>
      </c>
      <c r="AWV7">
        <v>0.59716389999999997</v>
      </c>
      <c r="AWW7">
        <v>1904</v>
      </c>
      <c r="AWX7">
        <v>0.40283609999999997</v>
      </c>
      <c r="AWY7">
        <v>15152</v>
      </c>
      <c r="AWZ7">
        <v>0.20307549999999999</v>
      </c>
      <c r="AXA7">
        <v>15152</v>
      </c>
      <c r="AXB7">
        <v>0.1959477</v>
      </c>
      <c r="AXC7">
        <v>15152</v>
      </c>
      <c r="AXD7">
        <v>0.17568639999999999</v>
      </c>
      <c r="AXE7">
        <v>6926</v>
      </c>
      <c r="AXF7">
        <v>5.0451920000000001</v>
      </c>
      <c r="AXG7">
        <v>34943</v>
      </c>
      <c r="AXH7">
        <v>0.30163410000000002</v>
      </c>
      <c r="AXI7">
        <v>34943</v>
      </c>
      <c r="AXJ7">
        <v>0.69836589999999998</v>
      </c>
      <c r="AXK7">
        <v>6926</v>
      </c>
      <c r="AXL7">
        <v>0</v>
      </c>
      <c r="AXM7">
        <v>0</v>
      </c>
      <c r="AXN7"/>
      <c r="AXO7">
        <v>0</v>
      </c>
      <c r="AXP7"/>
      <c r="AXQ7">
        <v>0</v>
      </c>
      <c r="AXR7"/>
      <c r="AXS7">
        <v>6926</v>
      </c>
      <c r="AXT7">
        <v>0.78732310000000005</v>
      </c>
      <c r="AXU7">
        <v>5453</v>
      </c>
      <c r="AXV7">
        <v>0.6321291</v>
      </c>
      <c r="AXW7">
        <v>5453</v>
      </c>
      <c r="AXX7">
        <v>0.3678709</v>
      </c>
      <c r="AXY7">
        <v>5453</v>
      </c>
      <c r="AXZ7">
        <v>9.4810199999999997E-2</v>
      </c>
      <c r="AYA7">
        <v>32791</v>
      </c>
      <c r="AYB7">
        <v>3.2996900000000003E-2</v>
      </c>
      <c r="AYC7">
        <v>32791</v>
      </c>
      <c r="AYD7">
        <v>0.18550820000000001</v>
      </c>
      <c r="AYE7">
        <v>32791</v>
      </c>
      <c r="AYF7">
        <v>0.30965809999999999</v>
      </c>
      <c r="AYG7">
        <v>32791</v>
      </c>
      <c r="AYH7">
        <v>0.33140190000000003</v>
      </c>
      <c r="AYI7">
        <v>32791</v>
      </c>
      <c r="AYJ7">
        <v>4.0498899999999997E-2</v>
      </c>
      <c r="AYK7">
        <v>32791</v>
      </c>
      <c r="AYL7">
        <v>9.67644E-2</v>
      </c>
      <c r="AYM7">
        <v>32791</v>
      </c>
      <c r="AYN7">
        <v>3.1716000000000001E-3</v>
      </c>
      <c r="AYO7">
        <v>53201</v>
      </c>
      <c r="AYP7">
        <v>4.9002799999999999E-2</v>
      </c>
      <c r="AYQ7">
        <v>53201</v>
      </c>
      <c r="AYR7">
        <v>9.8344000000000001E-2</v>
      </c>
      <c r="AYS7">
        <v>53201</v>
      </c>
      <c r="AYT7">
        <v>0.2421007</v>
      </c>
      <c r="AYU7">
        <v>53201</v>
      </c>
      <c r="AYV7">
        <v>0.25373580000000001</v>
      </c>
      <c r="AYW7">
        <v>53201</v>
      </c>
      <c r="AYX7">
        <v>7.8043600000000005E-2</v>
      </c>
      <c r="AYY7">
        <v>53201</v>
      </c>
      <c r="AYZ7">
        <v>0.21956349999999999</v>
      </c>
      <c r="AZA7">
        <v>53201</v>
      </c>
      <c r="AZB7">
        <v>5.9209400000000002E-2</v>
      </c>
      <c r="AZC7">
        <v>52383</v>
      </c>
      <c r="AZD7">
        <v>3.5068599999999998E-2</v>
      </c>
      <c r="AZE7">
        <v>52383</v>
      </c>
      <c r="AZF7">
        <v>6.7789199999999994E-2</v>
      </c>
      <c r="AZG7">
        <v>52383</v>
      </c>
      <c r="AZH7">
        <v>0.25596089999999999</v>
      </c>
      <c r="AZI7">
        <v>52383</v>
      </c>
      <c r="AZJ7">
        <v>0.21012539999999999</v>
      </c>
      <c r="AZK7">
        <v>52383</v>
      </c>
      <c r="AZL7">
        <v>6.3436599999999996E-2</v>
      </c>
      <c r="AZM7">
        <v>52383</v>
      </c>
      <c r="AZN7">
        <v>0.2581754</v>
      </c>
      <c r="AZO7">
        <v>52383</v>
      </c>
      <c r="AZP7">
        <v>0.1094439</v>
      </c>
      <c r="AZQ7">
        <v>79274</v>
      </c>
      <c r="AZR7">
        <v>3.4765499999999998E-2</v>
      </c>
      <c r="AZS7">
        <v>79274</v>
      </c>
      <c r="AZT7">
        <v>4.6181600000000003E-2</v>
      </c>
      <c r="AZU7">
        <v>79274</v>
      </c>
      <c r="AZV7">
        <v>0.28073520000000002</v>
      </c>
      <c r="AZW7">
        <v>79274</v>
      </c>
      <c r="AZX7">
        <v>0.25688119999999998</v>
      </c>
      <c r="AZY7">
        <v>79274</v>
      </c>
      <c r="AZZ7">
        <v>6.8320000000000006E-2</v>
      </c>
      <c r="BAA7">
        <v>79274</v>
      </c>
      <c r="BAB7">
        <v>0.1972526</v>
      </c>
      <c r="BAC7">
        <v>79274</v>
      </c>
      <c r="BAD7">
        <v>0.11586399999999999</v>
      </c>
      <c r="BAE7">
        <v>24816</v>
      </c>
      <c r="BAF7">
        <v>8.3615400000000006E-2</v>
      </c>
      <c r="BAG7">
        <v>24816</v>
      </c>
      <c r="BAH7">
        <v>9.11912E-2</v>
      </c>
      <c r="BAI7">
        <v>24816</v>
      </c>
      <c r="BAJ7">
        <v>0.32785300000000001</v>
      </c>
      <c r="BAK7">
        <v>24816</v>
      </c>
      <c r="BAL7">
        <v>0.2487105</v>
      </c>
      <c r="BAM7">
        <v>24816</v>
      </c>
      <c r="BAN7">
        <v>2.3976500000000001E-2</v>
      </c>
      <c r="BAO7">
        <v>24816</v>
      </c>
      <c r="BAP7">
        <v>0.14978240000000001</v>
      </c>
      <c r="BAQ7">
        <v>24816</v>
      </c>
      <c r="BAR7">
        <v>7.4870999999999993E-2</v>
      </c>
      <c r="BAS7">
        <v>30540</v>
      </c>
      <c r="BAT7">
        <v>2.78324E-2</v>
      </c>
      <c r="BAU7">
        <v>30540</v>
      </c>
      <c r="BAV7">
        <v>0.10062210000000001</v>
      </c>
      <c r="BAW7">
        <v>30540</v>
      </c>
      <c r="BAX7">
        <v>0.2362148</v>
      </c>
      <c r="BAY7">
        <v>30540</v>
      </c>
      <c r="BAZ7">
        <v>0.4588081</v>
      </c>
      <c r="BBA7">
        <v>30540</v>
      </c>
      <c r="BBB7">
        <v>5.3012400000000001E-2</v>
      </c>
      <c r="BBC7">
        <v>30540</v>
      </c>
      <c r="BBD7">
        <v>0.1159463</v>
      </c>
      <c r="BBE7">
        <v>30540</v>
      </c>
      <c r="BBF7">
        <v>7.5639000000000001E-3</v>
      </c>
      <c r="BBG7">
        <v>52775</v>
      </c>
      <c r="BBH7">
        <v>2.1468500000000001E-2</v>
      </c>
      <c r="BBI7">
        <v>52775</v>
      </c>
      <c r="BBJ7">
        <v>6.1392700000000001E-2</v>
      </c>
      <c r="BBK7">
        <v>52775</v>
      </c>
      <c r="BBL7">
        <v>0.22440550000000001</v>
      </c>
      <c r="BBM7">
        <v>52775</v>
      </c>
      <c r="BBN7">
        <v>0.23920420000000001</v>
      </c>
      <c r="BBO7">
        <v>52775</v>
      </c>
      <c r="BBP7">
        <v>9.6409300000000003E-2</v>
      </c>
      <c r="BBQ7">
        <v>52775</v>
      </c>
      <c r="BBR7">
        <v>0.23939369999999999</v>
      </c>
      <c r="BBS7">
        <v>52775</v>
      </c>
      <c r="BBT7">
        <v>0.1177262</v>
      </c>
      <c r="BBU7">
        <v>51668</v>
      </c>
      <c r="BBV7">
        <v>3.5050699999999997E-2</v>
      </c>
      <c r="BBW7">
        <v>51668</v>
      </c>
      <c r="BBX7">
        <v>3.8050599999999997E-2</v>
      </c>
      <c r="BBY7">
        <v>51668</v>
      </c>
      <c r="BBZ7">
        <v>0.23447779999999999</v>
      </c>
      <c r="BCA7">
        <v>51668</v>
      </c>
      <c r="BCB7">
        <v>0.23186499999999999</v>
      </c>
      <c r="BCC7">
        <v>51668</v>
      </c>
      <c r="BCD7">
        <v>8.9649300000000001E-2</v>
      </c>
      <c r="BCE7">
        <v>51668</v>
      </c>
      <c r="BCF7">
        <v>0.26056750000000001</v>
      </c>
      <c r="BCG7">
        <v>51668</v>
      </c>
      <c r="BCH7">
        <v>0.1103391</v>
      </c>
      <c r="BCI7">
        <v>78532</v>
      </c>
      <c r="BCJ7">
        <v>3.3056599999999998E-2</v>
      </c>
      <c r="BCK7">
        <v>78532</v>
      </c>
      <c r="BCL7">
        <v>4.5815700000000001E-2</v>
      </c>
      <c r="BCM7">
        <v>78532</v>
      </c>
      <c r="BCN7">
        <v>0.29719099999999998</v>
      </c>
      <c r="BCO7">
        <v>78532</v>
      </c>
      <c r="BCP7">
        <v>0.2427163</v>
      </c>
      <c r="BCQ7">
        <v>78532</v>
      </c>
      <c r="BCR7">
        <v>9.9029699999999998E-2</v>
      </c>
      <c r="BCS7">
        <v>78532</v>
      </c>
      <c r="BCT7">
        <v>0.18308459999999999</v>
      </c>
      <c r="BCU7">
        <v>78532</v>
      </c>
      <c r="BCV7">
        <v>9.9106100000000003E-2</v>
      </c>
      <c r="BCW7">
        <v>32566</v>
      </c>
      <c r="BCX7">
        <v>0.1389793</v>
      </c>
      <c r="BCY7">
        <v>32566</v>
      </c>
      <c r="BCZ7">
        <v>0.1049561</v>
      </c>
      <c r="BDA7">
        <v>32566</v>
      </c>
      <c r="BDB7">
        <v>0.38432719999999998</v>
      </c>
      <c r="BDC7">
        <v>32566</v>
      </c>
      <c r="BDD7">
        <v>0.19643189999999999</v>
      </c>
      <c r="BDE7">
        <v>32566</v>
      </c>
      <c r="BDF7">
        <v>2.3245100000000001E-2</v>
      </c>
      <c r="BDG7">
        <v>32566</v>
      </c>
      <c r="BDH7">
        <v>0.1010563</v>
      </c>
      <c r="BDI7">
        <v>32566</v>
      </c>
      <c r="BDJ7">
        <v>5.1004099999999997E-2</v>
      </c>
      <c r="BDK7">
        <v>178123</v>
      </c>
      <c r="BDL7">
        <v>5.7123399999999998E-2</v>
      </c>
      <c r="BDM7">
        <v>10175</v>
      </c>
      <c r="BDN7">
        <v>0.78574940000000004</v>
      </c>
      <c r="BDO7">
        <v>7995</v>
      </c>
      <c r="BDP7">
        <v>0.71206999999999998</v>
      </c>
      <c r="BDQ7">
        <v>7995</v>
      </c>
      <c r="BDR7">
        <v>0.28793000000000002</v>
      </c>
      <c r="BDS7">
        <v>10175</v>
      </c>
      <c r="BDT7">
        <v>0.21425060000000001</v>
      </c>
      <c r="BDU7">
        <v>2180</v>
      </c>
      <c r="BDV7">
        <v>0.58761470000000005</v>
      </c>
      <c r="BDW7">
        <v>2180</v>
      </c>
      <c r="BDX7">
        <v>0.41238530000000001</v>
      </c>
      <c r="BDY7">
        <v>178123</v>
      </c>
      <c r="BDZ7">
        <v>0.94287659999999995</v>
      </c>
      <c r="BEA7">
        <v>167948</v>
      </c>
      <c r="BEB7">
        <v>0.54871150000000002</v>
      </c>
      <c r="BEC7">
        <v>92155</v>
      </c>
      <c r="BED7">
        <v>0.73516360000000003</v>
      </c>
      <c r="BEE7">
        <v>92155</v>
      </c>
      <c r="BEF7">
        <v>0.26483640000000003</v>
      </c>
      <c r="BEG7">
        <v>167948</v>
      </c>
      <c r="BEH7">
        <v>0.45128849999999998</v>
      </c>
      <c r="BEI7">
        <v>75793</v>
      </c>
      <c r="BEJ7">
        <v>0.77323759999999997</v>
      </c>
      <c r="BEK7">
        <v>75793</v>
      </c>
      <c r="BEL7">
        <v>0.2267624</v>
      </c>
      <c r="BEM7">
        <v>339316</v>
      </c>
      <c r="BEN7">
        <v>0.55457160000000005</v>
      </c>
      <c r="BEO7">
        <v>188175</v>
      </c>
      <c r="BEP7">
        <v>0.8857872</v>
      </c>
      <c r="BEQ7">
        <v>166683</v>
      </c>
      <c r="BER7">
        <v>0.17492489999999999</v>
      </c>
      <c r="BES7">
        <v>166683</v>
      </c>
      <c r="BET7">
        <v>0.82507509999999995</v>
      </c>
      <c r="BEU7">
        <v>188175</v>
      </c>
      <c r="BEV7">
        <v>0.1142128</v>
      </c>
      <c r="BEW7">
        <v>339316</v>
      </c>
      <c r="BEX7">
        <v>0.4454285</v>
      </c>
      <c r="BEY7">
        <v>151141</v>
      </c>
      <c r="BEZ7">
        <v>0.89255059999999997</v>
      </c>
      <c r="BFA7">
        <v>134901</v>
      </c>
      <c r="BFB7">
        <v>0.25013160000000001</v>
      </c>
      <c r="BFC7">
        <v>134901</v>
      </c>
      <c r="BFD7">
        <v>0.74986839999999999</v>
      </c>
      <c r="BFE7">
        <v>151141</v>
      </c>
      <c r="BFF7">
        <v>0.1074493</v>
      </c>
      <c r="BFG7">
        <v>340877</v>
      </c>
      <c r="BFH7">
        <v>0.28870240000000003</v>
      </c>
      <c r="BFI7">
        <v>98412</v>
      </c>
      <c r="BFJ7">
        <v>0.97684230000000005</v>
      </c>
      <c r="BFK7">
        <v>98412</v>
      </c>
      <c r="BFL7">
        <v>2.31577E-2</v>
      </c>
      <c r="BFM7">
        <v>2279</v>
      </c>
      <c r="BFN7">
        <v>0.1237385</v>
      </c>
      <c r="BFO7">
        <v>2279</v>
      </c>
      <c r="BFP7">
        <v>0.87626150000000003</v>
      </c>
      <c r="BFQ7">
        <v>340877</v>
      </c>
      <c r="BFR7">
        <v>0.71129759999999997</v>
      </c>
      <c r="BFS7">
        <v>242465</v>
      </c>
      <c r="BFT7">
        <v>0.82378079999999998</v>
      </c>
      <c r="BFU7">
        <v>242465</v>
      </c>
      <c r="BFV7">
        <v>0.1762193</v>
      </c>
      <c r="BFW7">
        <v>42727</v>
      </c>
      <c r="BFX7">
        <v>0.41914950000000001</v>
      </c>
      <c r="BFY7">
        <v>42727</v>
      </c>
      <c r="BFZ7">
        <v>0.58085050000000005</v>
      </c>
      <c r="BGA7">
        <v>340220</v>
      </c>
      <c r="BGB7">
        <v>0.27670040000000001</v>
      </c>
      <c r="BGC7">
        <v>94139</v>
      </c>
      <c r="BGD7">
        <v>0.96318210000000004</v>
      </c>
      <c r="BGE7">
        <v>94139</v>
      </c>
      <c r="BGF7">
        <v>3.6817900000000001E-2</v>
      </c>
      <c r="BGG7">
        <v>3466</v>
      </c>
      <c r="BGH7">
        <v>0.2484132</v>
      </c>
      <c r="BGI7">
        <v>3466</v>
      </c>
      <c r="BGJ7">
        <v>0.75158689999999995</v>
      </c>
      <c r="BGK7">
        <v>340220</v>
      </c>
      <c r="BGL7">
        <v>0.72329960000000004</v>
      </c>
      <c r="BGM7">
        <v>246081</v>
      </c>
      <c r="BGN7">
        <v>0.84694060000000004</v>
      </c>
      <c r="BGO7">
        <v>246081</v>
      </c>
      <c r="BGP7">
        <v>0.15305940000000001</v>
      </c>
      <c r="BGQ7">
        <v>37665</v>
      </c>
      <c r="BGR7">
        <v>0.5139785</v>
      </c>
      <c r="BGS7">
        <v>37665</v>
      </c>
      <c r="BGT7">
        <v>0.4860215</v>
      </c>
    </row>
    <row r="8" spans="1:1554" x14ac:dyDescent="0.25">
      <c r="A8" t="s">
        <v>131</v>
      </c>
      <c r="B8">
        <v>2009</v>
      </c>
      <c r="C8">
        <v>1</v>
      </c>
      <c r="D8" t="s">
        <v>546</v>
      </c>
      <c r="E8">
        <v>46445</v>
      </c>
      <c r="F8">
        <v>0.4266337</v>
      </c>
      <c r="G8">
        <v>19815</v>
      </c>
      <c r="H8">
        <v>0.1058794</v>
      </c>
      <c r="I8">
        <v>19815</v>
      </c>
      <c r="J8">
        <v>3.7395900000000003E-2</v>
      </c>
      <c r="K8">
        <v>19815</v>
      </c>
      <c r="L8">
        <v>0.1448902</v>
      </c>
      <c r="M8">
        <v>19815</v>
      </c>
      <c r="N8">
        <v>0.12662119999999999</v>
      </c>
      <c r="O8">
        <v>19815</v>
      </c>
      <c r="P8">
        <v>3.4266999999999999E-2</v>
      </c>
      <c r="Q8">
        <v>19815</v>
      </c>
      <c r="R8">
        <v>4.3098699999999997E-2</v>
      </c>
      <c r="S8">
        <v>19815</v>
      </c>
      <c r="T8">
        <v>0.1364118</v>
      </c>
      <c r="U8">
        <v>19815</v>
      </c>
      <c r="V8">
        <v>8.4784300000000007E-2</v>
      </c>
      <c r="W8">
        <v>19815</v>
      </c>
      <c r="X8">
        <v>0.1079485</v>
      </c>
      <c r="Y8">
        <v>19815</v>
      </c>
      <c r="Z8">
        <v>9.5230899999999993E-2</v>
      </c>
      <c r="AA8">
        <v>19815</v>
      </c>
      <c r="AB8">
        <v>5.9803200000000001E-2</v>
      </c>
      <c r="AC8">
        <v>19815</v>
      </c>
      <c r="AD8">
        <v>1.17083E-2</v>
      </c>
      <c r="AE8">
        <v>19815</v>
      </c>
      <c r="AF8">
        <v>1.19606E-2</v>
      </c>
      <c r="AG8">
        <v>46445</v>
      </c>
      <c r="AH8">
        <v>0.5733663</v>
      </c>
      <c r="AI8">
        <v>26630</v>
      </c>
      <c r="AJ8">
        <v>0.1075479</v>
      </c>
      <c r="AK8">
        <v>26630</v>
      </c>
      <c r="AL8">
        <v>1.8550500000000001E-2</v>
      </c>
      <c r="AM8">
        <v>26630</v>
      </c>
      <c r="AN8">
        <v>0.14292150000000001</v>
      </c>
      <c r="AO8">
        <v>26630</v>
      </c>
      <c r="AP8">
        <v>2.6849399999999999E-2</v>
      </c>
      <c r="AQ8">
        <v>26630</v>
      </c>
      <c r="AR8">
        <v>2.1254200000000001E-2</v>
      </c>
      <c r="AS8">
        <v>26630</v>
      </c>
      <c r="AT8">
        <v>6.0645900000000003E-2</v>
      </c>
      <c r="AU8">
        <v>26630</v>
      </c>
      <c r="AV8">
        <v>0.1168231</v>
      </c>
      <c r="AW8">
        <v>26630</v>
      </c>
      <c r="AX8">
        <v>0.15144569999999999</v>
      </c>
      <c r="AY8">
        <v>26630</v>
      </c>
      <c r="AZ8">
        <v>0.14881710000000001</v>
      </c>
      <c r="BA8">
        <v>26630</v>
      </c>
      <c r="BB8">
        <v>7.9459299999999997E-2</v>
      </c>
      <c r="BC8">
        <v>26630</v>
      </c>
      <c r="BD8">
        <v>5.46752E-2</v>
      </c>
      <c r="BE8">
        <v>26630</v>
      </c>
      <c r="BF8">
        <v>3.6387500000000003E-2</v>
      </c>
      <c r="BG8">
        <v>26630</v>
      </c>
      <c r="BH8">
        <v>3.4622600000000003E-2</v>
      </c>
      <c r="BI8">
        <v>630102</v>
      </c>
      <c r="BJ8">
        <v>0.50445799999999996</v>
      </c>
      <c r="BK8">
        <v>317860</v>
      </c>
      <c r="BL8">
        <v>7.5564699999999999E-2</v>
      </c>
      <c r="BM8">
        <v>317860</v>
      </c>
      <c r="BN8">
        <v>1.4519000000000001E-2</v>
      </c>
      <c r="BO8">
        <v>317860</v>
      </c>
      <c r="BP8">
        <v>9.8650399999999999E-2</v>
      </c>
      <c r="BQ8">
        <v>317860</v>
      </c>
      <c r="BR8">
        <v>4.4579399999999998E-2</v>
      </c>
      <c r="BS8">
        <v>317860</v>
      </c>
      <c r="BT8">
        <v>1.5695600000000001E-2</v>
      </c>
      <c r="BU8">
        <v>317860</v>
      </c>
      <c r="BV8">
        <v>3.4405100000000001E-2</v>
      </c>
      <c r="BW8">
        <v>317860</v>
      </c>
      <c r="BX8">
        <v>8.2662200000000005E-2</v>
      </c>
      <c r="BY8">
        <v>317860</v>
      </c>
      <c r="BZ8">
        <v>0.1313723</v>
      </c>
      <c r="CA8">
        <v>317860</v>
      </c>
      <c r="CB8">
        <v>0.1666803</v>
      </c>
      <c r="CC8">
        <v>317860</v>
      </c>
      <c r="CD8">
        <v>0.15543950000000001</v>
      </c>
      <c r="CE8">
        <v>317860</v>
      </c>
      <c r="CF8">
        <v>0.10111680000000001</v>
      </c>
      <c r="CG8">
        <v>317860</v>
      </c>
      <c r="CH8">
        <v>5.0534799999999998E-2</v>
      </c>
      <c r="CI8">
        <v>317860</v>
      </c>
      <c r="CJ8">
        <v>2.878E-2</v>
      </c>
      <c r="CK8">
        <v>630102</v>
      </c>
      <c r="CL8">
        <v>0.49554199999999998</v>
      </c>
      <c r="CM8">
        <v>312242</v>
      </c>
      <c r="CN8">
        <v>7.0352499999999998E-2</v>
      </c>
      <c r="CO8">
        <v>312242</v>
      </c>
      <c r="CP8">
        <v>1.49531E-2</v>
      </c>
      <c r="CQ8">
        <v>312242</v>
      </c>
      <c r="CR8">
        <v>9.9060999999999996E-2</v>
      </c>
      <c r="CS8">
        <v>312242</v>
      </c>
      <c r="CT8">
        <v>4.4734500000000003E-2</v>
      </c>
      <c r="CU8">
        <v>312242</v>
      </c>
      <c r="CV8">
        <v>1.4168500000000001E-2</v>
      </c>
      <c r="CW8">
        <v>312242</v>
      </c>
      <c r="CX8">
        <v>3.0492399999999999E-2</v>
      </c>
      <c r="CY8">
        <v>312242</v>
      </c>
      <c r="CZ8">
        <v>7.93711E-2</v>
      </c>
      <c r="DA8">
        <v>312242</v>
      </c>
      <c r="DB8">
        <v>0.1228374</v>
      </c>
      <c r="DC8">
        <v>312242</v>
      </c>
      <c r="DD8">
        <v>0.1614901</v>
      </c>
      <c r="DE8">
        <v>312242</v>
      </c>
      <c r="DF8">
        <v>0.1576854</v>
      </c>
      <c r="DG8">
        <v>312242</v>
      </c>
      <c r="DH8">
        <v>0.1045855</v>
      </c>
      <c r="DI8">
        <v>312242</v>
      </c>
      <c r="DJ8">
        <v>5.8381000000000002E-2</v>
      </c>
      <c r="DK8">
        <v>312242</v>
      </c>
      <c r="DL8">
        <v>4.1887399999999998E-2</v>
      </c>
      <c r="DM8">
        <v>424297</v>
      </c>
      <c r="DN8">
        <v>4.9067E-2</v>
      </c>
      <c r="DO8">
        <v>20819</v>
      </c>
      <c r="DP8">
        <v>0.35352319999999998</v>
      </c>
      <c r="DQ8">
        <v>208859</v>
      </c>
      <c r="DR8">
        <v>3.5239100000000002E-2</v>
      </c>
      <c r="DS8">
        <v>7360</v>
      </c>
      <c r="DT8">
        <v>0.2407609</v>
      </c>
      <c r="DU8">
        <v>22794</v>
      </c>
      <c r="DV8">
        <v>7.7739799999999998E-2</v>
      </c>
      <c r="DW8">
        <v>7360</v>
      </c>
      <c r="DX8">
        <v>0.33464670000000002</v>
      </c>
      <c r="DY8">
        <v>58258</v>
      </c>
      <c r="DZ8">
        <v>4.2277500000000003E-2</v>
      </c>
      <c r="EA8">
        <v>7360</v>
      </c>
      <c r="EB8">
        <v>0.3228261</v>
      </c>
      <c r="EC8">
        <v>63531</v>
      </c>
      <c r="ED8">
        <v>3.7399099999999998E-2</v>
      </c>
      <c r="EE8">
        <v>7360</v>
      </c>
      <c r="EF8">
        <v>0.1017663</v>
      </c>
      <c r="EG8">
        <v>64276</v>
      </c>
      <c r="EH8">
        <v>1.1652900000000001E-2</v>
      </c>
      <c r="EI8">
        <v>20819</v>
      </c>
      <c r="EJ8">
        <v>0.64647679999999996</v>
      </c>
      <c r="EK8">
        <v>215438</v>
      </c>
      <c r="EL8">
        <v>6.2472699999999999E-2</v>
      </c>
      <c r="EM8">
        <v>13459</v>
      </c>
      <c r="EN8">
        <v>0.1837432</v>
      </c>
      <c r="EO8">
        <v>19969</v>
      </c>
      <c r="EP8">
        <v>0.12384199999999999</v>
      </c>
      <c r="EQ8">
        <v>13459</v>
      </c>
      <c r="ER8">
        <v>0.45226240000000001</v>
      </c>
      <c r="ES8">
        <v>60042</v>
      </c>
      <c r="ET8">
        <v>0.101379</v>
      </c>
      <c r="EU8">
        <v>13459</v>
      </c>
      <c r="EV8">
        <v>0.26272380000000001</v>
      </c>
      <c r="EW8">
        <v>69650</v>
      </c>
      <c r="EX8">
        <v>5.0768099999999997E-2</v>
      </c>
      <c r="EY8">
        <v>13459</v>
      </c>
      <c r="EZ8">
        <v>0.1012705</v>
      </c>
      <c r="FA8">
        <v>65777</v>
      </c>
      <c r="FB8">
        <v>2.07215E-2</v>
      </c>
      <c r="FC8">
        <v>424297</v>
      </c>
      <c r="FD8">
        <v>0.95093300000000003</v>
      </c>
      <c r="FE8">
        <v>403478</v>
      </c>
      <c r="FF8">
        <v>0.49940519999999999</v>
      </c>
      <c r="FG8">
        <v>208859</v>
      </c>
      <c r="FH8">
        <v>0.96476090000000003</v>
      </c>
      <c r="FI8">
        <v>201499</v>
      </c>
      <c r="FJ8">
        <v>0.10432809999999999</v>
      </c>
      <c r="FK8">
        <v>22794</v>
      </c>
      <c r="FL8">
        <v>0.92226019999999997</v>
      </c>
      <c r="FM8">
        <v>201499</v>
      </c>
      <c r="FN8">
        <v>0.27689960000000002</v>
      </c>
      <c r="FO8">
        <v>58258</v>
      </c>
      <c r="FP8">
        <v>0.95772250000000003</v>
      </c>
      <c r="FQ8">
        <v>201499</v>
      </c>
      <c r="FR8">
        <v>0.3035003</v>
      </c>
      <c r="FS8">
        <v>63531</v>
      </c>
      <c r="FT8">
        <v>0.96260089999999998</v>
      </c>
      <c r="FU8">
        <v>201499</v>
      </c>
      <c r="FV8">
        <v>0.315272</v>
      </c>
      <c r="FW8">
        <v>64276</v>
      </c>
      <c r="FX8">
        <v>0.98834710000000003</v>
      </c>
      <c r="FY8">
        <v>403478</v>
      </c>
      <c r="FZ8">
        <v>0.50059489999999995</v>
      </c>
      <c r="GA8">
        <v>215438</v>
      </c>
      <c r="GB8">
        <v>0.93752729999999995</v>
      </c>
      <c r="GC8">
        <v>201979</v>
      </c>
      <c r="GD8">
        <v>8.6622900000000003E-2</v>
      </c>
      <c r="GE8">
        <v>19969</v>
      </c>
      <c r="GF8">
        <v>0.87615810000000005</v>
      </c>
      <c r="GG8">
        <v>201979</v>
      </c>
      <c r="GH8">
        <v>0.26713170000000003</v>
      </c>
      <c r="GI8">
        <v>60042</v>
      </c>
      <c r="GJ8">
        <v>0.898621</v>
      </c>
      <c r="GK8">
        <v>201979</v>
      </c>
      <c r="GL8">
        <v>0.32733109999999999</v>
      </c>
      <c r="GM8">
        <v>69650</v>
      </c>
      <c r="GN8">
        <v>0.94923190000000002</v>
      </c>
      <c r="GO8">
        <v>201979</v>
      </c>
      <c r="GP8">
        <v>0.31891439999999999</v>
      </c>
      <c r="GQ8">
        <v>65777</v>
      </c>
      <c r="GR8">
        <v>0.97927839999999999</v>
      </c>
      <c r="GS8">
        <v>504095</v>
      </c>
      <c r="GT8">
        <v>5.7731200000000003E-2</v>
      </c>
      <c r="GU8">
        <v>29102</v>
      </c>
      <c r="GV8">
        <v>0.37512889999999999</v>
      </c>
      <c r="GW8">
        <v>10917</v>
      </c>
      <c r="GX8">
        <v>0.16881930000000001</v>
      </c>
      <c r="GY8">
        <v>10917</v>
      </c>
      <c r="GZ8">
        <v>0.46276450000000002</v>
      </c>
      <c r="HA8">
        <v>10917</v>
      </c>
      <c r="HB8">
        <v>0.36841620000000003</v>
      </c>
      <c r="HC8">
        <v>10917</v>
      </c>
      <c r="HD8">
        <v>0.69240639999999998</v>
      </c>
      <c r="HE8">
        <v>10917</v>
      </c>
      <c r="HF8">
        <v>0.30759370000000003</v>
      </c>
      <c r="HG8">
        <v>7559</v>
      </c>
      <c r="HH8">
        <v>0.65762670000000001</v>
      </c>
      <c r="HI8">
        <v>7559</v>
      </c>
      <c r="HJ8">
        <v>0.34237329999999999</v>
      </c>
      <c r="HK8">
        <v>29102</v>
      </c>
      <c r="HL8">
        <v>0.62487110000000001</v>
      </c>
      <c r="HM8">
        <v>18185</v>
      </c>
      <c r="HN8">
        <v>0.1012373</v>
      </c>
      <c r="HO8">
        <v>18185</v>
      </c>
      <c r="HP8">
        <v>0.38031350000000003</v>
      </c>
      <c r="HQ8">
        <v>18185</v>
      </c>
      <c r="HR8">
        <v>0.51844920000000005</v>
      </c>
      <c r="HS8">
        <v>18185</v>
      </c>
      <c r="HT8">
        <v>0.49733300000000003</v>
      </c>
      <c r="HU8">
        <v>18185</v>
      </c>
      <c r="HV8">
        <v>0.50266699999999997</v>
      </c>
      <c r="HW8">
        <v>9044</v>
      </c>
      <c r="HX8">
        <v>0.72434770000000004</v>
      </c>
      <c r="HY8">
        <v>9044</v>
      </c>
      <c r="HZ8">
        <v>0.27565240000000002</v>
      </c>
      <c r="IA8">
        <v>504095</v>
      </c>
      <c r="IB8">
        <v>0.94226880000000002</v>
      </c>
      <c r="IC8">
        <v>474993</v>
      </c>
      <c r="ID8">
        <v>0.50255479999999997</v>
      </c>
      <c r="IE8">
        <v>238710</v>
      </c>
      <c r="IF8">
        <v>0.56691800000000003</v>
      </c>
      <c r="IG8">
        <v>238710</v>
      </c>
      <c r="IH8">
        <v>0.25320680000000001</v>
      </c>
      <c r="II8">
        <v>238710</v>
      </c>
      <c r="IJ8">
        <v>0.17987520000000001</v>
      </c>
      <c r="IK8">
        <v>238655</v>
      </c>
      <c r="IL8">
        <v>0.80950330000000004</v>
      </c>
      <c r="IM8">
        <v>238655</v>
      </c>
      <c r="IN8">
        <v>0.19049669999999999</v>
      </c>
      <c r="IO8">
        <v>193192</v>
      </c>
      <c r="IP8">
        <v>0.89506810000000003</v>
      </c>
      <c r="IQ8">
        <v>193192</v>
      </c>
      <c r="IR8">
        <v>0.10493189999999999</v>
      </c>
      <c r="IS8">
        <v>474993</v>
      </c>
      <c r="IT8">
        <v>0.49744519999999998</v>
      </c>
      <c r="IU8">
        <v>236283</v>
      </c>
      <c r="IV8">
        <v>0.38254549999999998</v>
      </c>
      <c r="IW8">
        <v>236283</v>
      </c>
      <c r="IX8">
        <v>0.31195220000000001</v>
      </c>
      <c r="IY8">
        <v>236283</v>
      </c>
      <c r="IZ8">
        <v>0.3055023</v>
      </c>
      <c r="JA8">
        <v>236180</v>
      </c>
      <c r="JB8">
        <v>0.67214830000000003</v>
      </c>
      <c r="JC8">
        <v>236180</v>
      </c>
      <c r="JD8">
        <v>0.32785170000000002</v>
      </c>
      <c r="JE8">
        <v>158748</v>
      </c>
      <c r="JF8">
        <v>0.92634240000000001</v>
      </c>
      <c r="JG8">
        <v>158748</v>
      </c>
      <c r="JH8">
        <v>7.3657600000000004E-2</v>
      </c>
      <c r="JI8">
        <v>167067</v>
      </c>
      <c r="JJ8">
        <v>7.4915999999999996E-2</v>
      </c>
      <c r="JK8">
        <v>12516</v>
      </c>
      <c r="JL8">
        <v>0.4635666</v>
      </c>
      <c r="JM8">
        <v>5802</v>
      </c>
      <c r="JN8">
        <v>0.73578080000000001</v>
      </c>
      <c r="JO8">
        <v>5802</v>
      </c>
      <c r="JP8">
        <v>0.73578080000000001</v>
      </c>
      <c r="JQ8">
        <v>5802</v>
      </c>
      <c r="JR8">
        <v>0.73578080000000001</v>
      </c>
      <c r="JS8">
        <v>5802</v>
      </c>
      <c r="JT8">
        <v>0.73578080000000001</v>
      </c>
      <c r="JU8">
        <v>5802</v>
      </c>
      <c r="JV8">
        <v>0.26421919999999999</v>
      </c>
      <c r="JW8">
        <v>12516</v>
      </c>
      <c r="JX8">
        <v>0.5364333</v>
      </c>
      <c r="JY8">
        <v>6714</v>
      </c>
      <c r="JZ8">
        <v>7.7152200000000004E-2</v>
      </c>
      <c r="KA8">
        <v>518</v>
      </c>
      <c r="KB8">
        <v>1</v>
      </c>
      <c r="KC8">
        <v>518</v>
      </c>
      <c r="KD8">
        <v>0.16795370000000001</v>
      </c>
      <c r="KE8">
        <v>518</v>
      </c>
      <c r="KF8">
        <v>0.30694979999999999</v>
      </c>
      <c r="KG8">
        <v>518</v>
      </c>
      <c r="KH8">
        <v>0.52509649999999997</v>
      </c>
      <c r="KI8">
        <v>518</v>
      </c>
      <c r="KJ8">
        <v>0</v>
      </c>
      <c r="KK8">
        <v>6714</v>
      </c>
      <c r="KL8">
        <v>0.9228478</v>
      </c>
      <c r="KM8">
        <v>6196</v>
      </c>
      <c r="KN8">
        <v>0.90154939999999995</v>
      </c>
      <c r="KO8">
        <v>5586</v>
      </c>
      <c r="KP8">
        <v>0.2692446</v>
      </c>
      <c r="KQ8">
        <v>5586</v>
      </c>
      <c r="KR8">
        <v>0.16971</v>
      </c>
      <c r="KS8">
        <v>5586</v>
      </c>
      <c r="KT8">
        <v>0.56104549999999997</v>
      </c>
      <c r="KU8">
        <v>6196</v>
      </c>
      <c r="KV8">
        <v>9.8450599999999999E-2</v>
      </c>
      <c r="KW8">
        <v>167067</v>
      </c>
      <c r="KX8">
        <v>1.9147999999999998E-2</v>
      </c>
      <c r="KY8">
        <v>3199</v>
      </c>
      <c r="KZ8">
        <v>0.52172549999999995</v>
      </c>
      <c r="LA8">
        <v>1669</v>
      </c>
      <c r="LB8">
        <v>0.68484120000000004</v>
      </c>
      <c r="LC8">
        <v>1669</v>
      </c>
      <c r="LD8">
        <v>0.68484120000000004</v>
      </c>
      <c r="LE8">
        <v>1669</v>
      </c>
      <c r="LF8">
        <v>0.68484120000000004</v>
      </c>
      <c r="LG8">
        <v>1669</v>
      </c>
      <c r="LH8">
        <v>0.68484120000000004</v>
      </c>
      <c r="LI8">
        <v>1669</v>
      </c>
      <c r="LJ8">
        <v>0.31515880000000002</v>
      </c>
      <c r="LK8">
        <v>3199</v>
      </c>
      <c r="LL8">
        <v>0.47827449999999999</v>
      </c>
      <c r="LM8">
        <v>1530</v>
      </c>
      <c r="LN8">
        <v>0.1359477</v>
      </c>
      <c r="LO8">
        <v>208</v>
      </c>
      <c r="LP8">
        <v>1</v>
      </c>
      <c r="LQ8">
        <v>208</v>
      </c>
      <c r="LR8">
        <v>0.65865390000000001</v>
      </c>
      <c r="LS8">
        <v>208</v>
      </c>
      <c r="LT8">
        <v>0</v>
      </c>
      <c r="LU8">
        <v>208</v>
      </c>
      <c r="LV8">
        <v>0.34134609999999999</v>
      </c>
      <c r="LW8">
        <v>208</v>
      </c>
      <c r="LX8">
        <v>0</v>
      </c>
      <c r="LY8">
        <v>1530</v>
      </c>
      <c r="LZ8">
        <v>0.8640523</v>
      </c>
      <c r="MA8">
        <v>1322</v>
      </c>
      <c r="MB8">
        <v>0.85173980000000005</v>
      </c>
      <c r="MC8">
        <v>1126</v>
      </c>
      <c r="MD8">
        <v>9.2362299999999994E-2</v>
      </c>
      <c r="ME8">
        <v>1126</v>
      </c>
      <c r="MF8">
        <v>0.33570159999999999</v>
      </c>
      <c r="MG8">
        <v>1126</v>
      </c>
      <c r="MH8">
        <v>0.57193609999999995</v>
      </c>
      <c r="MI8">
        <v>1322</v>
      </c>
      <c r="MJ8">
        <v>0.14826020000000001</v>
      </c>
      <c r="MK8">
        <v>167067</v>
      </c>
      <c r="ML8">
        <v>3.8691099999999999E-2</v>
      </c>
      <c r="MM8">
        <v>6464</v>
      </c>
      <c r="MN8">
        <v>0.56389230000000001</v>
      </c>
      <c r="MO8">
        <v>3645</v>
      </c>
      <c r="MP8">
        <v>0.63703699999999996</v>
      </c>
      <c r="MQ8">
        <v>3645</v>
      </c>
      <c r="MR8">
        <v>0.63703699999999996</v>
      </c>
      <c r="MS8">
        <v>3645</v>
      </c>
      <c r="MT8">
        <v>0.63703699999999996</v>
      </c>
      <c r="MU8">
        <v>3645</v>
      </c>
      <c r="MV8">
        <v>0.63703699999999996</v>
      </c>
      <c r="MW8">
        <v>3645</v>
      </c>
      <c r="MX8">
        <v>0.36296299999999998</v>
      </c>
      <c r="MY8">
        <v>6464</v>
      </c>
      <c r="MZ8">
        <v>0.43610769999999999</v>
      </c>
      <c r="NA8">
        <v>2819</v>
      </c>
      <c r="NB8">
        <v>0.19545940000000001</v>
      </c>
      <c r="NC8">
        <v>551</v>
      </c>
      <c r="ND8">
        <v>0.71687840000000003</v>
      </c>
      <c r="NE8">
        <v>395</v>
      </c>
      <c r="NF8">
        <v>0.18227850000000001</v>
      </c>
      <c r="NG8">
        <v>395</v>
      </c>
      <c r="NH8">
        <v>0.27341769999999999</v>
      </c>
      <c r="NI8">
        <v>395</v>
      </c>
      <c r="NJ8">
        <v>0.5443038</v>
      </c>
      <c r="NK8">
        <v>551</v>
      </c>
      <c r="NL8">
        <v>0.28312159999999997</v>
      </c>
      <c r="NM8">
        <v>2819</v>
      </c>
      <c r="NN8">
        <v>0.80454060000000005</v>
      </c>
      <c r="NO8">
        <v>2268</v>
      </c>
      <c r="NP8">
        <v>0.76278659999999998</v>
      </c>
      <c r="NQ8">
        <v>1730</v>
      </c>
      <c r="NR8">
        <v>7.1098300000000003E-2</v>
      </c>
      <c r="NS8">
        <v>1730</v>
      </c>
      <c r="NT8">
        <v>0.1936416</v>
      </c>
      <c r="NU8">
        <v>1730</v>
      </c>
      <c r="NV8">
        <v>0.73526009999999997</v>
      </c>
      <c r="NW8">
        <v>2268</v>
      </c>
      <c r="NX8">
        <v>0.23721339999999999</v>
      </c>
      <c r="NY8">
        <v>167067</v>
      </c>
      <c r="NZ8">
        <v>0.86724489999999999</v>
      </c>
      <c r="OA8">
        <v>144888</v>
      </c>
      <c r="OB8">
        <v>0.85993319999999995</v>
      </c>
      <c r="OC8">
        <v>124594</v>
      </c>
      <c r="OD8">
        <v>0.49736740000000002</v>
      </c>
      <c r="OE8">
        <v>124594</v>
      </c>
      <c r="OF8">
        <v>0.49736740000000002</v>
      </c>
      <c r="OG8">
        <v>124594</v>
      </c>
      <c r="OH8">
        <v>0.49736740000000002</v>
      </c>
      <c r="OI8">
        <v>124594</v>
      </c>
      <c r="OJ8">
        <v>0.49736740000000002</v>
      </c>
      <c r="OK8">
        <v>124594</v>
      </c>
      <c r="OL8">
        <v>0.50263259999999998</v>
      </c>
      <c r="OM8">
        <v>144888</v>
      </c>
      <c r="ON8">
        <v>0.14006679999999999</v>
      </c>
      <c r="OO8">
        <v>20294</v>
      </c>
      <c r="OP8">
        <v>0.35921950000000002</v>
      </c>
      <c r="OQ8">
        <v>7290</v>
      </c>
      <c r="OR8">
        <v>0.47722910000000002</v>
      </c>
      <c r="OS8">
        <v>3479</v>
      </c>
      <c r="OT8">
        <v>0.24001149999999999</v>
      </c>
      <c r="OU8">
        <v>3479</v>
      </c>
      <c r="OV8">
        <v>0.1310721</v>
      </c>
      <c r="OW8">
        <v>3479</v>
      </c>
      <c r="OX8">
        <v>0.62891640000000004</v>
      </c>
      <c r="OY8">
        <v>7290</v>
      </c>
      <c r="OZ8">
        <v>0.52277090000000004</v>
      </c>
      <c r="PA8">
        <v>20294</v>
      </c>
      <c r="PB8">
        <v>0.64078049999999998</v>
      </c>
      <c r="PC8">
        <v>13004</v>
      </c>
      <c r="PD8">
        <v>0.60835130000000004</v>
      </c>
      <c r="PE8">
        <v>7911</v>
      </c>
      <c r="PF8">
        <v>0.1329794</v>
      </c>
      <c r="PG8">
        <v>7911</v>
      </c>
      <c r="PH8">
        <v>9.4931100000000004E-2</v>
      </c>
      <c r="PI8">
        <v>7911</v>
      </c>
      <c r="PJ8">
        <v>0.77208949999999998</v>
      </c>
      <c r="PK8">
        <v>13004</v>
      </c>
      <c r="PL8">
        <v>0.39164870000000002</v>
      </c>
      <c r="PM8">
        <v>685251</v>
      </c>
      <c r="PN8">
        <v>0.50254140000000003</v>
      </c>
      <c r="PO8">
        <v>344367</v>
      </c>
      <c r="PP8">
        <v>7.6891799999999996E-2</v>
      </c>
      <c r="PQ8">
        <v>344367</v>
      </c>
      <c r="PR8">
        <v>8.4247299999999997E-2</v>
      </c>
      <c r="PS8">
        <v>344367</v>
      </c>
      <c r="PT8">
        <v>8.27547E-2</v>
      </c>
      <c r="PU8">
        <v>344367</v>
      </c>
      <c r="PV8">
        <v>5.1160499999999998E-2</v>
      </c>
      <c r="PW8">
        <v>344367</v>
      </c>
      <c r="PX8">
        <v>2.94395E-2</v>
      </c>
      <c r="PY8">
        <v>344367</v>
      </c>
      <c r="PZ8">
        <v>1.37789E-2</v>
      </c>
      <c r="QA8">
        <v>344367</v>
      </c>
      <c r="QB8">
        <v>1.14384E-2</v>
      </c>
      <c r="QC8">
        <v>344367</v>
      </c>
      <c r="QD8">
        <v>3.3293000000000003E-2</v>
      </c>
      <c r="QE8">
        <v>344367</v>
      </c>
      <c r="QF8">
        <v>6.2871899999999994E-2</v>
      </c>
      <c r="QG8">
        <v>344367</v>
      </c>
      <c r="QH8">
        <v>6.6826999999999998E-2</v>
      </c>
      <c r="QI8">
        <v>344367</v>
      </c>
      <c r="QJ8">
        <v>8.5376900000000006E-2</v>
      </c>
      <c r="QK8">
        <v>344367</v>
      </c>
      <c r="QL8">
        <v>7.6453300000000002E-2</v>
      </c>
      <c r="QM8">
        <v>344367</v>
      </c>
      <c r="QN8">
        <v>8.1572900000000004E-2</v>
      </c>
      <c r="QO8">
        <v>344367</v>
      </c>
      <c r="QP8">
        <v>6.9695999999999994E-2</v>
      </c>
      <c r="QQ8">
        <v>344367</v>
      </c>
      <c r="QR8">
        <v>5.44187E-2</v>
      </c>
      <c r="QS8">
        <v>344367</v>
      </c>
      <c r="QT8">
        <v>2.07134E-2</v>
      </c>
      <c r="QU8">
        <v>344367</v>
      </c>
      <c r="QV8">
        <v>2.2952299999999998E-2</v>
      </c>
      <c r="QW8">
        <v>344367</v>
      </c>
      <c r="QX8">
        <v>1.57623E-2</v>
      </c>
      <c r="QY8">
        <v>344367</v>
      </c>
      <c r="QZ8">
        <v>1.4060599999999999E-2</v>
      </c>
      <c r="RA8">
        <v>344367</v>
      </c>
      <c r="RB8">
        <v>1.8358300000000001E-2</v>
      </c>
      <c r="RC8">
        <v>344367</v>
      </c>
      <c r="RD8">
        <v>1.41593E-2</v>
      </c>
      <c r="RE8">
        <v>344367</v>
      </c>
      <c r="RF8">
        <v>8.3166999999999998E-3</v>
      </c>
      <c r="RG8">
        <v>344367</v>
      </c>
      <c r="RH8">
        <v>5.4564000000000001E-3</v>
      </c>
      <c r="RI8">
        <v>685251</v>
      </c>
      <c r="RJ8">
        <v>0.49745859999999997</v>
      </c>
      <c r="RK8">
        <v>340884</v>
      </c>
      <c r="RL8">
        <v>7.41367E-2</v>
      </c>
      <c r="RM8">
        <v>340884</v>
      </c>
      <c r="RN8">
        <v>8.2426899999999997E-2</v>
      </c>
      <c r="RO8">
        <v>340884</v>
      </c>
      <c r="RP8">
        <v>7.7897499999999995E-2</v>
      </c>
      <c r="RQ8">
        <v>340884</v>
      </c>
      <c r="RR8">
        <v>4.7306399999999998E-2</v>
      </c>
      <c r="RS8">
        <v>340884</v>
      </c>
      <c r="RT8">
        <v>2.6440100000000001E-2</v>
      </c>
      <c r="RU8">
        <v>340884</v>
      </c>
      <c r="RV8">
        <v>1.55801E-2</v>
      </c>
      <c r="RW8">
        <v>340884</v>
      </c>
      <c r="RX8">
        <v>9.9945999999999993E-3</v>
      </c>
      <c r="RY8">
        <v>340884</v>
      </c>
      <c r="RZ8">
        <v>3.1257E-2</v>
      </c>
      <c r="SA8">
        <v>340884</v>
      </c>
      <c r="SB8">
        <v>6.1475500000000002E-2</v>
      </c>
      <c r="SC8">
        <v>340884</v>
      </c>
      <c r="SD8">
        <v>6.2871800000000005E-2</v>
      </c>
      <c r="SE8">
        <v>340884</v>
      </c>
      <c r="SF8">
        <v>8.0452599999999999E-2</v>
      </c>
      <c r="SG8">
        <v>340884</v>
      </c>
      <c r="SH8">
        <v>7.9557900000000001E-2</v>
      </c>
      <c r="SI8">
        <v>340884</v>
      </c>
      <c r="SJ8">
        <v>8.0989400000000003E-2</v>
      </c>
      <c r="SK8">
        <v>340884</v>
      </c>
      <c r="SL8">
        <v>6.9803799999999999E-2</v>
      </c>
      <c r="SM8">
        <v>340884</v>
      </c>
      <c r="SN8">
        <v>5.95305E-2</v>
      </c>
      <c r="SO8">
        <v>340884</v>
      </c>
      <c r="SP8">
        <v>1.6583400000000002E-2</v>
      </c>
      <c r="SQ8">
        <v>340884</v>
      </c>
      <c r="SR8">
        <v>2.4266300000000001E-2</v>
      </c>
      <c r="SS8">
        <v>340884</v>
      </c>
      <c r="ST8">
        <v>1.5588899999999999E-2</v>
      </c>
      <c r="SU8">
        <v>340884</v>
      </c>
      <c r="SV8">
        <v>1.7507399999999999E-2</v>
      </c>
      <c r="SW8">
        <v>340884</v>
      </c>
      <c r="SX8">
        <v>2.3770599999999999E-2</v>
      </c>
      <c r="SY8">
        <v>340884</v>
      </c>
      <c r="SZ8">
        <v>1.77333E-2</v>
      </c>
      <c r="TA8">
        <v>340884</v>
      </c>
      <c r="TB8">
        <v>1.2182999999999999E-2</v>
      </c>
      <c r="TC8">
        <v>340884</v>
      </c>
      <c r="TD8">
        <v>1.26465E-2</v>
      </c>
      <c r="TE8">
        <v>538657</v>
      </c>
      <c r="TF8">
        <v>0.50248680000000001</v>
      </c>
      <c r="TG8">
        <v>75155</v>
      </c>
      <c r="TH8">
        <v>0.4985829</v>
      </c>
      <c r="TI8"/>
      <c r="TJ8"/>
      <c r="TK8">
        <v>27946</v>
      </c>
      <c r="TL8">
        <v>0.48708220000000002</v>
      </c>
      <c r="TM8"/>
      <c r="TN8"/>
      <c r="TO8">
        <v>31107</v>
      </c>
      <c r="TP8">
        <v>0.50978880000000004</v>
      </c>
      <c r="TQ8">
        <v>11739</v>
      </c>
      <c r="TR8">
        <v>0.53820599999999996</v>
      </c>
      <c r="TS8">
        <v>470845</v>
      </c>
      <c r="TT8">
        <v>0.49868849999999998</v>
      </c>
      <c r="TU8">
        <v>102339</v>
      </c>
      <c r="TV8">
        <v>0.52844950000000002</v>
      </c>
      <c r="TW8">
        <v>538657</v>
      </c>
      <c r="TX8">
        <v>0.49751329999999999</v>
      </c>
      <c r="TY8">
        <v>75155</v>
      </c>
      <c r="TZ8">
        <v>0.50141709999999995</v>
      </c>
      <c r="UA8"/>
      <c r="UB8"/>
      <c r="UC8">
        <v>27946</v>
      </c>
      <c r="UD8">
        <v>0.51291779999999998</v>
      </c>
      <c r="UE8"/>
      <c r="UF8"/>
      <c r="UG8">
        <v>31107</v>
      </c>
      <c r="UH8">
        <v>0.49021120000000001</v>
      </c>
      <c r="UI8">
        <v>11739</v>
      </c>
      <c r="UJ8">
        <v>0.46179399999999998</v>
      </c>
      <c r="UK8">
        <v>470845</v>
      </c>
      <c r="UL8">
        <v>0.50131150000000002</v>
      </c>
      <c r="UM8">
        <v>102339</v>
      </c>
      <c r="UN8">
        <v>0.47155039999999998</v>
      </c>
      <c r="UO8">
        <v>169333</v>
      </c>
      <c r="UP8">
        <v>169333</v>
      </c>
      <c r="UQ8">
        <v>169333</v>
      </c>
      <c r="UR8">
        <v>140781</v>
      </c>
      <c r="US8">
        <v>140781</v>
      </c>
      <c r="UT8">
        <v>140781</v>
      </c>
      <c r="UU8">
        <v>3.2479999999999998E-4</v>
      </c>
      <c r="UV8">
        <v>0.89561400000000002</v>
      </c>
      <c r="UW8">
        <v>0.10406120000000001</v>
      </c>
      <c r="UX8">
        <v>7.316E-4</v>
      </c>
      <c r="UY8">
        <v>0.92507510000000004</v>
      </c>
      <c r="UZ8">
        <v>7.4193300000000004E-2</v>
      </c>
      <c r="VA8">
        <v>10440</v>
      </c>
      <c r="VB8">
        <v>0</v>
      </c>
      <c r="VC8">
        <v>10440</v>
      </c>
      <c r="VD8">
        <v>0.74070879999999995</v>
      </c>
      <c r="VE8">
        <v>10440</v>
      </c>
      <c r="VF8">
        <v>0.2592912</v>
      </c>
      <c r="VG8">
        <v>19677</v>
      </c>
      <c r="VH8">
        <v>0</v>
      </c>
      <c r="VI8">
        <v>19677</v>
      </c>
      <c r="VJ8">
        <v>0.81297960000000002</v>
      </c>
      <c r="VK8">
        <v>19677</v>
      </c>
      <c r="VL8">
        <v>0.1870204</v>
      </c>
      <c r="VM8">
        <v>21651</v>
      </c>
      <c r="VN8">
        <v>2.5403000000000001E-3</v>
      </c>
      <c r="VO8">
        <v>21651</v>
      </c>
      <c r="VP8">
        <v>0.91224430000000001</v>
      </c>
      <c r="VQ8">
        <v>21651</v>
      </c>
      <c r="VR8">
        <v>8.52155E-2</v>
      </c>
      <c r="VS8">
        <v>53557</v>
      </c>
      <c r="VT8">
        <v>0</v>
      </c>
      <c r="VU8">
        <v>53557</v>
      </c>
      <c r="VV8">
        <v>0.93985850000000004</v>
      </c>
      <c r="VW8">
        <v>53557</v>
      </c>
      <c r="VX8">
        <v>6.0141500000000001E-2</v>
      </c>
      <c r="VY8">
        <v>47625</v>
      </c>
      <c r="VZ8">
        <v>0</v>
      </c>
      <c r="WA8">
        <v>47625</v>
      </c>
      <c r="WB8">
        <v>0.90261420000000003</v>
      </c>
      <c r="WC8">
        <v>47625</v>
      </c>
      <c r="WD8">
        <v>9.7385799999999995E-2</v>
      </c>
      <c r="WE8">
        <v>16383</v>
      </c>
      <c r="WF8">
        <v>0</v>
      </c>
      <c r="WG8">
        <v>16383</v>
      </c>
      <c r="WH8">
        <v>0.90661049999999999</v>
      </c>
      <c r="WI8">
        <v>16383</v>
      </c>
      <c r="WJ8">
        <v>9.33895E-2</v>
      </c>
      <c r="WK8">
        <v>8024</v>
      </c>
      <c r="WL8">
        <v>0</v>
      </c>
      <c r="WM8">
        <v>8024</v>
      </c>
      <c r="WN8">
        <v>0.90864900000000004</v>
      </c>
      <c r="WO8">
        <v>8024</v>
      </c>
      <c r="WP8">
        <v>9.1351000000000002E-2</v>
      </c>
      <c r="WQ8">
        <v>17490</v>
      </c>
      <c r="WR8">
        <v>0</v>
      </c>
      <c r="WS8">
        <v>17490</v>
      </c>
      <c r="WT8">
        <v>0.89736990000000005</v>
      </c>
      <c r="WU8">
        <v>17490</v>
      </c>
      <c r="WV8">
        <v>0.1026301</v>
      </c>
      <c r="WW8">
        <v>17511</v>
      </c>
      <c r="WX8">
        <v>0</v>
      </c>
      <c r="WY8">
        <v>17511</v>
      </c>
      <c r="WZ8">
        <v>0.90891440000000001</v>
      </c>
      <c r="XA8">
        <v>17511</v>
      </c>
      <c r="XB8">
        <v>9.1085600000000003E-2</v>
      </c>
      <c r="XC8">
        <v>41195</v>
      </c>
      <c r="XD8">
        <v>2.5003E-3</v>
      </c>
      <c r="XE8">
        <v>41195</v>
      </c>
      <c r="XF8">
        <v>0.94103650000000005</v>
      </c>
      <c r="XG8">
        <v>41195</v>
      </c>
      <c r="XH8">
        <v>5.6463199999999998E-2</v>
      </c>
      <c r="XI8">
        <v>41209</v>
      </c>
      <c r="XJ8">
        <v>0</v>
      </c>
      <c r="XK8">
        <v>41209</v>
      </c>
      <c r="XL8">
        <v>0.93380090000000004</v>
      </c>
      <c r="XM8">
        <v>41209</v>
      </c>
      <c r="XN8">
        <v>6.6199099999999997E-2</v>
      </c>
      <c r="XO8">
        <v>15352</v>
      </c>
      <c r="XP8">
        <v>0</v>
      </c>
      <c r="XQ8">
        <v>15352</v>
      </c>
      <c r="XR8">
        <v>0.91740489999999997</v>
      </c>
      <c r="XS8">
        <v>15352</v>
      </c>
      <c r="XT8">
        <v>8.2595100000000005E-2</v>
      </c>
      <c r="XU8">
        <v>450559</v>
      </c>
      <c r="XV8">
        <v>0.50711010000000001</v>
      </c>
      <c r="XW8">
        <v>228483</v>
      </c>
      <c r="XX8">
        <v>0.86366600000000004</v>
      </c>
      <c r="XY8">
        <v>228483</v>
      </c>
      <c r="XZ8">
        <v>0.13633400000000001</v>
      </c>
      <c r="YA8">
        <v>197333</v>
      </c>
      <c r="YB8">
        <v>0.8500048</v>
      </c>
      <c r="YC8">
        <v>167734</v>
      </c>
      <c r="YD8">
        <v>0.80382629999999999</v>
      </c>
      <c r="YE8">
        <v>167734</v>
      </c>
      <c r="YF8">
        <v>1.9966100000000001E-2</v>
      </c>
      <c r="YG8">
        <v>167734</v>
      </c>
      <c r="YH8">
        <v>4.6877799999999997E-2</v>
      </c>
      <c r="YI8">
        <v>167734</v>
      </c>
      <c r="YJ8">
        <v>6.3356300000000004E-2</v>
      </c>
      <c r="YK8">
        <v>167734</v>
      </c>
      <c r="YL8">
        <v>3.7344799999999997E-2</v>
      </c>
      <c r="YM8">
        <v>167734</v>
      </c>
      <c r="YN8">
        <v>2.86287E-2</v>
      </c>
      <c r="YO8">
        <v>197333</v>
      </c>
      <c r="YP8">
        <v>0.1247789</v>
      </c>
      <c r="YQ8">
        <v>24623</v>
      </c>
      <c r="YR8">
        <v>0.41948580000000002</v>
      </c>
      <c r="YS8">
        <v>24623</v>
      </c>
      <c r="YT8">
        <v>2.35146E-2</v>
      </c>
      <c r="YU8">
        <v>24623</v>
      </c>
      <c r="YV8">
        <v>7.7854000000000007E-2</v>
      </c>
      <c r="YW8">
        <v>24623</v>
      </c>
      <c r="YX8">
        <v>0.20761080000000001</v>
      </c>
      <c r="YY8">
        <v>24623</v>
      </c>
      <c r="YZ8">
        <v>0.1238679</v>
      </c>
      <c r="ZA8">
        <v>24623</v>
      </c>
      <c r="ZB8">
        <v>0.14766679999999999</v>
      </c>
      <c r="ZC8">
        <v>197333</v>
      </c>
      <c r="ZD8">
        <v>2.5216300000000001E-2</v>
      </c>
      <c r="ZE8">
        <v>4976</v>
      </c>
      <c r="ZF8">
        <v>0.26587620000000001</v>
      </c>
      <c r="ZG8">
        <v>4976</v>
      </c>
      <c r="ZH8">
        <v>7.8778100000000004E-2</v>
      </c>
      <c r="ZI8">
        <v>4976</v>
      </c>
      <c r="ZJ8">
        <v>0.12520100000000001</v>
      </c>
      <c r="ZK8">
        <v>4976</v>
      </c>
      <c r="ZL8">
        <v>9.0233099999999997E-2</v>
      </c>
      <c r="ZM8">
        <v>4976</v>
      </c>
      <c r="ZN8">
        <v>0.1221865</v>
      </c>
      <c r="ZO8">
        <v>4976</v>
      </c>
      <c r="ZP8">
        <v>0.31772509999999998</v>
      </c>
      <c r="ZQ8">
        <v>450559</v>
      </c>
      <c r="ZR8">
        <v>0.49288989999999999</v>
      </c>
      <c r="ZS8">
        <v>222076</v>
      </c>
      <c r="ZT8">
        <v>0.75491269999999999</v>
      </c>
      <c r="ZU8">
        <v>222076</v>
      </c>
      <c r="ZV8">
        <v>0.24508730000000001</v>
      </c>
      <c r="ZW8">
        <v>167648</v>
      </c>
      <c r="ZX8">
        <v>0.64377150000000005</v>
      </c>
      <c r="ZY8">
        <v>107927</v>
      </c>
      <c r="ZZ8">
        <v>0.83991959999999999</v>
      </c>
      <c r="AAA8">
        <v>107927</v>
      </c>
      <c r="AAB8">
        <v>1.02662E-2</v>
      </c>
      <c r="AAC8">
        <v>107927</v>
      </c>
      <c r="AAD8">
        <v>4.9060899999999998E-2</v>
      </c>
      <c r="AAE8">
        <v>107927</v>
      </c>
      <c r="AAF8">
        <v>4.1389099999999998E-2</v>
      </c>
      <c r="AAG8">
        <v>107927</v>
      </c>
      <c r="AAH8">
        <v>3.6218899999999998E-2</v>
      </c>
      <c r="AAI8">
        <v>107927</v>
      </c>
      <c r="AAJ8">
        <v>2.3145300000000001E-2</v>
      </c>
      <c r="AAK8">
        <v>167648</v>
      </c>
      <c r="AAL8">
        <v>0.29242220000000002</v>
      </c>
      <c r="AAM8">
        <v>49024</v>
      </c>
      <c r="AAN8">
        <v>0.56372390000000006</v>
      </c>
      <c r="AAO8">
        <v>49024</v>
      </c>
      <c r="AAP8">
        <v>3.2453500000000003E-2</v>
      </c>
      <c r="AAQ8">
        <v>49024</v>
      </c>
      <c r="AAR8">
        <v>8.0021999999999996E-2</v>
      </c>
      <c r="AAS8">
        <v>49024</v>
      </c>
      <c r="AAT8">
        <v>0.1187378</v>
      </c>
      <c r="AAU8">
        <v>49024</v>
      </c>
      <c r="AAV8">
        <v>9.5565399999999995E-2</v>
      </c>
      <c r="AAW8">
        <v>49024</v>
      </c>
      <c r="AAX8">
        <v>0.10949739999999999</v>
      </c>
      <c r="AAY8">
        <v>167648</v>
      </c>
      <c r="AAZ8">
        <v>6.3806299999999996E-2</v>
      </c>
      <c r="ABA8">
        <v>10697</v>
      </c>
      <c r="ABB8">
        <v>0.30915209999999999</v>
      </c>
      <c r="ABC8">
        <v>10697</v>
      </c>
      <c r="ABD8">
        <v>1.09376E-2</v>
      </c>
      <c r="ABE8">
        <v>10697</v>
      </c>
      <c r="ABF8">
        <v>7.7872300000000005E-2</v>
      </c>
      <c r="ABG8">
        <v>10697</v>
      </c>
      <c r="ABH8">
        <v>0.12667100000000001</v>
      </c>
      <c r="ABI8">
        <v>10697</v>
      </c>
      <c r="ABJ8">
        <v>0.12227730000000001</v>
      </c>
      <c r="ABK8">
        <v>10697</v>
      </c>
      <c r="ABL8">
        <v>0.35308970000000001</v>
      </c>
      <c r="ABM8">
        <v>216703</v>
      </c>
      <c r="ABN8">
        <v>0.7709492</v>
      </c>
      <c r="ABO8">
        <v>167067</v>
      </c>
      <c r="ABP8">
        <v>0.81230880000000005</v>
      </c>
      <c r="ABQ8">
        <v>167067</v>
      </c>
      <c r="ABR8">
        <v>0.1876912</v>
      </c>
      <c r="ABS8">
        <v>31357</v>
      </c>
      <c r="ABT8">
        <v>0.27320850000000002</v>
      </c>
      <c r="ABU8">
        <v>31357</v>
      </c>
      <c r="ABV8">
        <v>0.72679139999999998</v>
      </c>
      <c r="ABW8">
        <v>216703</v>
      </c>
      <c r="ABX8">
        <v>0.2290508</v>
      </c>
      <c r="ABY8">
        <v>49636</v>
      </c>
      <c r="ABZ8">
        <v>0.81223299999999998</v>
      </c>
      <c r="ACA8">
        <v>49636</v>
      </c>
      <c r="ACB8">
        <v>0.18776689999999999</v>
      </c>
      <c r="ACC8">
        <v>521338</v>
      </c>
      <c r="ACD8">
        <v>0.49944179999999999</v>
      </c>
      <c r="ACE8">
        <v>260378</v>
      </c>
      <c r="ACF8">
        <v>0.31943179999999999</v>
      </c>
      <c r="ACG8">
        <v>83173</v>
      </c>
      <c r="ACH8">
        <v>0.2111382</v>
      </c>
      <c r="ACI8">
        <v>83173</v>
      </c>
      <c r="ACJ8">
        <v>0.1196542</v>
      </c>
      <c r="ACK8">
        <v>83173</v>
      </c>
      <c r="ACL8">
        <v>0.23530470000000001</v>
      </c>
      <c r="ACM8">
        <v>83173</v>
      </c>
      <c r="ACN8">
        <v>0.17297679999999999</v>
      </c>
      <c r="ACO8">
        <v>83173</v>
      </c>
      <c r="ACP8">
        <v>9.5619999999999997E-2</v>
      </c>
      <c r="ACQ8">
        <v>83173</v>
      </c>
      <c r="ACR8">
        <v>6.2953099999999998E-2</v>
      </c>
      <c r="ACS8">
        <v>83173</v>
      </c>
      <c r="ACT8">
        <v>2.3721599999999999E-2</v>
      </c>
      <c r="ACU8">
        <v>83173</v>
      </c>
      <c r="ACV8">
        <v>3.4410200000000002E-2</v>
      </c>
      <c r="ACW8">
        <v>83173</v>
      </c>
      <c r="ACX8">
        <v>1.6820399999999999E-2</v>
      </c>
      <c r="ACY8">
        <v>83173</v>
      </c>
      <c r="ACZ8">
        <v>1.02317E-2</v>
      </c>
      <c r="ADA8">
        <v>83173</v>
      </c>
      <c r="ADB8">
        <v>8.5123999999999998E-3</v>
      </c>
      <c r="ADC8">
        <v>83173</v>
      </c>
      <c r="ADD8">
        <v>5.6749000000000001E-3</v>
      </c>
      <c r="ADE8">
        <v>83173</v>
      </c>
      <c r="ADF8">
        <v>2.2483E-3</v>
      </c>
      <c r="ADG8">
        <v>83173</v>
      </c>
      <c r="ADH8">
        <v>7.3340000000000005E-4</v>
      </c>
      <c r="ADI8">
        <v>260378</v>
      </c>
      <c r="ADJ8">
        <v>0.58479979999999998</v>
      </c>
      <c r="ADK8">
        <v>152269</v>
      </c>
      <c r="ADL8">
        <v>0.93949519999999997</v>
      </c>
      <c r="ADM8">
        <v>143056</v>
      </c>
      <c r="ADN8">
        <v>0</v>
      </c>
      <c r="ADO8">
        <v>143056</v>
      </c>
      <c r="ADP8">
        <v>0</v>
      </c>
      <c r="ADQ8">
        <v>143056</v>
      </c>
      <c r="ADR8">
        <v>3.2295000000000002E-3</v>
      </c>
      <c r="ADS8">
        <v>143056</v>
      </c>
      <c r="ADT8">
        <v>3.8068999999999999E-2</v>
      </c>
      <c r="ADU8">
        <v>143056</v>
      </c>
      <c r="ADV8">
        <v>8.4742999999999999E-2</v>
      </c>
      <c r="ADW8">
        <v>143056</v>
      </c>
      <c r="ADX8">
        <v>0.14005699999999999</v>
      </c>
      <c r="ADY8">
        <v>143056</v>
      </c>
      <c r="ADZ8">
        <v>0.14237079999999999</v>
      </c>
      <c r="AEA8">
        <v>143056</v>
      </c>
      <c r="AEB8">
        <v>0.1423778</v>
      </c>
      <c r="AEC8">
        <v>143056</v>
      </c>
      <c r="AED8">
        <v>0.1292711</v>
      </c>
      <c r="AEE8">
        <v>143056</v>
      </c>
      <c r="AEF8">
        <v>0.10155459999999999</v>
      </c>
      <c r="AEG8">
        <v>143056</v>
      </c>
      <c r="AEH8">
        <v>7.8465800000000002E-2</v>
      </c>
      <c r="AEI8">
        <v>143056</v>
      </c>
      <c r="AEJ8">
        <v>9.1369800000000001E-2</v>
      </c>
      <c r="AEK8">
        <v>143056</v>
      </c>
      <c r="AEL8">
        <v>4.0187100000000003E-2</v>
      </c>
      <c r="AEM8">
        <v>143056</v>
      </c>
      <c r="AEN8">
        <v>8.3044E-3</v>
      </c>
      <c r="AEO8">
        <v>152269</v>
      </c>
      <c r="AEP8">
        <v>6.0504799999999997E-2</v>
      </c>
      <c r="AEQ8">
        <v>9213</v>
      </c>
      <c r="AER8">
        <v>0.24552260000000001</v>
      </c>
      <c r="AES8">
        <v>2262</v>
      </c>
      <c r="AET8">
        <v>0</v>
      </c>
      <c r="AEU8">
        <v>2262</v>
      </c>
      <c r="AEV8">
        <v>0</v>
      </c>
      <c r="AEW8">
        <v>2262</v>
      </c>
      <c r="AEX8">
        <v>0</v>
      </c>
      <c r="AEY8">
        <v>2262</v>
      </c>
      <c r="AEZ8">
        <v>6.1449999999999998E-2</v>
      </c>
      <c r="AFA8">
        <v>2262</v>
      </c>
      <c r="AFB8">
        <v>0.25685229999999998</v>
      </c>
      <c r="AFC8">
        <v>2262</v>
      </c>
      <c r="AFD8">
        <v>0.1675508</v>
      </c>
      <c r="AFE8">
        <v>2262</v>
      </c>
      <c r="AFF8">
        <v>2.38727E-2</v>
      </c>
      <c r="AFG8">
        <v>2262</v>
      </c>
      <c r="AFH8">
        <v>6.1892099999999999E-2</v>
      </c>
      <c r="AFI8">
        <v>2262</v>
      </c>
      <c r="AFJ8">
        <v>0.10521659999999999</v>
      </c>
      <c r="AFK8">
        <v>2262</v>
      </c>
      <c r="AFL8">
        <v>7.5596800000000006E-2</v>
      </c>
      <c r="AFM8">
        <v>2262</v>
      </c>
      <c r="AFN8">
        <v>0.14986740000000001</v>
      </c>
      <c r="AFO8">
        <v>2262</v>
      </c>
      <c r="AFP8">
        <v>5.6587100000000001E-2</v>
      </c>
      <c r="AFQ8">
        <v>2262</v>
      </c>
      <c r="AFR8">
        <v>4.1114100000000001E-2</v>
      </c>
      <c r="AFS8">
        <v>2262</v>
      </c>
      <c r="AFT8">
        <v>0</v>
      </c>
      <c r="AFU8">
        <v>9213</v>
      </c>
      <c r="AFV8">
        <v>0.75447739999999996</v>
      </c>
      <c r="AFW8">
        <v>6951</v>
      </c>
      <c r="AFX8">
        <v>8.2003000000000006E-3</v>
      </c>
      <c r="AFY8">
        <v>6951</v>
      </c>
      <c r="AFZ8">
        <v>2.67587E-2</v>
      </c>
      <c r="AGA8">
        <v>6951</v>
      </c>
      <c r="AGB8">
        <v>1.66882E-2</v>
      </c>
      <c r="AGC8">
        <v>6951</v>
      </c>
      <c r="AGD8">
        <v>0.15364700000000001</v>
      </c>
      <c r="AGE8">
        <v>6951</v>
      </c>
      <c r="AGF8">
        <v>7.6535800000000001E-2</v>
      </c>
      <c r="AGG8">
        <v>6951</v>
      </c>
      <c r="AGH8">
        <v>0.13120409999999999</v>
      </c>
      <c r="AGI8">
        <v>6951</v>
      </c>
      <c r="AGJ8">
        <v>9.9554000000000004E-2</v>
      </c>
      <c r="AGK8">
        <v>6951</v>
      </c>
      <c r="AGL8">
        <v>7.4953199999999998E-2</v>
      </c>
      <c r="AGM8">
        <v>6951</v>
      </c>
      <c r="AGN8">
        <v>3.8267900000000001E-2</v>
      </c>
      <c r="AGO8">
        <v>6951</v>
      </c>
      <c r="AGP8">
        <v>0.1055963</v>
      </c>
      <c r="AGQ8">
        <v>6951</v>
      </c>
      <c r="AGR8">
        <v>0.16616310000000001</v>
      </c>
      <c r="AGS8">
        <v>6951</v>
      </c>
      <c r="AGT8">
        <v>4.27277E-2</v>
      </c>
      <c r="AGU8">
        <v>6951</v>
      </c>
      <c r="AGV8">
        <v>4.2583799999999998E-2</v>
      </c>
      <c r="AGW8">
        <v>6951</v>
      </c>
      <c r="AGX8">
        <v>1.7119800000000001E-2</v>
      </c>
      <c r="AGY8">
        <v>260378</v>
      </c>
      <c r="AGZ8">
        <v>1.6476000000000001E-2</v>
      </c>
      <c r="AHA8">
        <v>4290</v>
      </c>
      <c r="AHB8">
        <v>0</v>
      </c>
      <c r="AHC8">
        <v>4290</v>
      </c>
      <c r="AHD8">
        <v>0</v>
      </c>
      <c r="AHE8">
        <v>4290</v>
      </c>
      <c r="AHF8">
        <v>0</v>
      </c>
      <c r="AHG8">
        <v>4290</v>
      </c>
      <c r="AHH8">
        <v>0</v>
      </c>
      <c r="AHI8">
        <v>4290</v>
      </c>
      <c r="AHJ8">
        <v>0</v>
      </c>
      <c r="AHK8">
        <v>4290</v>
      </c>
      <c r="AHL8">
        <v>2.96037E-2</v>
      </c>
      <c r="AHM8">
        <v>4290</v>
      </c>
      <c r="AHN8">
        <v>1.7715600000000001E-2</v>
      </c>
      <c r="AHO8">
        <v>4290</v>
      </c>
      <c r="AHP8">
        <v>5.2447599999999997E-2</v>
      </c>
      <c r="AHQ8">
        <v>4290</v>
      </c>
      <c r="AHR8">
        <v>0.10209790000000001</v>
      </c>
      <c r="AHS8">
        <v>4290</v>
      </c>
      <c r="AHT8">
        <v>7.1794899999999995E-2</v>
      </c>
      <c r="AHU8">
        <v>4290</v>
      </c>
      <c r="AHV8">
        <v>8.9277400000000007E-2</v>
      </c>
      <c r="AHW8">
        <v>4290</v>
      </c>
      <c r="AHX8">
        <v>0.27832170000000001</v>
      </c>
      <c r="AHY8">
        <v>4290</v>
      </c>
      <c r="AHZ8">
        <v>0.23962700000000001</v>
      </c>
      <c r="AIA8">
        <v>4290</v>
      </c>
      <c r="AIB8">
        <v>0.1191142</v>
      </c>
      <c r="AIC8">
        <v>260378</v>
      </c>
      <c r="AID8">
        <v>7.9292399999999999E-2</v>
      </c>
      <c r="AIE8">
        <v>20646</v>
      </c>
      <c r="AIF8">
        <v>0</v>
      </c>
      <c r="AIG8">
        <v>20646</v>
      </c>
      <c r="AIH8">
        <v>0</v>
      </c>
      <c r="AII8">
        <v>20646</v>
      </c>
      <c r="AIJ8">
        <v>0</v>
      </c>
      <c r="AIK8">
        <v>20646</v>
      </c>
      <c r="AIL8">
        <v>2.9594100000000002E-2</v>
      </c>
      <c r="AIM8">
        <v>20646</v>
      </c>
      <c r="AIN8">
        <v>8.8346400000000005E-2</v>
      </c>
      <c r="AIO8">
        <v>20646</v>
      </c>
      <c r="AIP8">
        <v>0.1313087</v>
      </c>
      <c r="AIQ8">
        <v>20646</v>
      </c>
      <c r="AIR8">
        <v>0.15334690000000001</v>
      </c>
      <c r="AIS8">
        <v>20646</v>
      </c>
      <c r="AIT8">
        <v>0.19253120000000001</v>
      </c>
      <c r="AIU8">
        <v>20646</v>
      </c>
      <c r="AIV8">
        <v>0.15339530000000001</v>
      </c>
      <c r="AIW8">
        <v>20646</v>
      </c>
      <c r="AIX8">
        <v>0.10403949999999999</v>
      </c>
      <c r="AIY8">
        <v>20646</v>
      </c>
      <c r="AIZ8">
        <v>5.9430400000000001E-2</v>
      </c>
      <c r="AJA8">
        <v>20646</v>
      </c>
      <c r="AJB8">
        <v>6.9262799999999999E-2</v>
      </c>
      <c r="AJC8">
        <v>20646</v>
      </c>
      <c r="AJD8">
        <v>1.87446E-2</v>
      </c>
      <c r="AJE8">
        <v>20646</v>
      </c>
      <c r="AJF8">
        <v>0</v>
      </c>
      <c r="AJG8">
        <v>521338</v>
      </c>
      <c r="AJH8">
        <v>0.50055819999999995</v>
      </c>
      <c r="AJI8">
        <v>260960</v>
      </c>
      <c r="AJJ8">
        <v>0.26646229999999999</v>
      </c>
      <c r="AJK8">
        <v>69536</v>
      </c>
      <c r="AJL8">
        <v>0.2311465</v>
      </c>
      <c r="AJM8">
        <v>69536</v>
      </c>
      <c r="AJN8">
        <v>0.12589159999999999</v>
      </c>
      <c r="AJO8">
        <v>69536</v>
      </c>
      <c r="AJP8">
        <v>0.24562819999999999</v>
      </c>
      <c r="AJQ8">
        <v>69536</v>
      </c>
      <c r="AJR8">
        <v>0.14450070000000001</v>
      </c>
      <c r="AJS8">
        <v>69536</v>
      </c>
      <c r="AJT8">
        <v>5.6776300000000002E-2</v>
      </c>
      <c r="AJU8">
        <v>69536</v>
      </c>
      <c r="AJV8">
        <v>5.08657E-2</v>
      </c>
      <c r="AJW8">
        <v>69536</v>
      </c>
      <c r="AJX8">
        <v>2.55839E-2</v>
      </c>
      <c r="AJY8">
        <v>69536</v>
      </c>
      <c r="AJZ8">
        <v>4.6724000000000002E-2</v>
      </c>
      <c r="AKA8">
        <v>69536</v>
      </c>
      <c r="AKB8">
        <v>3.0890500000000001E-2</v>
      </c>
      <c r="AKC8">
        <v>69536</v>
      </c>
      <c r="AKD8">
        <v>1.23246E-2</v>
      </c>
      <c r="AKE8">
        <v>69536</v>
      </c>
      <c r="AKF8">
        <v>1.7012800000000002E-2</v>
      </c>
      <c r="AKG8">
        <v>69536</v>
      </c>
      <c r="AKH8">
        <v>7.6939E-3</v>
      </c>
      <c r="AKI8">
        <v>69536</v>
      </c>
      <c r="AKJ8">
        <v>1.5675000000000001E-3</v>
      </c>
      <c r="AKK8">
        <v>69536</v>
      </c>
      <c r="AKL8">
        <v>3.3939E-3</v>
      </c>
      <c r="AKM8">
        <v>260960</v>
      </c>
      <c r="AKN8">
        <v>0.56433929999999999</v>
      </c>
      <c r="AKO8">
        <v>147270</v>
      </c>
      <c r="AKP8">
        <v>0.93530250000000004</v>
      </c>
      <c r="AKQ8">
        <v>137742</v>
      </c>
      <c r="AKR8">
        <v>3.8479999999999997E-4</v>
      </c>
      <c r="AKS8">
        <v>137742</v>
      </c>
      <c r="AKT8">
        <v>0</v>
      </c>
      <c r="AKU8">
        <v>137742</v>
      </c>
      <c r="AKV8">
        <v>1.06649E-2</v>
      </c>
      <c r="AKW8">
        <v>137742</v>
      </c>
      <c r="AKX8">
        <v>6.25227E-2</v>
      </c>
      <c r="AKY8">
        <v>137742</v>
      </c>
      <c r="AKZ8">
        <v>0.1011238</v>
      </c>
      <c r="ALA8">
        <v>137742</v>
      </c>
      <c r="ALB8">
        <v>0.13734370000000001</v>
      </c>
      <c r="ALC8">
        <v>137742</v>
      </c>
      <c r="ALD8">
        <v>0.1493081</v>
      </c>
      <c r="ALE8">
        <v>137742</v>
      </c>
      <c r="ALF8">
        <v>0.1363346</v>
      </c>
      <c r="ALG8">
        <v>137742</v>
      </c>
      <c r="ALH8">
        <v>0.11787980000000001</v>
      </c>
      <c r="ALI8">
        <v>137742</v>
      </c>
      <c r="ALJ8">
        <v>9.9483100000000005E-2</v>
      </c>
      <c r="ALK8">
        <v>137742</v>
      </c>
      <c r="ALL8">
        <v>6.9717299999999996E-2</v>
      </c>
      <c r="ALM8">
        <v>137742</v>
      </c>
      <c r="ALN8">
        <v>8.5369799999999996E-2</v>
      </c>
      <c r="ALO8">
        <v>137742</v>
      </c>
      <c r="ALP8">
        <v>2.5700199999999999E-2</v>
      </c>
      <c r="ALQ8">
        <v>137742</v>
      </c>
      <c r="ALR8">
        <v>4.1672000000000002E-3</v>
      </c>
      <c r="ALS8">
        <v>147270</v>
      </c>
      <c r="ALT8">
        <v>6.4697500000000005E-2</v>
      </c>
      <c r="ALU8">
        <v>9528</v>
      </c>
      <c r="ALV8">
        <v>0.44028129999999999</v>
      </c>
      <c r="ALW8">
        <v>4195</v>
      </c>
      <c r="ALX8">
        <v>0</v>
      </c>
      <c r="ALY8">
        <v>4195</v>
      </c>
      <c r="ALZ8">
        <v>0</v>
      </c>
      <c r="AMA8">
        <v>4195</v>
      </c>
      <c r="AMB8">
        <v>2.5983300000000001E-2</v>
      </c>
      <c r="AMC8">
        <v>4195</v>
      </c>
      <c r="AMD8">
        <v>3.3849799999999999E-2</v>
      </c>
      <c r="AME8">
        <v>4195</v>
      </c>
      <c r="AMF8">
        <v>0.1053635</v>
      </c>
      <c r="AMG8">
        <v>4195</v>
      </c>
      <c r="AMH8">
        <v>0.22908220000000001</v>
      </c>
      <c r="AMI8">
        <v>4195</v>
      </c>
      <c r="AMJ8">
        <v>0.16662689999999999</v>
      </c>
      <c r="AMK8">
        <v>4195</v>
      </c>
      <c r="AML8">
        <v>0.10727059999999999</v>
      </c>
      <c r="AMM8">
        <v>4195</v>
      </c>
      <c r="AMN8">
        <v>0.1289631</v>
      </c>
      <c r="AMO8">
        <v>4195</v>
      </c>
      <c r="AMP8">
        <v>8.4624599999999994E-2</v>
      </c>
      <c r="AMQ8">
        <v>4195</v>
      </c>
      <c r="AMR8">
        <v>5.0774699999999999E-2</v>
      </c>
      <c r="AMS8">
        <v>4195</v>
      </c>
      <c r="AMT8">
        <v>6.7461300000000002E-2</v>
      </c>
      <c r="AMU8">
        <v>4195</v>
      </c>
      <c r="AMV8">
        <v>0</v>
      </c>
      <c r="AMW8">
        <v>4195</v>
      </c>
      <c r="AMX8">
        <v>0</v>
      </c>
      <c r="AMY8">
        <v>9528</v>
      </c>
      <c r="AMZ8">
        <v>0.55971870000000001</v>
      </c>
      <c r="ANA8">
        <v>5333</v>
      </c>
      <c r="ANB8">
        <v>0</v>
      </c>
      <c r="ANC8">
        <v>5333</v>
      </c>
      <c r="AND8">
        <v>4.8565499999999998E-2</v>
      </c>
      <c r="ANE8">
        <v>5333</v>
      </c>
      <c r="ANF8">
        <v>0.13407089999999999</v>
      </c>
      <c r="ANG8">
        <v>5333</v>
      </c>
      <c r="ANH8">
        <v>0.13744609999999999</v>
      </c>
      <c r="ANI8">
        <v>5333</v>
      </c>
      <c r="ANJ8">
        <v>0.20795050000000001</v>
      </c>
      <c r="ANK8">
        <v>5333</v>
      </c>
      <c r="ANL8">
        <v>0</v>
      </c>
      <c r="ANM8">
        <v>5333</v>
      </c>
      <c r="ANN8">
        <v>6.5441600000000003E-2</v>
      </c>
      <c r="ANO8">
        <v>5333</v>
      </c>
      <c r="ANP8">
        <v>0.1070692</v>
      </c>
      <c r="ANQ8">
        <v>5333</v>
      </c>
      <c r="ANR8">
        <v>3.2439500000000003E-2</v>
      </c>
      <c r="ANS8">
        <v>5333</v>
      </c>
      <c r="ANT8">
        <v>0.1200075</v>
      </c>
      <c r="ANU8">
        <v>5333</v>
      </c>
      <c r="ANV8">
        <v>0</v>
      </c>
      <c r="ANW8">
        <v>5333</v>
      </c>
      <c r="ANX8">
        <v>9.3755900000000003E-2</v>
      </c>
      <c r="ANY8">
        <v>5333</v>
      </c>
      <c r="ANZ8">
        <v>4.2752699999999998E-2</v>
      </c>
      <c r="AOA8">
        <v>5333</v>
      </c>
      <c r="AOB8">
        <v>1.05007E-2</v>
      </c>
      <c r="AOC8">
        <v>260960</v>
      </c>
      <c r="AOD8">
        <v>6.7263199999999995E-2</v>
      </c>
      <c r="AOE8">
        <v>17553</v>
      </c>
      <c r="AOF8">
        <v>0</v>
      </c>
      <c r="AOG8">
        <v>17553</v>
      </c>
      <c r="AOH8">
        <v>0</v>
      </c>
      <c r="AOI8">
        <v>17553</v>
      </c>
      <c r="AOJ8">
        <v>0</v>
      </c>
      <c r="AOK8">
        <v>17553</v>
      </c>
      <c r="AOL8">
        <v>5.7540000000000004E-3</v>
      </c>
      <c r="AOM8">
        <v>17553</v>
      </c>
      <c r="AON8">
        <v>0</v>
      </c>
      <c r="AOO8">
        <v>17553</v>
      </c>
      <c r="AOP8">
        <v>1.4584400000000001E-2</v>
      </c>
      <c r="AOQ8">
        <v>17553</v>
      </c>
      <c r="AOR8">
        <v>0</v>
      </c>
      <c r="AOS8">
        <v>17553</v>
      </c>
      <c r="AOT8">
        <v>2.9624600000000001E-2</v>
      </c>
      <c r="AOU8">
        <v>17553</v>
      </c>
      <c r="AOV8">
        <v>4.1759200000000003E-2</v>
      </c>
      <c r="AOW8">
        <v>17553</v>
      </c>
      <c r="AOX8">
        <v>6.5345E-2</v>
      </c>
      <c r="AOY8">
        <v>17553</v>
      </c>
      <c r="AOZ8">
        <v>8.3119700000000005E-2</v>
      </c>
      <c r="APA8">
        <v>17553</v>
      </c>
      <c r="APB8">
        <v>0.26690589999999997</v>
      </c>
      <c r="APC8">
        <v>17553</v>
      </c>
      <c r="APD8">
        <v>0.31185550000000001</v>
      </c>
      <c r="APE8">
        <v>17553</v>
      </c>
      <c r="APF8">
        <v>0.18105170000000001</v>
      </c>
      <c r="APG8">
        <v>260960</v>
      </c>
      <c r="APH8">
        <v>0.1019352</v>
      </c>
      <c r="API8">
        <v>26601</v>
      </c>
      <c r="APJ8">
        <v>0</v>
      </c>
      <c r="APK8">
        <v>26601</v>
      </c>
      <c r="APL8">
        <v>0</v>
      </c>
      <c r="APM8">
        <v>26601</v>
      </c>
      <c r="APN8">
        <v>0</v>
      </c>
      <c r="APO8">
        <v>26601</v>
      </c>
      <c r="APP8">
        <v>4.9622199999999998E-2</v>
      </c>
      <c r="APQ8">
        <v>26601</v>
      </c>
      <c r="APR8">
        <v>7.53355E-2</v>
      </c>
      <c r="APS8">
        <v>26601</v>
      </c>
      <c r="APT8">
        <v>0.14108490000000001</v>
      </c>
      <c r="APU8">
        <v>26601</v>
      </c>
      <c r="APV8">
        <v>0.1401075</v>
      </c>
      <c r="APW8">
        <v>26601</v>
      </c>
      <c r="APX8">
        <v>0.15183640000000001</v>
      </c>
      <c r="APY8">
        <v>26601</v>
      </c>
      <c r="APZ8">
        <v>0.14897940000000001</v>
      </c>
      <c r="AQA8">
        <v>26601</v>
      </c>
      <c r="AQB8">
        <v>0.1349949</v>
      </c>
      <c r="AQC8">
        <v>26601</v>
      </c>
      <c r="AQD8">
        <v>5.5148299999999997E-2</v>
      </c>
      <c r="AQE8">
        <v>26601</v>
      </c>
      <c r="AQF8">
        <v>6.1012700000000003E-2</v>
      </c>
      <c r="AQG8">
        <v>26601</v>
      </c>
      <c r="AQH8">
        <v>3.1840899999999998E-2</v>
      </c>
      <c r="AQI8">
        <v>26601</v>
      </c>
      <c r="AQJ8">
        <v>1.00372E-2</v>
      </c>
      <c r="AQK8">
        <v>85429</v>
      </c>
      <c r="AQL8">
        <v>0.16504930000000001</v>
      </c>
      <c r="AQM8">
        <v>216703</v>
      </c>
      <c r="AQN8">
        <v>0.84839160000000002</v>
      </c>
      <c r="AQO8">
        <v>183849</v>
      </c>
      <c r="AQP8">
        <v>0.81382010000000005</v>
      </c>
      <c r="AQQ8">
        <v>149620</v>
      </c>
      <c r="AQR8">
        <v>0.85584150000000003</v>
      </c>
      <c r="AQS8">
        <v>128051</v>
      </c>
      <c r="AQT8">
        <v>0.50001960000000001</v>
      </c>
      <c r="AQU8">
        <v>128051</v>
      </c>
      <c r="AQV8">
        <v>0.49998049999999999</v>
      </c>
      <c r="AQW8">
        <v>149620</v>
      </c>
      <c r="AQX8">
        <v>0.14415849999999999</v>
      </c>
      <c r="AQY8">
        <v>21569</v>
      </c>
      <c r="AQZ8">
        <v>0.3139691</v>
      </c>
      <c r="ARA8">
        <v>6772</v>
      </c>
      <c r="ARB8">
        <v>0.46337859999999997</v>
      </c>
      <c r="ARC8">
        <v>6772</v>
      </c>
      <c r="ARD8">
        <v>0.53662140000000003</v>
      </c>
      <c r="ARE8">
        <v>21569</v>
      </c>
      <c r="ARF8">
        <v>0.6860309</v>
      </c>
      <c r="ARG8">
        <v>14797</v>
      </c>
      <c r="ARH8">
        <v>0.54071769999999997</v>
      </c>
      <c r="ARI8">
        <v>14797</v>
      </c>
      <c r="ARJ8">
        <v>0.45928229999999998</v>
      </c>
      <c r="ARK8">
        <v>183849</v>
      </c>
      <c r="ARL8">
        <v>0.18618000000000001</v>
      </c>
      <c r="ARM8">
        <v>216703</v>
      </c>
      <c r="ARN8">
        <v>0.1516084</v>
      </c>
      <c r="ARO8">
        <v>32854</v>
      </c>
      <c r="ARP8">
        <v>0.53104649999999998</v>
      </c>
      <c r="ARQ8">
        <v>17447</v>
      </c>
      <c r="ARR8">
        <v>0.43898670000000001</v>
      </c>
      <c r="ARS8">
        <v>7659</v>
      </c>
      <c r="ART8">
        <v>0.47447450000000002</v>
      </c>
      <c r="ARU8">
        <v>7659</v>
      </c>
      <c r="ARV8">
        <v>0.52552549999999998</v>
      </c>
      <c r="ARW8">
        <v>17447</v>
      </c>
      <c r="ARX8">
        <v>0.56101330000000005</v>
      </c>
      <c r="ARY8">
        <v>9788</v>
      </c>
      <c r="ARZ8">
        <v>0.18338779999999999</v>
      </c>
      <c r="ASA8">
        <v>1795</v>
      </c>
      <c r="ASB8">
        <v>0.29470750000000001</v>
      </c>
      <c r="ASC8">
        <v>1795</v>
      </c>
      <c r="ASD8">
        <v>0.70529249999999999</v>
      </c>
      <c r="ASE8">
        <v>9788</v>
      </c>
      <c r="ASF8">
        <v>0.81661220000000001</v>
      </c>
      <c r="ASG8">
        <v>7993</v>
      </c>
      <c r="ASH8">
        <v>0.76304269999999996</v>
      </c>
      <c r="ASI8">
        <v>7993</v>
      </c>
      <c r="ASJ8">
        <v>0.23695730000000001</v>
      </c>
      <c r="ASK8">
        <v>32854</v>
      </c>
      <c r="ASL8">
        <v>0.46895350000000002</v>
      </c>
      <c r="ASM8">
        <v>227643</v>
      </c>
      <c r="ASN8">
        <v>0.59704449999999998</v>
      </c>
      <c r="ASO8">
        <v>135913</v>
      </c>
      <c r="ASP8">
        <v>0.36892720000000001</v>
      </c>
      <c r="ASQ8">
        <v>50142</v>
      </c>
      <c r="ASR8">
        <v>0.56389849999999997</v>
      </c>
      <c r="ASS8">
        <v>28275</v>
      </c>
      <c r="AST8">
        <v>0.80049510000000001</v>
      </c>
      <c r="ASU8">
        <v>28275</v>
      </c>
      <c r="ASV8">
        <v>0.19950490000000001</v>
      </c>
      <c r="ASW8">
        <v>50142</v>
      </c>
      <c r="ASX8">
        <v>0.43610149999999998</v>
      </c>
      <c r="ASY8">
        <v>21867</v>
      </c>
      <c r="ASZ8">
        <v>0.2288837</v>
      </c>
      <c r="ATA8">
        <v>21867</v>
      </c>
      <c r="ATB8">
        <v>0.2290209</v>
      </c>
      <c r="ATC8">
        <v>21867</v>
      </c>
      <c r="ATD8">
        <v>5.7118000000000002E-2</v>
      </c>
      <c r="ATE8">
        <v>50142</v>
      </c>
      <c r="ATF8">
        <v>2.60261E-2</v>
      </c>
      <c r="ATG8">
        <v>1305</v>
      </c>
      <c r="ATH8">
        <v>0.58467440000000004</v>
      </c>
      <c r="ATI8">
        <v>1305</v>
      </c>
      <c r="ATJ8">
        <v>3.1103450000000001</v>
      </c>
      <c r="ATK8">
        <v>1305</v>
      </c>
      <c r="ATL8">
        <v>1.127969</v>
      </c>
      <c r="ATM8">
        <v>1305</v>
      </c>
      <c r="ATN8">
        <v>2.3034479999999999</v>
      </c>
      <c r="ATO8">
        <v>50142</v>
      </c>
      <c r="ATP8">
        <v>3.5419399999999997E-2</v>
      </c>
      <c r="ATQ8">
        <v>1776</v>
      </c>
      <c r="ATR8">
        <v>0.69256759999999995</v>
      </c>
      <c r="ATS8">
        <v>1776</v>
      </c>
      <c r="ATT8">
        <v>7.4037160000000002</v>
      </c>
      <c r="ATU8">
        <v>135913</v>
      </c>
      <c r="ATV8">
        <v>2.6340000000000001E-3</v>
      </c>
      <c r="ATW8">
        <v>358</v>
      </c>
      <c r="ATX8">
        <v>12.435750000000001</v>
      </c>
      <c r="ATY8">
        <v>358</v>
      </c>
      <c r="ATZ8">
        <v>3.555866</v>
      </c>
      <c r="AUA8">
        <v>1273</v>
      </c>
      <c r="AUB8">
        <v>2.4972509999999999</v>
      </c>
      <c r="AUC8">
        <v>1273</v>
      </c>
      <c r="AUD8">
        <v>1.999214</v>
      </c>
      <c r="AUE8">
        <v>358</v>
      </c>
      <c r="AUF8">
        <v>13.96369</v>
      </c>
      <c r="AUG8">
        <v>358</v>
      </c>
      <c r="AUH8">
        <v>2.2206700000000001</v>
      </c>
      <c r="AUI8">
        <v>358</v>
      </c>
      <c r="AUJ8">
        <v>72.421790000000001</v>
      </c>
      <c r="AUK8">
        <v>135913</v>
      </c>
      <c r="AUL8">
        <v>0.12605859999999999</v>
      </c>
      <c r="AUM8">
        <v>17133</v>
      </c>
      <c r="AUN8">
        <v>0.51327849999999997</v>
      </c>
      <c r="AUO8">
        <v>17133</v>
      </c>
      <c r="AUP8">
        <v>1.41248E-2</v>
      </c>
      <c r="AUQ8">
        <v>135913</v>
      </c>
      <c r="AUR8">
        <v>0.1549741</v>
      </c>
      <c r="AUS8">
        <v>21063</v>
      </c>
      <c r="AUT8">
        <v>0.52694300000000005</v>
      </c>
      <c r="AUU8">
        <v>21063</v>
      </c>
      <c r="AUV8">
        <v>0.47305700000000001</v>
      </c>
      <c r="AUW8">
        <v>21063</v>
      </c>
      <c r="AUX8">
        <v>1.2054309999999999</v>
      </c>
      <c r="AUY8">
        <v>135913</v>
      </c>
      <c r="AUZ8">
        <v>7.96539E-2</v>
      </c>
      <c r="AVA8">
        <v>10826</v>
      </c>
      <c r="AVB8">
        <v>1.34528</v>
      </c>
      <c r="AVC8">
        <v>10826</v>
      </c>
      <c r="AVD8">
        <v>0.1577683</v>
      </c>
      <c r="AVE8">
        <v>10826</v>
      </c>
      <c r="AVF8">
        <v>0.61592460000000004</v>
      </c>
      <c r="AVG8">
        <v>227643</v>
      </c>
      <c r="AVH8">
        <v>2.7182899999999999E-2</v>
      </c>
      <c r="AVI8">
        <v>6188</v>
      </c>
      <c r="AVJ8">
        <v>14.82385</v>
      </c>
      <c r="AVK8">
        <v>91730</v>
      </c>
      <c r="AVL8">
        <v>0.45364660000000001</v>
      </c>
      <c r="AVM8">
        <v>41613</v>
      </c>
      <c r="AVN8">
        <v>0.40078819999999998</v>
      </c>
      <c r="AVO8">
        <v>41613</v>
      </c>
      <c r="AVP8">
        <v>0.2490328</v>
      </c>
      <c r="AVQ8">
        <v>91730</v>
      </c>
      <c r="AVR8">
        <v>6.8843299999999996E-2</v>
      </c>
      <c r="AVS8">
        <v>6315</v>
      </c>
      <c r="AVT8">
        <v>3.9485350000000001</v>
      </c>
      <c r="AVU8">
        <v>6315</v>
      </c>
      <c r="AVV8">
        <v>0.2389549</v>
      </c>
      <c r="AVW8">
        <v>6315</v>
      </c>
      <c r="AVX8">
        <v>3.43626E-2</v>
      </c>
      <c r="AVY8">
        <v>91730</v>
      </c>
      <c r="AVZ8">
        <v>4.8839E-3</v>
      </c>
      <c r="AWA8">
        <v>448</v>
      </c>
      <c r="AWB8">
        <v>3.7209819999999998</v>
      </c>
      <c r="AWC8">
        <v>448</v>
      </c>
      <c r="AWD8">
        <v>3.082589</v>
      </c>
      <c r="AWE8">
        <v>448</v>
      </c>
      <c r="AWF8">
        <v>18.816970000000001</v>
      </c>
      <c r="AWG8">
        <v>448</v>
      </c>
      <c r="AWH8">
        <v>2.198661</v>
      </c>
      <c r="AWI8">
        <v>91730</v>
      </c>
      <c r="AWJ8">
        <v>0.1122643</v>
      </c>
      <c r="AWK8">
        <v>10298</v>
      </c>
      <c r="AWL8">
        <v>0.71577009999999996</v>
      </c>
      <c r="AWM8">
        <v>10298</v>
      </c>
      <c r="AWN8">
        <v>0.28422989999999998</v>
      </c>
      <c r="AWO8">
        <v>6188</v>
      </c>
      <c r="AWP8">
        <v>1.9534579999999999</v>
      </c>
      <c r="AWQ8">
        <v>12088</v>
      </c>
      <c r="AWR8">
        <v>0.26364989999999999</v>
      </c>
      <c r="AWS8">
        <v>12088</v>
      </c>
      <c r="AWT8">
        <v>0.10175380000000001</v>
      </c>
      <c r="AWU8">
        <v>1230</v>
      </c>
      <c r="AWV8">
        <v>0.77317069999999999</v>
      </c>
      <c r="AWW8">
        <v>1230</v>
      </c>
      <c r="AWX8">
        <v>0.22682930000000001</v>
      </c>
      <c r="AWY8">
        <v>12088</v>
      </c>
      <c r="AWZ8">
        <v>0.17695230000000001</v>
      </c>
      <c r="AXA8">
        <v>12088</v>
      </c>
      <c r="AXB8">
        <v>0.13277630000000001</v>
      </c>
      <c r="AXC8">
        <v>12088</v>
      </c>
      <c r="AXD8">
        <v>0.32486759999999998</v>
      </c>
      <c r="AXE8">
        <v>6188</v>
      </c>
      <c r="AXF8">
        <v>5.401745</v>
      </c>
      <c r="AXG8">
        <v>33426</v>
      </c>
      <c r="AXH8">
        <v>0.25013459999999998</v>
      </c>
      <c r="AXI8">
        <v>33426</v>
      </c>
      <c r="AXJ8">
        <v>0.74986540000000002</v>
      </c>
      <c r="AXK8">
        <v>6188</v>
      </c>
      <c r="AXL8">
        <v>5.9792999999999999E-3</v>
      </c>
      <c r="AXM8">
        <v>37</v>
      </c>
      <c r="AXN8">
        <v>1.405405</v>
      </c>
      <c r="AXO8">
        <v>37</v>
      </c>
      <c r="AXP8">
        <v>0</v>
      </c>
      <c r="AXQ8">
        <v>37</v>
      </c>
      <c r="AXR8">
        <v>1.405405</v>
      </c>
      <c r="AXS8">
        <v>6188</v>
      </c>
      <c r="AXT8">
        <v>0.72947640000000002</v>
      </c>
      <c r="AXU8">
        <v>4514</v>
      </c>
      <c r="AXV8">
        <v>0.56136470000000005</v>
      </c>
      <c r="AXW8">
        <v>4514</v>
      </c>
      <c r="AXX8">
        <v>0.43863530000000001</v>
      </c>
      <c r="AXY8">
        <v>4514</v>
      </c>
      <c r="AXZ8">
        <v>1.7501099999999999E-2</v>
      </c>
      <c r="AYA8">
        <v>30287</v>
      </c>
      <c r="AYB8">
        <v>1.12259E-2</v>
      </c>
      <c r="AYC8">
        <v>30287</v>
      </c>
      <c r="AYD8">
        <v>0.16984179999999999</v>
      </c>
      <c r="AYE8">
        <v>30287</v>
      </c>
      <c r="AYF8">
        <v>0.32238250000000002</v>
      </c>
      <c r="AYG8">
        <v>30287</v>
      </c>
      <c r="AYH8">
        <v>0.38947399999999999</v>
      </c>
      <c r="AYI8">
        <v>30287</v>
      </c>
      <c r="AYJ8">
        <v>3.7540900000000002E-2</v>
      </c>
      <c r="AYK8">
        <v>30287</v>
      </c>
      <c r="AYL8">
        <v>6.5770800000000004E-2</v>
      </c>
      <c r="AYM8">
        <v>30287</v>
      </c>
      <c r="AYN8">
        <v>3.764E-3</v>
      </c>
      <c r="AYO8">
        <v>44664</v>
      </c>
      <c r="AYP8">
        <v>5.1585199999999998E-2</v>
      </c>
      <c r="AYQ8">
        <v>44664</v>
      </c>
      <c r="AYR8">
        <v>7.1287799999999998E-2</v>
      </c>
      <c r="AYS8">
        <v>44664</v>
      </c>
      <c r="AYT8">
        <v>0.29968210000000001</v>
      </c>
      <c r="AYU8">
        <v>44664</v>
      </c>
      <c r="AYV8">
        <v>0.25268669999999999</v>
      </c>
      <c r="AYW8">
        <v>44664</v>
      </c>
      <c r="AYX8">
        <v>6.9563899999999998E-2</v>
      </c>
      <c r="AYY8">
        <v>44664</v>
      </c>
      <c r="AYZ8">
        <v>0.19969100000000001</v>
      </c>
      <c r="AZA8">
        <v>44664</v>
      </c>
      <c r="AZB8">
        <v>5.5503299999999998E-2</v>
      </c>
      <c r="AZC8">
        <v>55729</v>
      </c>
      <c r="AZD8">
        <v>3.05227E-2</v>
      </c>
      <c r="AZE8">
        <v>55729</v>
      </c>
      <c r="AZF8">
        <v>7.2816699999999998E-2</v>
      </c>
      <c r="AZG8">
        <v>55729</v>
      </c>
      <c r="AZH8">
        <v>0.24945719999999999</v>
      </c>
      <c r="AZI8">
        <v>55729</v>
      </c>
      <c r="AZJ8">
        <v>0.22313340000000001</v>
      </c>
      <c r="AZK8">
        <v>55729</v>
      </c>
      <c r="AZL8">
        <v>6.4885399999999996E-2</v>
      </c>
      <c r="AZM8">
        <v>55729</v>
      </c>
      <c r="AZN8">
        <v>0.23232069999999999</v>
      </c>
      <c r="AZO8">
        <v>55729</v>
      </c>
      <c r="AZP8">
        <v>0.1268639</v>
      </c>
      <c r="AZQ8">
        <v>85869</v>
      </c>
      <c r="AZR8">
        <v>2.94285E-2</v>
      </c>
      <c r="AZS8">
        <v>85869</v>
      </c>
      <c r="AZT8">
        <v>6.4668299999999998E-2</v>
      </c>
      <c r="AZU8">
        <v>85869</v>
      </c>
      <c r="AZV8">
        <v>0.27467419999999998</v>
      </c>
      <c r="AZW8">
        <v>85869</v>
      </c>
      <c r="AZX8">
        <v>0.2421596</v>
      </c>
      <c r="AZY8">
        <v>85869</v>
      </c>
      <c r="AZZ8">
        <v>7.9900799999999994E-2</v>
      </c>
      <c r="BAA8">
        <v>85869</v>
      </c>
      <c r="BAB8">
        <v>0.1848979</v>
      </c>
      <c r="BAC8">
        <v>85869</v>
      </c>
      <c r="BAD8">
        <v>0.1242707</v>
      </c>
      <c r="BAE8">
        <v>26211</v>
      </c>
      <c r="BAF8">
        <v>9.6982200000000005E-2</v>
      </c>
      <c r="BAG8">
        <v>26211</v>
      </c>
      <c r="BAH8">
        <v>9.1984300000000005E-2</v>
      </c>
      <c r="BAI8">
        <v>26211</v>
      </c>
      <c r="BAJ8">
        <v>0.33798790000000001</v>
      </c>
      <c r="BAK8">
        <v>26211</v>
      </c>
      <c r="BAL8">
        <v>0.19533780000000001</v>
      </c>
      <c r="BAM8">
        <v>26211</v>
      </c>
      <c r="BAN8">
        <v>3.51379E-2</v>
      </c>
      <c r="BAO8">
        <v>26211</v>
      </c>
      <c r="BAP8">
        <v>0.15462970000000001</v>
      </c>
      <c r="BAQ8">
        <v>26211</v>
      </c>
      <c r="BAR8">
        <v>8.7940199999999996E-2</v>
      </c>
      <c r="BAS8">
        <v>28386</v>
      </c>
      <c r="BAT8">
        <v>1.8565499999999999E-2</v>
      </c>
      <c r="BAU8">
        <v>28386</v>
      </c>
      <c r="BAV8">
        <v>0.1303107</v>
      </c>
      <c r="BAW8">
        <v>28386</v>
      </c>
      <c r="BAX8">
        <v>0.30962450000000002</v>
      </c>
      <c r="BAY8">
        <v>28386</v>
      </c>
      <c r="BAZ8">
        <v>0.3559853</v>
      </c>
      <c r="BBA8">
        <v>28386</v>
      </c>
      <c r="BBB8">
        <v>7.4649499999999994E-2</v>
      </c>
      <c r="BBC8">
        <v>28386</v>
      </c>
      <c r="BBD8">
        <v>0.10244490000000001</v>
      </c>
      <c r="BBE8">
        <v>28386</v>
      </c>
      <c r="BBF8">
        <v>8.4195999999999993E-3</v>
      </c>
      <c r="BBG8">
        <v>42388</v>
      </c>
      <c r="BBH8">
        <v>2.588E-2</v>
      </c>
      <c r="BBI8">
        <v>42388</v>
      </c>
      <c r="BBJ8">
        <v>4.6616999999999999E-2</v>
      </c>
      <c r="BBK8">
        <v>42388</v>
      </c>
      <c r="BBL8">
        <v>0.20420869999999999</v>
      </c>
      <c r="BBM8">
        <v>42388</v>
      </c>
      <c r="BBN8">
        <v>0.24606020000000001</v>
      </c>
      <c r="BBO8">
        <v>42388</v>
      </c>
      <c r="BBP8">
        <v>8.5401500000000005E-2</v>
      </c>
      <c r="BBQ8">
        <v>42388</v>
      </c>
      <c r="BBR8">
        <v>0.26663209999999998</v>
      </c>
      <c r="BBS8">
        <v>42388</v>
      </c>
      <c r="BBT8">
        <v>0.12520049999999999</v>
      </c>
      <c r="BBU8">
        <v>54545</v>
      </c>
      <c r="BBV8">
        <v>4.4000400000000002E-2</v>
      </c>
      <c r="BBW8">
        <v>54545</v>
      </c>
      <c r="BBX8">
        <v>2.8563600000000001E-2</v>
      </c>
      <c r="BBY8">
        <v>54545</v>
      </c>
      <c r="BBZ8">
        <v>0.20297000000000001</v>
      </c>
      <c r="BCA8">
        <v>54545</v>
      </c>
      <c r="BCB8">
        <v>0.24640210000000001</v>
      </c>
      <c r="BCC8">
        <v>54545</v>
      </c>
      <c r="BCD8">
        <v>8.3105700000000005E-2</v>
      </c>
      <c r="BCE8">
        <v>54545</v>
      </c>
      <c r="BCF8">
        <v>0.26554220000000001</v>
      </c>
      <c r="BCG8">
        <v>54545</v>
      </c>
      <c r="BCH8">
        <v>0.12941610000000001</v>
      </c>
      <c r="BCI8">
        <v>85621</v>
      </c>
      <c r="BCJ8">
        <v>2.95955E-2</v>
      </c>
      <c r="BCK8">
        <v>85621</v>
      </c>
      <c r="BCL8">
        <v>4.0445700000000001E-2</v>
      </c>
      <c r="BCM8">
        <v>85621</v>
      </c>
      <c r="BCN8">
        <v>0.29430859999999998</v>
      </c>
      <c r="BCO8">
        <v>85621</v>
      </c>
      <c r="BCP8">
        <v>0.27907870000000001</v>
      </c>
      <c r="BCQ8">
        <v>85621</v>
      </c>
      <c r="BCR8">
        <v>8.5773299999999997E-2</v>
      </c>
      <c r="BCS8">
        <v>85621</v>
      </c>
      <c r="BCT8">
        <v>0.1643288</v>
      </c>
      <c r="BCU8">
        <v>85621</v>
      </c>
      <c r="BCV8">
        <v>0.1064692</v>
      </c>
      <c r="BCW8">
        <v>33894</v>
      </c>
      <c r="BCX8">
        <v>0.130082</v>
      </c>
      <c r="BCY8">
        <v>33894</v>
      </c>
      <c r="BCZ8">
        <v>8.1400799999999995E-2</v>
      </c>
      <c r="BDA8">
        <v>33894</v>
      </c>
      <c r="BDB8">
        <v>0.46379890000000001</v>
      </c>
      <c r="BDC8">
        <v>33894</v>
      </c>
      <c r="BDD8">
        <v>0.1631852</v>
      </c>
      <c r="BDE8">
        <v>33894</v>
      </c>
      <c r="BDF8">
        <v>3.05659E-2</v>
      </c>
      <c r="BDG8">
        <v>33894</v>
      </c>
      <c r="BDH8">
        <v>6.9186300000000006E-2</v>
      </c>
      <c r="BDI8">
        <v>33894</v>
      </c>
      <c r="BDJ8">
        <v>6.1780799999999997E-2</v>
      </c>
      <c r="BDK8">
        <v>170215</v>
      </c>
      <c r="BDL8">
        <v>5.6980900000000001E-2</v>
      </c>
      <c r="BDM8">
        <v>9699</v>
      </c>
      <c r="BDN8">
        <v>0.69718530000000001</v>
      </c>
      <c r="BDO8">
        <v>6762</v>
      </c>
      <c r="BDP8">
        <v>0.69831410000000005</v>
      </c>
      <c r="BDQ8">
        <v>6762</v>
      </c>
      <c r="BDR8">
        <v>0.30168590000000001</v>
      </c>
      <c r="BDS8">
        <v>9699</v>
      </c>
      <c r="BDT8">
        <v>0.30281469999999999</v>
      </c>
      <c r="BDU8">
        <v>2937</v>
      </c>
      <c r="BDV8">
        <v>0.65645220000000004</v>
      </c>
      <c r="BDW8">
        <v>2937</v>
      </c>
      <c r="BDX8">
        <v>0.34354790000000002</v>
      </c>
      <c r="BDY8">
        <v>170215</v>
      </c>
      <c r="BDZ8">
        <v>0.94301919999999995</v>
      </c>
      <c r="BEA8">
        <v>160516</v>
      </c>
      <c r="BEB8">
        <v>0.54017669999999995</v>
      </c>
      <c r="BEC8">
        <v>86707</v>
      </c>
      <c r="BED8">
        <v>0.74617960000000005</v>
      </c>
      <c r="BEE8">
        <v>86707</v>
      </c>
      <c r="BEF8">
        <v>0.2538203</v>
      </c>
      <c r="BEG8">
        <v>160516</v>
      </c>
      <c r="BEH8">
        <v>0.45982329999999999</v>
      </c>
      <c r="BEI8">
        <v>73809</v>
      </c>
      <c r="BEJ8">
        <v>0.7745261</v>
      </c>
      <c r="BEK8">
        <v>73809</v>
      </c>
      <c r="BEL8">
        <v>0.2254739</v>
      </c>
      <c r="BEM8">
        <v>323324</v>
      </c>
      <c r="BEN8">
        <v>0.5395702</v>
      </c>
      <c r="BEO8">
        <v>174456</v>
      </c>
      <c r="BEP8">
        <v>0.86598909999999996</v>
      </c>
      <c r="BEQ8">
        <v>151077</v>
      </c>
      <c r="BER8">
        <v>0.21279219999999999</v>
      </c>
      <c r="BES8">
        <v>151077</v>
      </c>
      <c r="BET8">
        <v>0.78720780000000001</v>
      </c>
      <c r="BEU8">
        <v>174456</v>
      </c>
      <c r="BEV8">
        <v>0.13401089999999999</v>
      </c>
      <c r="BEW8">
        <v>323324</v>
      </c>
      <c r="BEX8">
        <v>0.4604298</v>
      </c>
      <c r="BEY8">
        <v>148868</v>
      </c>
      <c r="BEZ8">
        <v>0.88834400000000002</v>
      </c>
      <c r="BFA8">
        <v>132246</v>
      </c>
      <c r="BFB8">
        <v>0.261127</v>
      </c>
      <c r="BFC8">
        <v>132246</v>
      </c>
      <c r="BFD8">
        <v>0.738873</v>
      </c>
      <c r="BFE8">
        <v>148868</v>
      </c>
      <c r="BFF8">
        <v>0.11165600000000001</v>
      </c>
      <c r="BFG8">
        <v>344367</v>
      </c>
      <c r="BFH8">
        <v>0.29505439999999999</v>
      </c>
      <c r="BFI8">
        <v>101607</v>
      </c>
      <c r="BFJ8">
        <v>0.97632050000000004</v>
      </c>
      <c r="BFK8">
        <v>101607</v>
      </c>
      <c r="BFL8">
        <v>2.3679499999999999E-2</v>
      </c>
      <c r="BFM8">
        <v>2406</v>
      </c>
      <c r="BFN8">
        <v>0.44596839999999999</v>
      </c>
      <c r="BFO8">
        <v>2406</v>
      </c>
      <c r="BFP8">
        <v>0.55403159999999996</v>
      </c>
      <c r="BFQ8">
        <v>344367</v>
      </c>
      <c r="BFR8">
        <v>0.70494559999999995</v>
      </c>
      <c r="BFS8">
        <v>242760</v>
      </c>
      <c r="BFT8">
        <v>0.84990940000000004</v>
      </c>
      <c r="BFU8">
        <v>242760</v>
      </c>
      <c r="BFV8">
        <v>0.15009059999999999</v>
      </c>
      <c r="BFW8">
        <v>36436</v>
      </c>
      <c r="BFX8">
        <v>0.4848227</v>
      </c>
      <c r="BFY8">
        <v>36436</v>
      </c>
      <c r="BFZ8">
        <v>0.51517729999999995</v>
      </c>
      <c r="BGA8">
        <v>340884</v>
      </c>
      <c r="BGB8">
        <v>0.2817674</v>
      </c>
      <c r="BGC8">
        <v>96050</v>
      </c>
      <c r="BGD8">
        <v>0.97650179999999998</v>
      </c>
      <c r="BGE8">
        <v>96050</v>
      </c>
      <c r="BGF8">
        <v>2.34982E-2</v>
      </c>
      <c r="BGG8">
        <v>2257</v>
      </c>
      <c r="BGH8">
        <v>0.35090830000000001</v>
      </c>
      <c r="BGI8">
        <v>2257</v>
      </c>
      <c r="BGJ8">
        <v>0.64909170000000005</v>
      </c>
      <c r="BGK8">
        <v>340884</v>
      </c>
      <c r="BGL8">
        <v>0.7182326</v>
      </c>
      <c r="BGM8">
        <v>244834</v>
      </c>
      <c r="BGN8">
        <v>0.85933329999999997</v>
      </c>
      <c r="BGO8">
        <v>244834</v>
      </c>
      <c r="BGP8">
        <v>0.14066670000000001</v>
      </c>
      <c r="BGQ8">
        <v>34440</v>
      </c>
      <c r="BGR8">
        <v>0.50586529999999996</v>
      </c>
      <c r="BGS8">
        <v>34440</v>
      </c>
      <c r="BGT8">
        <v>0.49413469999999998</v>
      </c>
    </row>
    <row r="9" spans="1:1554" x14ac:dyDescent="0.25">
      <c r="A9" t="s">
        <v>131</v>
      </c>
      <c r="B9">
        <v>2010</v>
      </c>
      <c r="C9">
        <v>1</v>
      </c>
      <c r="D9" t="s">
        <v>552</v>
      </c>
      <c r="E9">
        <v>57644</v>
      </c>
      <c r="F9">
        <v>0.45335160000000002</v>
      </c>
      <c r="G9">
        <v>26133</v>
      </c>
      <c r="H9">
        <v>0.13056290000000001</v>
      </c>
      <c r="I9">
        <v>26133</v>
      </c>
      <c r="J9">
        <v>2.3150799999999999E-2</v>
      </c>
      <c r="K9">
        <v>26133</v>
      </c>
      <c r="L9">
        <v>0.16102250000000001</v>
      </c>
      <c r="M9">
        <v>26133</v>
      </c>
      <c r="N9">
        <v>6.4592700000000003E-2</v>
      </c>
      <c r="O9">
        <v>26133</v>
      </c>
      <c r="P9">
        <v>4.6416399999999997E-2</v>
      </c>
      <c r="Q9">
        <v>26133</v>
      </c>
      <c r="R9">
        <v>6.7730499999999999E-2</v>
      </c>
      <c r="S9">
        <v>26133</v>
      </c>
      <c r="T9">
        <v>0.12222089999999999</v>
      </c>
      <c r="U9">
        <v>26133</v>
      </c>
      <c r="V9">
        <v>0.1076034</v>
      </c>
      <c r="W9">
        <v>26133</v>
      </c>
      <c r="X9">
        <v>9.6353300000000003E-2</v>
      </c>
      <c r="Y9">
        <v>26133</v>
      </c>
      <c r="Z9">
        <v>8.2883700000000005E-2</v>
      </c>
      <c r="AA9">
        <v>26133</v>
      </c>
      <c r="AB9">
        <v>4.5536300000000002E-2</v>
      </c>
      <c r="AC9">
        <v>26133</v>
      </c>
      <c r="AD9">
        <v>2.8661099999999998E-2</v>
      </c>
      <c r="AE9">
        <v>26133</v>
      </c>
      <c r="AF9">
        <v>2.3265600000000001E-2</v>
      </c>
      <c r="AG9">
        <v>57644</v>
      </c>
      <c r="AH9">
        <v>0.54664840000000003</v>
      </c>
      <c r="AI9">
        <v>31511</v>
      </c>
      <c r="AJ9">
        <v>0.12592429999999999</v>
      </c>
      <c r="AK9">
        <v>31511</v>
      </c>
      <c r="AL9">
        <v>1.7517700000000001E-2</v>
      </c>
      <c r="AM9">
        <v>31511</v>
      </c>
      <c r="AN9">
        <v>0.13557169999999999</v>
      </c>
      <c r="AO9">
        <v>31511</v>
      </c>
      <c r="AP9">
        <v>5.5187100000000003E-2</v>
      </c>
      <c r="AQ9">
        <v>31511</v>
      </c>
      <c r="AR9">
        <v>1.84063E-2</v>
      </c>
      <c r="AS9">
        <v>31511</v>
      </c>
      <c r="AT9">
        <v>2.8624900000000002E-2</v>
      </c>
      <c r="AU9">
        <v>31511</v>
      </c>
      <c r="AV9">
        <v>0.1084383</v>
      </c>
      <c r="AW9">
        <v>31511</v>
      </c>
      <c r="AX9">
        <v>0.1597537</v>
      </c>
      <c r="AY9">
        <v>31511</v>
      </c>
      <c r="AZ9">
        <v>0.12598780000000001</v>
      </c>
      <c r="BA9">
        <v>31511</v>
      </c>
      <c r="BB9">
        <v>8.1114500000000006E-2</v>
      </c>
      <c r="BC9">
        <v>31511</v>
      </c>
      <c r="BD9">
        <v>6.8103200000000003E-2</v>
      </c>
      <c r="BE9">
        <v>31511</v>
      </c>
      <c r="BF9">
        <v>3.6209600000000002E-2</v>
      </c>
      <c r="BG9">
        <v>31511</v>
      </c>
      <c r="BH9">
        <v>3.9160899999999998E-2</v>
      </c>
      <c r="BI9">
        <v>612286</v>
      </c>
      <c r="BJ9">
        <v>0.49953619999999999</v>
      </c>
      <c r="BK9">
        <v>305859</v>
      </c>
      <c r="BL9">
        <v>7.1049100000000004E-2</v>
      </c>
      <c r="BM9">
        <v>305859</v>
      </c>
      <c r="BN9">
        <v>1.93194E-2</v>
      </c>
      <c r="BO9">
        <v>305859</v>
      </c>
      <c r="BP9">
        <v>9.7329200000000005E-2</v>
      </c>
      <c r="BQ9">
        <v>305859</v>
      </c>
      <c r="BR9">
        <v>5.1013700000000002E-2</v>
      </c>
      <c r="BS9">
        <v>305859</v>
      </c>
      <c r="BT9">
        <v>1.74133E-2</v>
      </c>
      <c r="BU9">
        <v>305859</v>
      </c>
      <c r="BV9">
        <v>3.1321599999999998E-2</v>
      </c>
      <c r="BW9">
        <v>305859</v>
      </c>
      <c r="BX9">
        <v>7.8774899999999995E-2</v>
      </c>
      <c r="BY9">
        <v>305859</v>
      </c>
      <c r="BZ9">
        <v>0.12147429999999999</v>
      </c>
      <c r="CA9">
        <v>305859</v>
      </c>
      <c r="CB9">
        <v>0.1630163</v>
      </c>
      <c r="CC9">
        <v>305859</v>
      </c>
      <c r="CD9">
        <v>0.15938060000000001</v>
      </c>
      <c r="CE9">
        <v>305859</v>
      </c>
      <c r="CF9">
        <v>0.1066472</v>
      </c>
      <c r="CG9">
        <v>305859</v>
      </c>
      <c r="CH9">
        <v>5.4155700000000001E-2</v>
      </c>
      <c r="CI9">
        <v>305859</v>
      </c>
      <c r="CJ9">
        <v>2.91049E-2</v>
      </c>
      <c r="CK9">
        <v>612286</v>
      </c>
      <c r="CL9">
        <v>0.50046380000000001</v>
      </c>
      <c r="CM9">
        <v>306427</v>
      </c>
      <c r="CN9">
        <v>6.4762600000000003E-2</v>
      </c>
      <c r="CO9">
        <v>306427</v>
      </c>
      <c r="CP9">
        <v>1.32397E-2</v>
      </c>
      <c r="CQ9">
        <v>306427</v>
      </c>
      <c r="CR9">
        <v>9.7517499999999993E-2</v>
      </c>
      <c r="CS9">
        <v>306427</v>
      </c>
      <c r="CT9">
        <v>4.7329400000000001E-2</v>
      </c>
      <c r="CU9">
        <v>306427</v>
      </c>
      <c r="CV9">
        <v>1.4238300000000001E-2</v>
      </c>
      <c r="CW9">
        <v>306427</v>
      </c>
      <c r="CX9">
        <v>3.4203900000000002E-2</v>
      </c>
      <c r="CY9">
        <v>306427</v>
      </c>
      <c r="CZ9">
        <v>7.0062399999999997E-2</v>
      </c>
      <c r="DA9">
        <v>306427</v>
      </c>
      <c r="DB9">
        <v>0.1216831</v>
      </c>
      <c r="DC9">
        <v>306427</v>
      </c>
      <c r="DD9">
        <v>0.16502140000000001</v>
      </c>
      <c r="DE9">
        <v>306427</v>
      </c>
      <c r="DF9">
        <v>0.15774070000000001</v>
      </c>
      <c r="DG9">
        <v>306427</v>
      </c>
      <c r="DH9">
        <v>0.1077027</v>
      </c>
      <c r="DI9">
        <v>306427</v>
      </c>
      <c r="DJ9">
        <v>6.0523399999999998E-2</v>
      </c>
      <c r="DK9">
        <v>306427</v>
      </c>
      <c r="DL9">
        <v>4.5975099999999998E-2</v>
      </c>
      <c r="DM9">
        <v>421798</v>
      </c>
      <c r="DN9">
        <v>6.1934900000000001E-2</v>
      </c>
      <c r="DO9">
        <v>26124</v>
      </c>
      <c r="DP9">
        <v>0.38443579999999999</v>
      </c>
      <c r="DQ9">
        <v>203890</v>
      </c>
      <c r="DR9">
        <v>4.9257000000000002E-2</v>
      </c>
      <c r="DS9">
        <v>10043</v>
      </c>
      <c r="DT9">
        <v>0.2264264</v>
      </c>
      <c r="DU9">
        <v>19462</v>
      </c>
      <c r="DV9">
        <v>0.11684310000000001</v>
      </c>
      <c r="DW9">
        <v>10043</v>
      </c>
      <c r="DX9">
        <v>0.38036439999999999</v>
      </c>
      <c r="DY9">
        <v>58849</v>
      </c>
      <c r="DZ9">
        <v>6.4911899999999995E-2</v>
      </c>
      <c r="EA9">
        <v>10043</v>
      </c>
      <c r="EB9">
        <v>0.28039429999999999</v>
      </c>
      <c r="EC9">
        <v>63423</v>
      </c>
      <c r="ED9">
        <v>4.4400299999999997E-2</v>
      </c>
      <c r="EE9">
        <v>10043</v>
      </c>
      <c r="EF9">
        <v>0.1128149</v>
      </c>
      <c r="EG9">
        <v>62156</v>
      </c>
      <c r="EH9">
        <v>1.8228299999999999E-2</v>
      </c>
      <c r="EI9">
        <v>26124</v>
      </c>
      <c r="EJ9">
        <v>0.61556420000000001</v>
      </c>
      <c r="EK9">
        <v>217908</v>
      </c>
      <c r="EL9">
        <v>7.3797199999999993E-2</v>
      </c>
      <c r="EM9">
        <v>16081</v>
      </c>
      <c r="EN9">
        <v>0.20937749999999999</v>
      </c>
      <c r="EO9">
        <v>17642</v>
      </c>
      <c r="EP9">
        <v>0.1908514</v>
      </c>
      <c r="EQ9">
        <v>16081</v>
      </c>
      <c r="ER9">
        <v>0.28574090000000002</v>
      </c>
      <c r="ES9">
        <v>59484</v>
      </c>
      <c r="ET9">
        <v>7.7247700000000002E-2</v>
      </c>
      <c r="EU9">
        <v>16081</v>
      </c>
      <c r="EV9">
        <v>0.36832290000000001</v>
      </c>
      <c r="EW9">
        <v>71447</v>
      </c>
      <c r="EX9">
        <v>8.2900600000000005E-2</v>
      </c>
      <c r="EY9">
        <v>16081</v>
      </c>
      <c r="EZ9">
        <v>0.13655870000000001</v>
      </c>
      <c r="FA9">
        <v>69335</v>
      </c>
      <c r="FB9">
        <v>3.16723E-2</v>
      </c>
      <c r="FC9">
        <v>421798</v>
      </c>
      <c r="FD9">
        <v>0.93806509999999999</v>
      </c>
      <c r="FE9">
        <v>395674</v>
      </c>
      <c r="FF9">
        <v>0.48991590000000002</v>
      </c>
      <c r="FG9">
        <v>203890</v>
      </c>
      <c r="FH9">
        <v>0.950743</v>
      </c>
      <c r="FI9">
        <v>193847</v>
      </c>
      <c r="FJ9">
        <v>8.8667899999999994E-2</v>
      </c>
      <c r="FK9">
        <v>19462</v>
      </c>
      <c r="FL9">
        <v>0.88315690000000002</v>
      </c>
      <c r="FM9">
        <v>193847</v>
      </c>
      <c r="FN9">
        <v>0.28387849999999998</v>
      </c>
      <c r="FO9">
        <v>58849</v>
      </c>
      <c r="FP9">
        <v>0.93508809999999998</v>
      </c>
      <c r="FQ9">
        <v>193847</v>
      </c>
      <c r="FR9">
        <v>0.31265379999999998</v>
      </c>
      <c r="FS9">
        <v>63423</v>
      </c>
      <c r="FT9">
        <v>0.95559970000000005</v>
      </c>
      <c r="FU9">
        <v>193847</v>
      </c>
      <c r="FV9">
        <v>0.31479980000000002</v>
      </c>
      <c r="FW9">
        <v>62156</v>
      </c>
      <c r="FX9">
        <v>0.98177159999999997</v>
      </c>
      <c r="FY9">
        <v>395674</v>
      </c>
      <c r="FZ9">
        <v>0.51008399999999998</v>
      </c>
      <c r="GA9">
        <v>217908</v>
      </c>
      <c r="GB9">
        <v>0.92620279999999999</v>
      </c>
      <c r="GC9">
        <v>201827</v>
      </c>
      <c r="GD9">
        <v>7.0728899999999997E-2</v>
      </c>
      <c r="GE9">
        <v>17642</v>
      </c>
      <c r="GF9">
        <v>0.8091486</v>
      </c>
      <c r="GG9">
        <v>201827</v>
      </c>
      <c r="GH9">
        <v>0.2719606</v>
      </c>
      <c r="GI9">
        <v>59484</v>
      </c>
      <c r="GJ9">
        <v>0.92275229999999997</v>
      </c>
      <c r="GK9">
        <v>201827</v>
      </c>
      <c r="GL9">
        <v>0.32465430000000001</v>
      </c>
      <c r="GM9">
        <v>71447</v>
      </c>
      <c r="GN9">
        <v>0.91709940000000001</v>
      </c>
      <c r="GO9">
        <v>201827</v>
      </c>
      <c r="GP9">
        <v>0.33265620000000001</v>
      </c>
      <c r="GQ9">
        <v>69335</v>
      </c>
      <c r="GR9">
        <v>0.96832770000000001</v>
      </c>
      <c r="GS9">
        <v>496705</v>
      </c>
      <c r="GT9">
        <v>7.1283799999999994E-2</v>
      </c>
      <c r="GU9">
        <v>35407</v>
      </c>
      <c r="GV9">
        <v>0.42384270000000002</v>
      </c>
      <c r="GW9">
        <v>15007</v>
      </c>
      <c r="GX9">
        <v>0.11887789999999999</v>
      </c>
      <c r="GY9">
        <v>15007</v>
      </c>
      <c r="GZ9">
        <v>0.35976540000000001</v>
      </c>
      <c r="HA9">
        <v>15007</v>
      </c>
      <c r="HB9">
        <v>0.52135670000000001</v>
      </c>
      <c r="HC9">
        <v>15007</v>
      </c>
      <c r="HD9">
        <v>0.57186650000000006</v>
      </c>
      <c r="HE9">
        <v>15007</v>
      </c>
      <c r="HF9">
        <v>0.4281335</v>
      </c>
      <c r="HG9">
        <v>8582</v>
      </c>
      <c r="HH9">
        <v>0.56245630000000002</v>
      </c>
      <c r="HI9">
        <v>8582</v>
      </c>
      <c r="HJ9">
        <v>0.43754369999999998</v>
      </c>
      <c r="HK9">
        <v>35407</v>
      </c>
      <c r="HL9">
        <v>0.57615729999999998</v>
      </c>
      <c r="HM9">
        <v>20400</v>
      </c>
      <c r="HN9">
        <v>6.7843100000000003E-2</v>
      </c>
      <c r="HO9">
        <v>20400</v>
      </c>
      <c r="HP9">
        <v>0.30691180000000001</v>
      </c>
      <c r="HQ9">
        <v>20400</v>
      </c>
      <c r="HR9">
        <v>0.6252451</v>
      </c>
      <c r="HS9">
        <v>20400</v>
      </c>
      <c r="HT9">
        <v>0.40960790000000002</v>
      </c>
      <c r="HU9">
        <v>20400</v>
      </c>
      <c r="HV9">
        <v>0.59039220000000003</v>
      </c>
      <c r="HW9">
        <v>8356</v>
      </c>
      <c r="HX9">
        <v>0.6615605</v>
      </c>
      <c r="HY9">
        <v>8356</v>
      </c>
      <c r="HZ9">
        <v>0.3384394</v>
      </c>
      <c r="IA9">
        <v>496705</v>
      </c>
      <c r="IB9">
        <v>0.92871619999999999</v>
      </c>
      <c r="IC9">
        <v>461298</v>
      </c>
      <c r="ID9">
        <v>0.49321910000000002</v>
      </c>
      <c r="IE9">
        <v>227521</v>
      </c>
      <c r="IF9">
        <v>0.55256439999999996</v>
      </c>
      <c r="IG9">
        <v>227521</v>
      </c>
      <c r="IH9">
        <v>0.23183790000000001</v>
      </c>
      <c r="II9">
        <v>227521</v>
      </c>
      <c r="IJ9">
        <v>0.2155977</v>
      </c>
      <c r="IK9">
        <v>227384</v>
      </c>
      <c r="IL9">
        <v>0.7938113</v>
      </c>
      <c r="IM9">
        <v>227384</v>
      </c>
      <c r="IN9">
        <v>0.2061886</v>
      </c>
      <c r="IO9">
        <v>180500</v>
      </c>
      <c r="IP9">
        <v>0.88799450000000002</v>
      </c>
      <c r="IQ9">
        <v>180500</v>
      </c>
      <c r="IR9">
        <v>0.11200549999999999</v>
      </c>
      <c r="IS9">
        <v>461298</v>
      </c>
      <c r="IT9">
        <v>0.50678089999999998</v>
      </c>
      <c r="IU9">
        <v>233777</v>
      </c>
      <c r="IV9">
        <v>0.37734250000000003</v>
      </c>
      <c r="IW9">
        <v>233777</v>
      </c>
      <c r="IX9">
        <v>0.28775289999999998</v>
      </c>
      <c r="IY9">
        <v>233777</v>
      </c>
      <c r="IZ9">
        <v>0.3349046</v>
      </c>
      <c r="JA9">
        <v>233777</v>
      </c>
      <c r="JB9">
        <v>0.65774220000000005</v>
      </c>
      <c r="JC9">
        <v>233777</v>
      </c>
      <c r="JD9">
        <v>0.3422578</v>
      </c>
      <c r="JE9">
        <v>153765</v>
      </c>
      <c r="JF9">
        <v>0.91105910000000001</v>
      </c>
      <c r="JG9">
        <v>153765</v>
      </c>
      <c r="JH9">
        <v>8.8940900000000003E-2</v>
      </c>
      <c r="JI9">
        <v>169264</v>
      </c>
      <c r="JJ9">
        <v>9.7404099999999993E-2</v>
      </c>
      <c r="JK9">
        <v>16487</v>
      </c>
      <c r="JL9">
        <v>0.4782556</v>
      </c>
      <c r="JM9">
        <v>7885</v>
      </c>
      <c r="JN9">
        <v>0.73532019999999998</v>
      </c>
      <c r="JO9">
        <v>7885</v>
      </c>
      <c r="JP9">
        <v>0.73532019999999998</v>
      </c>
      <c r="JQ9">
        <v>7885</v>
      </c>
      <c r="JR9">
        <v>0.73532019999999998</v>
      </c>
      <c r="JS9">
        <v>7885</v>
      </c>
      <c r="JT9">
        <v>0.73532019999999998</v>
      </c>
      <c r="JU9">
        <v>7885</v>
      </c>
      <c r="JV9">
        <v>0.26467980000000002</v>
      </c>
      <c r="JW9">
        <v>16487</v>
      </c>
      <c r="JX9">
        <v>0.5217444</v>
      </c>
      <c r="JY9">
        <v>8602</v>
      </c>
      <c r="JZ9">
        <v>0.26726339999999998</v>
      </c>
      <c r="KA9">
        <v>2299</v>
      </c>
      <c r="KB9">
        <v>0.92605479999999996</v>
      </c>
      <c r="KC9">
        <v>2129</v>
      </c>
      <c r="KD9">
        <v>0.30671680000000001</v>
      </c>
      <c r="KE9">
        <v>2129</v>
      </c>
      <c r="KF9">
        <v>0.1315171</v>
      </c>
      <c r="KG9">
        <v>2129</v>
      </c>
      <c r="KH9">
        <v>0.56176610000000005</v>
      </c>
      <c r="KI9">
        <v>2299</v>
      </c>
      <c r="KJ9">
        <v>7.3945200000000003E-2</v>
      </c>
      <c r="KK9">
        <v>8602</v>
      </c>
      <c r="KL9">
        <v>0.73273659999999996</v>
      </c>
      <c r="KM9">
        <v>6303</v>
      </c>
      <c r="KN9">
        <v>0.86593690000000001</v>
      </c>
      <c r="KO9">
        <v>5458</v>
      </c>
      <c r="KP9">
        <v>0.22004399999999999</v>
      </c>
      <c r="KQ9">
        <v>5458</v>
      </c>
      <c r="KR9">
        <v>0.27647490000000002</v>
      </c>
      <c r="KS9">
        <v>5458</v>
      </c>
      <c r="KT9">
        <v>0.50348110000000001</v>
      </c>
      <c r="KU9">
        <v>6303</v>
      </c>
      <c r="KV9">
        <v>0.13406309999999999</v>
      </c>
      <c r="KW9">
        <v>169264</v>
      </c>
      <c r="KX9">
        <v>2.3797100000000002E-2</v>
      </c>
      <c r="KY9">
        <v>4028</v>
      </c>
      <c r="KZ9">
        <v>0.54443889999999995</v>
      </c>
      <c r="LA9">
        <v>2193</v>
      </c>
      <c r="LB9">
        <v>0.54217959999999998</v>
      </c>
      <c r="LC9">
        <v>2193</v>
      </c>
      <c r="LD9">
        <v>0.54217959999999998</v>
      </c>
      <c r="LE9">
        <v>2193</v>
      </c>
      <c r="LF9">
        <v>0.54217959999999998</v>
      </c>
      <c r="LG9">
        <v>2193</v>
      </c>
      <c r="LH9">
        <v>0.54217959999999998</v>
      </c>
      <c r="LI9">
        <v>2193</v>
      </c>
      <c r="LJ9">
        <v>0.45782030000000001</v>
      </c>
      <c r="LK9">
        <v>4028</v>
      </c>
      <c r="LL9">
        <v>0.4555611</v>
      </c>
      <c r="LM9">
        <v>1835</v>
      </c>
      <c r="LN9">
        <v>0.33787469999999997</v>
      </c>
      <c r="LO9">
        <v>620</v>
      </c>
      <c r="LP9">
        <v>0.44193549999999998</v>
      </c>
      <c r="LQ9">
        <v>274</v>
      </c>
      <c r="LR9">
        <v>1</v>
      </c>
      <c r="LS9">
        <v>274</v>
      </c>
      <c r="LT9">
        <v>0</v>
      </c>
      <c r="LU9">
        <v>274</v>
      </c>
      <c r="LV9">
        <v>0</v>
      </c>
      <c r="LW9">
        <v>620</v>
      </c>
      <c r="LX9">
        <v>0.55806449999999996</v>
      </c>
      <c r="LY9">
        <v>1835</v>
      </c>
      <c r="LZ9">
        <v>0.66212530000000003</v>
      </c>
      <c r="MA9">
        <v>1215</v>
      </c>
      <c r="MB9">
        <v>0.77777779999999996</v>
      </c>
      <c r="MC9">
        <v>945</v>
      </c>
      <c r="MD9">
        <v>6.1375699999999998E-2</v>
      </c>
      <c r="ME9">
        <v>945</v>
      </c>
      <c r="MF9">
        <v>0</v>
      </c>
      <c r="MG9">
        <v>945</v>
      </c>
      <c r="MH9">
        <v>0.93862429999999997</v>
      </c>
      <c r="MI9">
        <v>1215</v>
      </c>
      <c r="MJ9">
        <v>0.22222220000000001</v>
      </c>
      <c r="MK9">
        <v>169264</v>
      </c>
      <c r="ML9">
        <v>4.3588700000000001E-2</v>
      </c>
      <c r="MM9">
        <v>7378</v>
      </c>
      <c r="MN9">
        <v>0.67809710000000001</v>
      </c>
      <c r="MO9">
        <v>5003</v>
      </c>
      <c r="MP9">
        <v>0.63581849999999995</v>
      </c>
      <c r="MQ9">
        <v>5003</v>
      </c>
      <c r="MR9">
        <v>0.63581849999999995</v>
      </c>
      <c r="MS9">
        <v>5003</v>
      </c>
      <c r="MT9">
        <v>0.63581849999999995</v>
      </c>
      <c r="MU9">
        <v>5003</v>
      </c>
      <c r="MV9">
        <v>0.63581849999999995</v>
      </c>
      <c r="MW9">
        <v>5003</v>
      </c>
      <c r="MX9">
        <v>0.36418149999999999</v>
      </c>
      <c r="MY9">
        <v>7378</v>
      </c>
      <c r="MZ9">
        <v>0.32190299999999999</v>
      </c>
      <c r="NA9">
        <v>2375</v>
      </c>
      <c r="NB9">
        <v>0.15747369999999999</v>
      </c>
      <c r="NC9">
        <v>374</v>
      </c>
      <c r="ND9">
        <v>0.74064169999999996</v>
      </c>
      <c r="NE9">
        <v>277</v>
      </c>
      <c r="NF9">
        <v>0</v>
      </c>
      <c r="NG9">
        <v>277</v>
      </c>
      <c r="NH9">
        <v>0.31407940000000001</v>
      </c>
      <c r="NI9">
        <v>277</v>
      </c>
      <c r="NJ9">
        <v>0.68592059999999999</v>
      </c>
      <c r="NK9">
        <v>374</v>
      </c>
      <c r="NL9">
        <v>0.25935829999999999</v>
      </c>
      <c r="NM9">
        <v>2375</v>
      </c>
      <c r="NN9">
        <v>0.84252629999999995</v>
      </c>
      <c r="NO9">
        <v>2001</v>
      </c>
      <c r="NP9">
        <v>0.67966009999999999</v>
      </c>
      <c r="NQ9">
        <v>1360</v>
      </c>
      <c r="NR9">
        <v>0.13455880000000001</v>
      </c>
      <c r="NS9">
        <v>1360</v>
      </c>
      <c r="NT9">
        <v>0.2330882</v>
      </c>
      <c r="NU9">
        <v>1360</v>
      </c>
      <c r="NV9">
        <v>0.6323529</v>
      </c>
      <c r="NW9">
        <v>2001</v>
      </c>
      <c r="NX9">
        <v>0.32033980000000001</v>
      </c>
      <c r="NY9">
        <v>169264</v>
      </c>
      <c r="NZ9">
        <v>0.83521009999999996</v>
      </c>
      <c r="OA9">
        <v>141371</v>
      </c>
      <c r="OB9">
        <v>0.84607169999999998</v>
      </c>
      <c r="OC9">
        <v>119610</v>
      </c>
      <c r="OD9">
        <v>0.5393696</v>
      </c>
      <c r="OE9">
        <v>119610</v>
      </c>
      <c r="OF9">
        <v>0.5393696</v>
      </c>
      <c r="OG9">
        <v>119610</v>
      </c>
      <c r="OH9">
        <v>0.5393696</v>
      </c>
      <c r="OI9">
        <v>119610</v>
      </c>
      <c r="OJ9">
        <v>0.5393696</v>
      </c>
      <c r="OK9">
        <v>119610</v>
      </c>
      <c r="OL9">
        <v>0.4606304</v>
      </c>
      <c r="OM9">
        <v>141371</v>
      </c>
      <c r="ON9">
        <v>0.15392829999999999</v>
      </c>
      <c r="OO9">
        <v>21761</v>
      </c>
      <c r="OP9">
        <v>0.4124351</v>
      </c>
      <c r="OQ9">
        <v>8975</v>
      </c>
      <c r="OR9">
        <v>0.45325910000000003</v>
      </c>
      <c r="OS9">
        <v>4068</v>
      </c>
      <c r="OT9">
        <v>0.17871190000000001</v>
      </c>
      <c r="OU9">
        <v>4068</v>
      </c>
      <c r="OV9">
        <v>0.23426749999999999</v>
      </c>
      <c r="OW9">
        <v>4068</v>
      </c>
      <c r="OX9">
        <v>0.5870206</v>
      </c>
      <c r="OY9">
        <v>8975</v>
      </c>
      <c r="OZ9">
        <v>0.54674089999999997</v>
      </c>
      <c r="PA9">
        <v>21761</v>
      </c>
      <c r="PB9">
        <v>0.58756489999999995</v>
      </c>
      <c r="PC9">
        <v>12786</v>
      </c>
      <c r="PD9">
        <v>0.58822149999999995</v>
      </c>
      <c r="PE9">
        <v>7521</v>
      </c>
      <c r="PF9">
        <v>0.14226829999999999</v>
      </c>
      <c r="PG9">
        <v>7521</v>
      </c>
      <c r="PH9">
        <v>0.14080580000000001</v>
      </c>
      <c r="PI9">
        <v>7521</v>
      </c>
      <c r="PJ9">
        <v>0.7169259</v>
      </c>
      <c r="PK9">
        <v>12786</v>
      </c>
      <c r="PL9">
        <v>0.41177849999999999</v>
      </c>
      <c r="PM9">
        <v>678697</v>
      </c>
      <c r="PN9">
        <v>0.4971585</v>
      </c>
      <c r="PO9">
        <v>337420</v>
      </c>
      <c r="PP9">
        <v>7.4728799999999998E-2</v>
      </c>
      <c r="PQ9">
        <v>337420</v>
      </c>
      <c r="PR9">
        <v>8.8373499999999994E-2</v>
      </c>
      <c r="PS9">
        <v>337420</v>
      </c>
      <c r="PT9">
        <v>8.4526699999999996E-2</v>
      </c>
      <c r="PU9">
        <v>337420</v>
      </c>
      <c r="PV9">
        <v>5.3017000000000002E-2</v>
      </c>
      <c r="PW9">
        <v>337420</v>
      </c>
      <c r="PX9">
        <v>2.7745800000000001E-2</v>
      </c>
      <c r="PY9">
        <v>337420</v>
      </c>
      <c r="PZ9">
        <v>1.2471100000000001E-2</v>
      </c>
      <c r="QA9">
        <v>337420</v>
      </c>
      <c r="QB9">
        <v>1.12056E-2</v>
      </c>
      <c r="QC9">
        <v>337420</v>
      </c>
      <c r="QD9">
        <v>3.3290899999999998E-2</v>
      </c>
      <c r="QE9">
        <v>337420</v>
      </c>
      <c r="QF9">
        <v>5.72195E-2</v>
      </c>
      <c r="QG9">
        <v>337420</v>
      </c>
      <c r="QH9">
        <v>6.3188300000000003E-2</v>
      </c>
      <c r="QI9">
        <v>337420</v>
      </c>
      <c r="QJ9">
        <v>7.7728099999999994E-2</v>
      </c>
      <c r="QK9">
        <v>337420</v>
      </c>
      <c r="QL9">
        <v>8.0825099999999997E-2</v>
      </c>
      <c r="QM9">
        <v>337420</v>
      </c>
      <c r="QN9">
        <v>8.1394099999999997E-2</v>
      </c>
      <c r="QO9">
        <v>337420</v>
      </c>
      <c r="QP9">
        <v>7.1551799999999999E-2</v>
      </c>
      <c r="QQ9">
        <v>337420</v>
      </c>
      <c r="QR9">
        <v>5.7017999999999999E-2</v>
      </c>
      <c r="QS9">
        <v>337420</v>
      </c>
      <c r="QT9">
        <v>1.73315E-2</v>
      </c>
      <c r="QU9">
        <v>337420</v>
      </c>
      <c r="QV9">
        <v>2.6838999999999998E-2</v>
      </c>
      <c r="QW9">
        <v>337420</v>
      </c>
      <c r="QX9">
        <v>1.09567E-2</v>
      </c>
      <c r="QY9">
        <v>337420</v>
      </c>
      <c r="QZ9">
        <v>1.8348099999999999E-2</v>
      </c>
      <c r="RA9">
        <v>337420</v>
      </c>
      <c r="RB9">
        <v>2.2269000000000001E-2</v>
      </c>
      <c r="RC9">
        <v>337420</v>
      </c>
      <c r="RD9">
        <v>1.35706E-2</v>
      </c>
      <c r="RE9">
        <v>337420</v>
      </c>
      <c r="RF9">
        <v>9.9045999999999995E-3</v>
      </c>
      <c r="RG9">
        <v>337420</v>
      </c>
      <c r="RH9">
        <v>6.4964000000000003E-3</v>
      </c>
      <c r="RI9">
        <v>678697</v>
      </c>
      <c r="RJ9">
        <v>0.50284150000000005</v>
      </c>
      <c r="RK9">
        <v>341277</v>
      </c>
      <c r="RL9">
        <v>7.0819300000000002E-2</v>
      </c>
      <c r="RM9">
        <v>341277</v>
      </c>
      <c r="RN9">
        <v>8.1628699999999998E-2</v>
      </c>
      <c r="RO9">
        <v>341277</v>
      </c>
      <c r="RP9">
        <v>8.0430299999999996E-2</v>
      </c>
      <c r="RQ9">
        <v>341277</v>
      </c>
      <c r="RR9">
        <v>4.7837999999999999E-2</v>
      </c>
      <c r="RS9">
        <v>341277</v>
      </c>
      <c r="RT9">
        <v>2.6535599999999999E-2</v>
      </c>
      <c r="RU9">
        <v>341277</v>
      </c>
      <c r="RV9">
        <v>1.22598E-2</v>
      </c>
      <c r="RW9">
        <v>341277</v>
      </c>
      <c r="RX9">
        <v>1.12665E-2</v>
      </c>
      <c r="RY9">
        <v>341277</v>
      </c>
      <c r="RZ9">
        <v>2.5715200000000001E-2</v>
      </c>
      <c r="SA9">
        <v>341277</v>
      </c>
      <c r="SB9">
        <v>5.6815999999999998E-2</v>
      </c>
      <c r="SC9">
        <v>341277</v>
      </c>
      <c r="SD9">
        <v>6.7452499999999999E-2</v>
      </c>
      <c r="SE9">
        <v>341277</v>
      </c>
      <c r="SF9">
        <v>7.5243900000000002E-2</v>
      </c>
      <c r="SG9">
        <v>341277</v>
      </c>
      <c r="SH9">
        <v>8.51156E-2</v>
      </c>
      <c r="SI9">
        <v>341277</v>
      </c>
      <c r="SJ9">
        <v>8.1306400000000001E-2</v>
      </c>
      <c r="SK9">
        <v>341277</v>
      </c>
      <c r="SL9">
        <v>6.9002599999999997E-2</v>
      </c>
      <c r="SM9">
        <v>341277</v>
      </c>
      <c r="SN9">
        <v>5.67369E-2</v>
      </c>
      <c r="SO9">
        <v>341277</v>
      </c>
      <c r="SP9">
        <v>2.09185E-2</v>
      </c>
      <c r="SQ9">
        <v>341277</v>
      </c>
      <c r="SR9">
        <v>2.6069700000000001E-2</v>
      </c>
      <c r="SS9">
        <v>341277</v>
      </c>
      <c r="ST9">
        <v>1.5354100000000001E-2</v>
      </c>
      <c r="SU9">
        <v>341277</v>
      </c>
      <c r="SV9">
        <v>2.0268000000000001E-2</v>
      </c>
      <c r="SW9">
        <v>341277</v>
      </c>
      <c r="SX9">
        <v>2.2298599999999998E-2</v>
      </c>
      <c r="SY9">
        <v>341277</v>
      </c>
      <c r="SZ9">
        <v>1.7836000000000001E-2</v>
      </c>
      <c r="TA9">
        <v>341277</v>
      </c>
      <c r="TB9">
        <v>1.22217E-2</v>
      </c>
      <c r="TC9">
        <v>341277</v>
      </c>
      <c r="TD9">
        <v>1.6866099999999998E-2</v>
      </c>
      <c r="TE9">
        <v>521806</v>
      </c>
      <c r="TF9">
        <v>0.4984228</v>
      </c>
      <c r="TG9">
        <v>74110</v>
      </c>
      <c r="TH9">
        <v>0.48317369999999998</v>
      </c>
      <c r="TI9"/>
      <c r="TJ9"/>
      <c r="TK9">
        <v>30751</v>
      </c>
      <c r="TL9">
        <v>0.49650420000000001</v>
      </c>
      <c r="TM9"/>
      <c r="TN9"/>
      <c r="TO9">
        <v>32770</v>
      </c>
      <c r="TP9">
        <v>0.50537080000000001</v>
      </c>
      <c r="TQ9">
        <v>17037</v>
      </c>
      <c r="TR9">
        <v>0.48852499999999999</v>
      </c>
      <c r="TS9">
        <v>455564</v>
      </c>
      <c r="TT9">
        <v>0.49528719999999998</v>
      </c>
      <c r="TU9">
        <v>106558</v>
      </c>
      <c r="TV9">
        <v>0.51557839999999999</v>
      </c>
      <c r="TW9">
        <v>521806</v>
      </c>
      <c r="TX9">
        <v>0.50157719999999995</v>
      </c>
      <c r="TY9">
        <v>74110</v>
      </c>
      <c r="TZ9">
        <v>0.51682629999999996</v>
      </c>
      <c r="UA9"/>
      <c r="UB9"/>
      <c r="UC9">
        <v>30751</v>
      </c>
      <c r="UD9">
        <v>0.50349580000000005</v>
      </c>
      <c r="UE9"/>
      <c r="UF9"/>
      <c r="UG9">
        <v>32770</v>
      </c>
      <c r="UH9">
        <v>0.49462919999999999</v>
      </c>
      <c r="UI9">
        <v>17037</v>
      </c>
      <c r="UJ9">
        <v>0.51147500000000001</v>
      </c>
      <c r="UK9">
        <v>455564</v>
      </c>
      <c r="UL9">
        <v>0.50471279999999996</v>
      </c>
      <c r="UM9">
        <v>106558</v>
      </c>
      <c r="UN9">
        <v>0.48442160000000001</v>
      </c>
      <c r="UO9">
        <v>160607</v>
      </c>
      <c r="UP9">
        <v>160607</v>
      </c>
      <c r="UQ9">
        <v>160607</v>
      </c>
      <c r="UR9">
        <v>135700</v>
      </c>
      <c r="US9">
        <v>135700</v>
      </c>
      <c r="UT9">
        <v>135700</v>
      </c>
      <c r="UU9">
        <v>8.5300000000000003E-4</v>
      </c>
      <c r="UV9">
        <v>0.88357920000000001</v>
      </c>
      <c r="UW9">
        <v>0.1155678</v>
      </c>
      <c r="UX9">
        <v>0</v>
      </c>
      <c r="UY9">
        <v>0.90747979999999995</v>
      </c>
      <c r="UZ9">
        <v>9.25203E-2</v>
      </c>
      <c r="VA9">
        <v>9084</v>
      </c>
      <c r="VB9">
        <v>0</v>
      </c>
      <c r="VC9">
        <v>9084</v>
      </c>
      <c r="VD9">
        <v>0.80801409999999996</v>
      </c>
      <c r="VE9">
        <v>9084</v>
      </c>
      <c r="VF9">
        <v>0.19198589999999999</v>
      </c>
      <c r="VG9">
        <v>17536</v>
      </c>
      <c r="VH9">
        <v>0</v>
      </c>
      <c r="VI9">
        <v>17536</v>
      </c>
      <c r="VJ9">
        <v>0.86695940000000005</v>
      </c>
      <c r="VK9">
        <v>17536</v>
      </c>
      <c r="VL9">
        <v>0.13304060000000001</v>
      </c>
      <c r="VM9">
        <v>20071</v>
      </c>
      <c r="VN9">
        <v>0</v>
      </c>
      <c r="VO9">
        <v>20071</v>
      </c>
      <c r="VP9">
        <v>0.89203330000000003</v>
      </c>
      <c r="VQ9">
        <v>20071</v>
      </c>
      <c r="VR9">
        <v>0.1079667</v>
      </c>
      <c r="VS9">
        <v>49892</v>
      </c>
      <c r="VT9">
        <v>2.7458999999999999E-3</v>
      </c>
      <c r="VU9">
        <v>49892</v>
      </c>
      <c r="VV9">
        <v>0.88733669999999998</v>
      </c>
      <c r="VW9">
        <v>49892</v>
      </c>
      <c r="VX9">
        <v>0.1099174</v>
      </c>
      <c r="VY9">
        <v>47934</v>
      </c>
      <c r="VZ9">
        <v>0</v>
      </c>
      <c r="WA9">
        <v>47934</v>
      </c>
      <c r="WB9">
        <v>0.88855510000000004</v>
      </c>
      <c r="WC9">
        <v>47934</v>
      </c>
      <c r="WD9">
        <v>0.1114449</v>
      </c>
      <c r="WE9">
        <v>16090</v>
      </c>
      <c r="WF9">
        <v>0</v>
      </c>
      <c r="WG9">
        <v>16090</v>
      </c>
      <c r="WH9">
        <v>0.90733370000000002</v>
      </c>
      <c r="WI9">
        <v>16090</v>
      </c>
      <c r="WJ9">
        <v>9.2666299999999993E-2</v>
      </c>
      <c r="WK9">
        <v>7646</v>
      </c>
      <c r="WL9">
        <v>0</v>
      </c>
      <c r="WM9">
        <v>7646</v>
      </c>
      <c r="WN9">
        <v>0.85260270000000005</v>
      </c>
      <c r="WO9">
        <v>7646</v>
      </c>
      <c r="WP9">
        <v>0.14739730000000001</v>
      </c>
      <c r="WQ9">
        <v>15075</v>
      </c>
      <c r="WR9">
        <v>0</v>
      </c>
      <c r="WS9">
        <v>15075</v>
      </c>
      <c r="WT9">
        <v>0.87203980000000003</v>
      </c>
      <c r="WU9">
        <v>15075</v>
      </c>
      <c r="WV9">
        <v>0.1279602</v>
      </c>
      <c r="WW9">
        <v>16363</v>
      </c>
      <c r="WX9">
        <v>0</v>
      </c>
      <c r="WY9">
        <v>16363</v>
      </c>
      <c r="WZ9">
        <v>0.92690830000000002</v>
      </c>
      <c r="XA9">
        <v>16363</v>
      </c>
      <c r="XB9">
        <v>7.3091699999999996E-2</v>
      </c>
      <c r="XC9">
        <v>41198</v>
      </c>
      <c r="XD9">
        <v>0</v>
      </c>
      <c r="XE9">
        <v>41198</v>
      </c>
      <c r="XF9">
        <v>0.91742319999999999</v>
      </c>
      <c r="XG9">
        <v>41198</v>
      </c>
      <c r="XH9">
        <v>8.2576800000000006E-2</v>
      </c>
      <c r="XI9">
        <v>40753</v>
      </c>
      <c r="XJ9">
        <v>0</v>
      </c>
      <c r="XK9">
        <v>40753</v>
      </c>
      <c r="XL9">
        <v>0.91693860000000005</v>
      </c>
      <c r="XM9">
        <v>40753</v>
      </c>
      <c r="XN9">
        <v>8.3061399999999994E-2</v>
      </c>
      <c r="XO9">
        <v>14665</v>
      </c>
      <c r="XP9">
        <v>0</v>
      </c>
      <c r="XQ9">
        <v>14665</v>
      </c>
      <c r="XR9">
        <v>0.89662459999999999</v>
      </c>
      <c r="XS9">
        <v>14665</v>
      </c>
      <c r="XT9">
        <v>0.10337540000000001</v>
      </c>
      <c r="XU9">
        <v>440888</v>
      </c>
      <c r="XV9">
        <v>0.49856430000000002</v>
      </c>
      <c r="XW9">
        <v>219811</v>
      </c>
      <c r="XX9">
        <v>0.82009540000000003</v>
      </c>
      <c r="XY9">
        <v>219811</v>
      </c>
      <c r="XZ9">
        <v>0.1799046</v>
      </c>
      <c r="YA9">
        <v>180266</v>
      </c>
      <c r="YB9">
        <v>0.86370139999999995</v>
      </c>
      <c r="YC9">
        <v>155696</v>
      </c>
      <c r="YD9">
        <v>0.80763160000000001</v>
      </c>
      <c r="YE9">
        <v>155696</v>
      </c>
      <c r="YF9">
        <v>1.7868200000000001E-2</v>
      </c>
      <c r="YG9">
        <v>155696</v>
      </c>
      <c r="YH9">
        <v>3.6385000000000001E-2</v>
      </c>
      <c r="YI9">
        <v>155696</v>
      </c>
      <c r="YJ9">
        <v>4.8061600000000003E-2</v>
      </c>
      <c r="YK9">
        <v>155696</v>
      </c>
      <c r="YL9">
        <v>4.9686599999999997E-2</v>
      </c>
      <c r="YM9">
        <v>155696</v>
      </c>
      <c r="YN9">
        <v>4.0367100000000003E-2</v>
      </c>
      <c r="YO9">
        <v>180266</v>
      </c>
      <c r="YP9">
        <v>0.1102315</v>
      </c>
      <c r="YQ9">
        <v>19871</v>
      </c>
      <c r="YR9">
        <v>0.45241809999999999</v>
      </c>
      <c r="YS9">
        <v>19871</v>
      </c>
      <c r="YT9">
        <v>4.5291999999999997E-3</v>
      </c>
      <c r="YU9">
        <v>19871</v>
      </c>
      <c r="YV9">
        <v>8.3136199999999993E-2</v>
      </c>
      <c r="YW9">
        <v>19871</v>
      </c>
      <c r="YX9">
        <v>0.1233959</v>
      </c>
      <c r="YY9">
        <v>19871</v>
      </c>
      <c r="YZ9">
        <v>0.13879520000000001</v>
      </c>
      <c r="ZA9">
        <v>19871</v>
      </c>
      <c r="ZB9">
        <v>0.19772529999999999</v>
      </c>
      <c r="ZC9">
        <v>180266</v>
      </c>
      <c r="ZD9">
        <v>2.6067E-2</v>
      </c>
      <c r="ZE9">
        <v>4699</v>
      </c>
      <c r="ZF9">
        <v>0.30048950000000002</v>
      </c>
      <c r="ZG9">
        <v>4699</v>
      </c>
      <c r="ZH9">
        <v>1.53224E-2</v>
      </c>
      <c r="ZI9">
        <v>4699</v>
      </c>
      <c r="ZJ9">
        <v>0.1368376</v>
      </c>
      <c r="ZK9">
        <v>4699</v>
      </c>
      <c r="ZL9">
        <v>0.10044690000000001</v>
      </c>
      <c r="ZM9">
        <v>4699</v>
      </c>
      <c r="ZN9">
        <v>9.1083200000000003E-2</v>
      </c>
      <c r="ZO9">
        <v>4699</v>
      </c>
      <c r="ZP9">
        <v>0.35582039999999998</v>
      </c>
      <c r="ZQ9">
        <v>440888</v>
      </c>
      <c r="ZR9">
        <v>0.50143579999999999</v>
      </c>
      <c r="ZS9">
        <v>221077</v>
      </c>
      <c r="ZT9">
        <v>0.71542039999999996</v>
      </c>
      <c r="ZU9">
        <v>221077</v>
      </c>
      <c r="ZV9">
        <v>0.28457959999999999</v>
      </c>
      <c r="ZW9">
        <v>158163</v>
      </c>
      <c r="ZX9">
        <v>0.668987</v>
      </c>
      <c r="ZY9">
        <v>105809</v>
      </c>
      <c r="ZZ9">
        <v>0.82467469999999998</v>
      </c>
      <c r="AAA9">
        <v>105809</v>
      </c>
      <c r="AAB9">
        <v>1.66432E-2</v>
      </c>
      <c r="AAC9">
        <v>105809</v>
      </c>
      <c r="AAD9">
        <v>6.0779300000000001E-2</v>
      </c>
      <c r="AAE9">
        <v>105809</v>
      </c>
      <c r="AAF9">
        <v>4.4457499999999997E-2</v>
      </c>
      <c r="AAG9">
        <v>105809</v>
      </c>
      <c r="AAH9">
        <v>2.6406099999999998E-2</v>
      </c>
      <c r="AAI9">
        <v>105809</v>
      </c>
      <c r="AAJ9">
        <v>2.7039299999999999E-2</v>
      </c>
      <c r="AAK9">
        <v>158163</v>
      </c>
      <c r="AAL9">
        <v>0.26021260000000002</v>
      </c>
      <c r="AAM9">
        <v>41156</v>
      </c>
      <c r="AAN9">
        <v>0.56511809999999996</v>
      </c>
      <c r="AAO9">
        <v>41156</v>
      </c>
      <c r="AAP9">
        <v>2.5196799999999998E-2</v>
      </c>
      <c r="AAQ9">
        <v>41156</v>
      </c>
      <c r="AAR9">
        <v>6.0598699999999998E-2</v>
      </c>
      <c r="AAS9">
        <v>41156</v>
      </c>
      <c r="AAT9">
        <v>0.13315189999999999</v>
      </c>
      <c r="AAU9">
        <v>41156</v>
      </c>
      <c r="AAV9">
        <v>0.11254740000000001</v>
      </c>
      <c r="AAW9">
        <v>41156</v>
      </c>
      <c r="AAX9">
        <v>0.1033871</v>
      </c>
      <c r="AAY9">
        <v>158163</v>
      </c>
      <c r="AAZ9">
        <v>7.0800399999999999E-2</v>
      </c>
      <c r="ABA9">
        <v>11198</v>
      </c>
      <c r="ABB9">
        <v>0.29996430000000002</v>
      </c>
      <c r="ABC9">
        <v>11198</v>
      </c>
      <c r="ABD9">
        <v>1.42883E-2</v>
      </c>
      <c r="ABE9">
        <v>11198</v>
      </c>
      <c r="ABF9">
        <v>0.12600459999999999</v>
      </c>
      <c r="ABG9">
        <v>11198</v>
      </c>
      <c r="ABH9">
        <v>0.14636540000000001</v>
      </c>
      <c r="ABI9">
        <v>11198</v>
      </c>
      <c r="ABJ9">
        <v>0.11886049999999999</v>
      </c>
      <c r="ABK9">
        <v>11198</v>
      </c>
      <c r="ABL9">
        <v>0.29451690000000003</v>
      </c>
      <c r="ABM9">
        <v>223108</v>
      </c>
      <c r="ABN9">
        <v>0.75866400000000001</v>
      </c>
      <c r="ABO9">
        <v>169264</v>
      </c>
      <c r="ABP9">
        <v>0.79574509999999998</v>
      </c>
      <c r="ABQ9">
        <v>169264</v>
      </c>
      <c r="ABR9">
        <v>0.20425489999999999</v>
      </c>
      <c r="ABS9">
        <v>34573</v>
      </c>
      <c r="ABT9">
        <v>0.35484339999999998</v>
      </c>
      <c r="ABU9">
        <v>34573</v>
      </c>
      <c r="ABV9">
        <v>0.64515659999999997</v>
      </c>
      <c r="ABW9">
        <v>223108</v>
      </c>
      <c r="ABX9">
        <v>0.24133599999999999</v>
      </c>
      <c r="ABY9">
        <v>53844</v>
      </c>
      <c r="ABZ9">
        <v>0.84040930000000003</v>
      </c>
      <c r="ACA9">
        <v>53844</v>
      </c>
      <c r="ACB9">
        <v>0.1595907</v>
      </c>
      <c r="ACC9">
        <v>515666</v>
      </c>
      <c r="ACD9">
        <v>0.4923051</v>
      </c>
      <c r="ACE9">
        <v>253865</v>
      </c>
      <c r="ACF9">
        <v>0.32525549999999998</v>
      </c>
      <c r="ACG9">
        <v>82571</v>
      </c>
      <c r="ACH9">
        <v>0.21340419999999999</v>
      </c>
      <c r="ACI9">
        <v>82571</v>
      </c>
      <c r="ACJ9">
        <v>0.1120611</v>
      </c>
      <c r="ACK9">
        <v>82571</v>
      </c>
      <c r="ACL9">
        <v>0.22225719999999999</v>
      </c>
      <c r="ACM9">
        <v>82571</v>
      </c>
      <c r="ACN9">
        <v>0.16165479999999999</v>
      </c>
      <c r="ACO9">
        <v>82571</v>
      </c>
      <c r="ACP9">
        <v>8.8432999999999998E-2</v>
      </c>
      <c r="ACQ9">
        <v>82571</v>
      </c>
      <c r="ACR9">
        <v>6.6791000000000003E-2</v>
      </c>
      <c r="ACS9">
        <v>82571</v>
      </c>
      <c r="ACT9">
        <v>3.4503600000000002E-2</v>
      </c>
      <c r="ACU9">
        <v>82571</v>
      </c>
      <c r="ACV9">
        <v>3.3365199999999998E-2</v>
      </c>
      <c r="ACW9">
        <v>82571</v>
      </c>
      <c r="ACX9">
        <v>2.39673E-2</v>
      </c>
      <c r="ACY9">
        <v>82571</v>
      </c>
      <c r="ACZ9">
        <v>1.38184E-2</v>
      </c>
      <c r="ADA9">
        <v>82571</v>
      </c>
      <c r="ADB9">
        <v>1.50779E-2</v>
      </c>
      <c r="ADC9">
        <v>82571</v>
      </c>
      <c r="ADD9">
        <v>7.6176999999999998E-3</v>
      </c>
      <c r="ADE9">
        <v>82571</v>
      </c>
      <c r="ADF9">
        <v>5.5951999999999998E-3</v>
      </c>
      <c r="ADG9">
        <v>82571</v>
      </c>
      <c r="ADH9">
        <v>1.4533E-3</v>
      </c>
      <c r="ADI9">
        <v>253865</v>
      </c>
      <c r="ADJ9">
        <v>0.56646649999999998</v>
      </c>
      <c r="ADK9">
        <v>143806</v>
      </c>
      <c r="ADL9">
        <v>0.94121250000000001</v>
      </c>
      <c r="ADM9">
        <v>135352</v>
      </c>
      <c r="ADN9">
        <v>0</v>
      </c>
      <c r="ADO9">
        <v>135352</v>
      </c>
      <c r="ADP9">
        <v>3.1770000000000002E-4</v>
      </c>
      <c r="ADQ9">
        <v>135352</v>
      </c>
      <c r="ADR9">
        <v>3.6792999999999999E-3</v>
      </c>
      <c r="ADS9">
        <v>135352</v>
      </c>
      <c r="ADT9">
        <v>3.5913800000000003E-2</v>
      </c>
      <c r="ADU9">
        <v>135352</v>
      </c>
      <c r="ADV9">
        <v>8.7113599999999999E-2</v>
      </c>
      <c r="ADW9">
        <v>135352</v>
      </c>
      <c r="ADX9">
        <v>0.12357410000000001</v>
      </c>
      <c r="ADY9">
        <v>135352</v>
      </c>
      <c r="ADZ9">
        <v>0.14905579999999999</v>
      </c>
      <c r="AEA9">
        <v>135352</v>
      </c>
      <c r="AEB9">
        <v>0.14501449999999999</v>
      </c>
      <c r="AEC9">
        <v>135352</v>
      </c>
      <c r="AED9">
        <v>0.1212173</v>
      </c>
      <c r="AEE9">
        <v>135352</v>
      </c>
      <c r="AEF9">
        <v>0.1089677</v>
      </c>
      <c r="AEG9">
        <v>135352</v>
      </c>
      <c r="AEH9">
        <v>8.6315699999999995E-2</v>
      </c>
      <c r="AEI9">
        <v>135352</v>
      </c>
      <c r="AEJ9">
        <v>9.11106E-2</v>
      </c>
      <c r="AEK9">
        <v>135352</v>
      </c>
      <c r="AEL9">
        <v>3.9666899999999998E-2</v>
      </c>
      <c r="AEM9">
        <v>135352</v>
      </c>
      <c r="AEN9">
        <v>8.0531000000000005E-3</v>
      </c>
      <c r="AEO9">
        <v>143806</v>
      </c>
      <c r="AEP9">
        <v>5.8787499999999999E-2</v>
      </c>
      <c r="AEQ9">
        <v>8454</v>
      </c>
      <c r="AER9">
        <v>0.40891889999999997</v>
      </c>
      <c r="AES9">
        <v>3457</v>
      </c>
      <c r="AET9">
        <v>2.28522E-2</v>
      </c>
      <c r="AEU9">
        <v>3457</v>
      </c>
      <c r="AEV9">
        <v>0</v>
      </c>
      <c r="AEW9">
        <v>3457</v>
      </c>
      <c r="AEX9">
        <v>1.5909699999999999E-2</v>
      </c>
      <c r="AEY9">
        <v>3457</v>
      </c>
      <c r="AEZ9">
        <v>0</v>
      </c>
      <c r="AFA9">
        <v>3457</v>
      </c>
      <c r="AFB9">
        <v>0.1611224</v>
      </c>
      <c r="AFC9">
        <v>3457</v>
      </c>
      <c r="AFD9">
        <v>0.13132769999999999</v>
      </c>
      <c r="AFE9">
        <v>3457</v>
      </c>
      <c r="AFF9">
        <v>0.19699159999999999</v>
      </c>
      <c r="AFG9">
        <v>3457</v>
      </c>
      <c r="AFH9">
        <v>0.1807926</v>
      </c>
      <c r="AFI9">
        <v>3457</v>
      </c>
      <c r="AFJ9">
        <v>0.12380679999999999</v>
      </c>
      <c r="AFK9">
        <v>3457</v>
      </c>
      <c r="AFL9">
        <v>3.3265799999999998E-2</v>
      </c>
      <c r="AFM9">
        <v>3457</v>
      </c>
      <c r="AFN9">
        <v>2.0248800000000001E-2</v>
      </c>
      <c r="AFO9">
        <v>3457</v>
      </c>
      <c r="AFP9">
        <v>7.1738499999999997E-2</v>
      </c>
      <c r="AFQ9">
        <v>3457</v>
      </c>
      <c r="AFR9">
        <v>4.1943899999999999E-2</v>
      </c>
      <c r="AFS9">
        <v>3457</v>
      </c>
      <c r="AFT9">
        <v>0</v>
      </c>
      <c r="AFU9">
        <v>8454</v>
      </c>
      <c r="AFV9">
        <v>0.59108110000000003</v>
      </c>
      <c r="AFW9">
        <v>4997</v>
      </c>
      <c r="AFX9">
        <v>3.7822700000000001E-2</v>
      </c>
      <c r="AFY9">
        <v>4997</v>
      </c>
      <c r="AFZ9">
        <v>1.32079E-2</v>
      </c>
      <c r="AGA9">
        <v>4997</v>
      </c>
      <c r="AGB9">
        <v>6.3438099999999997E-2</v>
      </c>
      <c r="AGC9">
        <v>4997</v>
      </c>
      <c r="AGD9">
        <v>7.1442900000000004E-2</v>
      </c>
      <c r="AGE9">
        <v>4997</v>
      </c>
      <c r="AGF9">
        <v>9.5857499999999998E-2</v>
      </c>
      <c r="AGG9">
        <v>4997</v>
      </c>
      <c r="AGH9">
        <v>0.1506904</v>
      </c>
      <c r="AGI9">
        <v>4997</v>
      </c>
      <c r="AGJ9">
        <v>0.121673</v>
      </c>
      <c r="AGK9">
        <v>4997</v>
      </c>
      <c r="AGL9">
        <v>9.0854500000000005E-2</v>
      </c>
      <c r="AGM9">
        <v>4997</v>
      </c>
      <c r="AGN9">
        <v>0.13588149999999999</v>
      </c>
      <c r="AGO9">
        <v>4997</v>
      </c>
      <c r="AGP9">
        <v>2.8016800000000001E-2</v>
      </c>
      <c r="AGQ9">
        <v>4997</v>
      </c>
      <c r="AGR9">
        <v>6.06364E-2</v>
      </c>
      <c r="AGS9">
        <v>4997</v>
      </c>
      <c r="AGT9">
        <v>2.9817900000000001E-2</v>
      </c>
      <c r="AGU9">
        <v>4997</v>
      </c>
      <c r="AGV9">
        <v>6.1036600000000003E-2</v>
      </c>
      <c r="AGW9">
        <v>4997</v>
      </c>
      <c r="AGX9">
        <v>3.9623800000000001E-2</v>
      </c>
      <c r="AGY9">
        <v>253865</v>
      </c>
      <c r="AGZ9">
        <v>2.10703E-2</v>
      </c>
      <c r="AHA9">
        <v>5349</v>
      </c>
      <c r="AHB9">
        <v>0</v>
      </c>
      <c r="AHC9">
        <v>5349</v>
      </c>
      <c r="AHD9">
        <v>0</v>
      </c>
      <c r="AHE9">
        <v>5349</v>
      </c>
      <c r="AHF9">
        <v>0</v>
      </c>
      <c r="AHG9">
        <v>5349</v>
      </c>
      <c r="AHH9">
        <v>0</v>
      </c>
      <c r="AHI9">
        <v>5349</v>
      </c>
      <c r="AHJ9">
        <v>0</v>
      </c>
      <c r="AHK9">
        <v>5349</v>
      </c>
      <c r="AHL9">
        <v>4.0568300000000002E-2</v>
      </c>
      <c r="AHM9">
        <v>5349</v>
      </c>
      <c r="AHN9">
        <v>2.5986200000000001E-2</v>
      </c>
      <c r="AHO9">
        <v>5349</v>
      </c>
      <c r="AHP9">
        <v>4.6550800000000003E-2</v>
      </c>
      <c r="AHQ9">
        <v>5349</v>
      </c>
      <c r="AHR9">
        <v>7.88933E-2</v>
      </c>
      <c r="AHS9">
        <v>5349</v>
      </c>
      <c r="AHT9">
        <v>8.5436499999999999E-2</v>
      </c>
      <c r="AHU9">
        <v>5349</v>
      </c>
      <c r="AHV9">
        <v>5.3841800000000002E-2</v>
      </c>
      <c r="AHW9">
        <v>5349</v>
      </c>
      <c r="AHX9">
        <v>0.27163959999999998</v>
      </c>
      <c r="AHY9">
        <v>5349</v>
      </c>
      <c r="AHZ9">
        <v>0.26079639999999998</v>
      </c>
      <c r="AIA9">
        <v>5349</v>
      </c>
      <c r="AIB9">
        <v>0.1362872</v>
      </c>
      <c r="AIC9">
        <v>253865</v>
      </c>
      <c r="AID9">
        <v>8.7207800000000002E-2</v>
      </c>
      <c r="AIE9">
        <v>22139</v>
      </c>
      <c r="AIF9">
        <v>0</v>
      </c>
      <c r="AIG9">
        <v>22139</v>
      </c>
      <c r="AIH9">
        <v>0</v>
      </c>
      <c r="AII9">
        <v>22139</v>
      </c>
      <c r="AIJ9">
        <v>0</v>
      </c>
      <c r="AIK9">
        <v>22139</v>
      </c>
      <c r="AIL9">
        <v>3.3470300000000001E-2</v>
      </c>
      <c r="AIM9">
        <v>22139</v>
      </c>
      <c r="AIN9">
        <v>5.3841600000000003E-2</v>
      </c>
      <c r="AIO9">
        <v>22139</v>
      </c>
      <c r="AIP9">
        <v>0.1157234</v>
      </c>
      <c r="AIQ9">
        <v>22139</v>
      </c>
      <c r="AIR9">
        <v>0.12737699999999999</v>
      </c>
      <c r="AIS9">
        <v>22139</v>
      </c>
      <c r="AIT9">
        <v>0.1695199</v>
      </c>
      <c r="AIU9">
        <v>22139</v>
      </c>
      <c r="AIV9">
        <v>0.19097520000000001</v>
      </c>
      <c r="AIW9">
        <v>22139</v>
      </c>
      <c r="AIX9">
        <v>0.1191111</v>
      </c>
      <c r="AIY9">
        <v>22139</v>
      </c>
      <c r="AIZ9">
        <v>5.9397400000000003E-2</v>
      </c>
      <c r="AJA9">
        <v>22139</v>
      </c>
      <c r="AJB9">
        <v>0.11703330000000001</v>
      </c>
      <c r="AJC9">
        <v>22139</v>
      </c>
      <c r="AJD9">
        <v>1.1066400000000001E-2</v>
      </c>
      <c r="AJE9">
        <v>22139</v>
      </c>
      <c r="AJF9">
        <v>2.4843E-3</v>
      </c>
      <c r="AJG9">
        <v>515666</v>
      </c>
      <c r="AJH9">
        <v>0.50769489999999995</v>
      </c>
      <c r="AJI9">
        <v>261801</v>
      </c>
      <c r="AJJ9">
        <v>0.26143139999999998</v>
      </c>
      <c r="AJK9">
        <v>68443</v>
      </c>
      <c r="AJL9">
        <v>0.2385343</v>
      </c>
      <c r="AJM9">
        <v>68443</v>
      </c>
      <c r="AJN9">
        <v>0.1284573</v>
      </c>
      <c r="AJO9">
        <v>68443</v>
      </c>
      <c r="AJP9">
        <v>0.22940260000000001</v>
      </c>
      <c r="AJQ9">
        <v>68443</v>
      </c>
      <c r="AJR9">
        <v>0.13836329999999999</v>
      </c>
      <c r="AJS9">
        <v>68443</v>
      </c>
      <c r="AJT9">
        <v>7.0569699999999999E-2</v>
      </c>
      <c r="AJU9">
        <v>68443</v>
      </c>
      <c r="AJV9">
        <v>5.2905300000000002E-2</v>
      </c>
      <c r="AJW9">
        <v>68443</v>
      </c>
      <c r="AJX9">
        <v>4.3715200000000003E-2</v>
      </c>
      <c r="AJY9">
        <v>68443</v>
      </c>
      <c r="AJZ9">
        <v>2.1813800000000001E-2</v>
      </c>
      <c r="AKA9">
        <v>68443</v>
      </c>
      <c r="AKB9">
        <v>2.4575199999999998E-2</v>
      </c>
      <c r="AKC9">
        <v>68443</v>
      </c>
      <c r="AKD9">
        <v>2.25443E-2</v>
      </c>
      <c r="AKE9">
        <v>68443</v>
      </c>
      <c r="AKF9">
        <v>1.2243800000000001E-2</v>
      </c>
      <c r="AKG9">
        <v>68443</v>
      </c>
      <c r="AKH9">
        <v>1.04759E-2</v>
      </c>
      <c r="AKI9">
        <v>68443</v>
      </c>
      <c r="AKJ9">
        <v>5.5227999999999996E-3</v>
      </c>
      <c r="AKK9">
        <v>68443</v>
      </c>
      <c r="AKL9">
        <v>8.7659999999999995E-4</v>
      </c>
      <c r="AKM9">
        <v>261801</v>
      </c>
      <c r="AKN9">
        <v>0.57145699999999999</v>
      </c>
      <c r="AKO9">
        <v>149608</v>
      </c>
      <c r="AKP9">
        <v>0.94551759999999996</v>
      </c>
      <c r="AKQ9">
        <v>141457</v>
      </c>
      <c r="AKR9">
        <v>0</v>
      </c>
      <c r="AKS9">
        <v>141457</v>
      </c>
      <c r="AKT9">
        <v>3.1100000000000002E-4</v>
      </c>
      <c r="AKU9">
        <v>141457</v>
      </c>
      <c r="AKV9">
        <v>5.7897000000000001E-3</v>
      </c>
      <c r="AKW9">
        <v>141457</v>
      </c>
      <c r="AKX9">
        <v>5.6540199999999999E-2</v>
      </c>
      <c r="AKY9">
        <v>141457</v>
      </c>
      <c r="AKZ9">
        <v>0.109171</v>
      </c>
      <c r="ALA9">
        <v>141457</v>
      </c>
      <c r="ALB9">
        <v>0.13159480000000001</v>
      </c>
      <c r="ALC9">
        <v>141457</v>
      </c>
      <c r="ALD9">
        <v>0.15928519999999999</v>
      </c>
      <c r="ALE9">
        <v>141457</v>
      </c>
      <c r="ALF9">
        <v>0.14726030000000001</v>
      </c>
      <c r="ALG9">
        <v>141457</v>
      </c>
      <c r="ALH9">
        <v>0.11708150000000001</v>
      </c>
      <c r="ALI9">
        <v>141457</v>
      </c>
      <c r="ALJ9">
        <v>9.63614E-2</v>
      </c>
      <c r="ALK9">
        <v>141457</v>
      </c>
      <c r="ALL9">
        <v>7.3697299999999993E-2</v>
      </c>
      <c r="ALM9">
        <v>141457</v>
      </c>
      <c r="ALN9">
        <v>6.71794E-2</v>
      </c>
      <c r="ALO9">
        <v>141457</v>
      </c>
      <c r="ALP9">
        <v>3.1168499999999998E-2</v>
      </c>
      <c r="ALQ9">
        <v>141457</v>
      </c>
      <c r="ALR9">
        <v>4.5596999999999999E-3</v>
      </c>
      <c r="ALS9">
        <v>149608</v>
      </c>
      <c r="ALT9">
        <v>5.44824E-2</v>
      </c>
      <c r="ALU9">
        <v>8151</v>
      </c>
      <c r="ALV9">
        <v>0.5591952</v>
      </c>
      <c r="ALW9">
        <v>4558</v>
      </c>
      <c r="ALX9">
        <v>0</v>
      </c>
      <c r="ALY9">
        <v>4558</v>
      </c>
      <c r="ALZ9">
        <v>0</v>
      </c>
      <c r="AMA9">
        <v>4558</v>
      </c>
      <c r="AMB9">
        <v>4.0807400000000001E-2</v>
      </c>
      <c r="AMC9">
        <v>4558</v>
      </c>
      <c r="AMD9">
        <v>0.1164985</v>
      </c>
      <c r="AME9">
        <v>4558</v>
      </c>
      <c r="AMF9">
        <v>0.15862219999999999</v>
      </c>
      <c r="AMG9">
        <v>4558</v>
      </c>
      <c r="AMH9">
        <v>0.110136</v>
      </c>
      <c r="AMI9">
        <v>4558</v>
      </c>
      <c r="AMJ9">
        <v>7.2839000000000001E-2</v>
      </c>
      <c r="AMK9">
        <v>4558</v>
      </c>
      <c r="AML9">
        <v>0.1110136</v>
      </c>
      <c r="AMM9">
        <v>4558</v>
      </c>
      <c r="AMN9">
        <v>0.1823168</v>
      </c>
      <c r="AMO9">
        <v>4558</v>
      </c>
      <c r="AMP9">
        <v>5.5726199999999997E-2</v>
      </c>
      <c r="AMQ9">
        <v>4558</v>
      </c>
      <c r="AMR9">
        <v>4.7169799999999998E-2</v>
      </c>
      <c r="AMS9">
        <v>4558</v>
      </c>
      <c r="AMT9">
        <v>7.4374700000000002E-2</v>
      </c>
      <c r="AMU9">
        <v>4558</v>
      </c>
      <c r="AMV9">
        <v>3.04958E-2</v>
      </c>
      <c r="AMW9">
        <v>4558</v>
      </c>
      <c r="AMX9">
        <v>0</v>
      </c>
      <c r="AMY9">
        <v>8151</v>
      </c>
      <c r="AMZ9">
        <v>0.4408048</v>
      </c>
      <c r="ANA9">
        <v>3593</v>
      </c>
      <c r="ANB9">
        <v>0</v>
      </c>
      <c r="ANC9">
        <v>3593</v>
      </c>
      <c r="AND9">
        <v>5.0375700000000002E-2</v>
      </c>
      <c r="ANE9">
        <v>3593</v>
      </c>
      <c r="ANF9">
        <v>2.7553600000000001E-2</v>
      </c>
      <c r="ANG9">
        <v>3593</v>
      </c>
      <c r="ANH9">
        <v>0.1013081</v>
      </c>
      <c r="ANI9">
        <v>3593</v>
      </c>
      <c r="ANJ9">
        <v>3.3398299999999999E-2</v>
      </c>
      <c r="ANK9">
        <v>3593</v>
      </c>
      <c r="ANL9">
        <v>0.1138325</v>
      </c>
      <c r="ANM9">
        <v>3593</v>
      </c>
      <c r="ANN9">
        <v>0.1246869</v>
      </c>
      <c r="ANO9">
        <v>3593</v>
      </c>
      <c r="ANP9">
        <v>6.9301399999999999E-2</v>
      </c>
      <c r="ANQ9">
        <v>3593</v>
      </c>
      <c r="ANR9">
        <v>6.1230199999999999E-2</v>
      </c>
      <c r="ANS9">
        <v>3593</v>
      </c>
      <c r="ANT9">
        <v>8.9897000000000005E-2</v>
      </c>
      <c r="ANU9">
        <v>3593</v>
      </c>
      <c r="ANV9">
        <v>0.14361260000000001</v>
      </c>
      <c r="ANW9">
        <v>3593</v>
      </c>
      <c r="ANX9">
        <v>6.5961599999999995E-2</v>
      </c>
      <c r="ANY9">
        <v>3593</v>
      </c>
      <c r="ANZ9">
        <v>0.1188422</v>
      </c>
      <c r="AOA9">
        <v>3593</v>
      </c>
      <c r="AOB9">
        <v>0</v>
      </c>
      <c r="AOC9">
        <v>261801</v>
      </c>
      <c r="AOD9">
        <v>7.0645299999999994E-2</v>
      </c>
      <c r="AOE9">
        <v>18495</v>
      </c>
      <c r="AOF9">
        <v>0</v>
      </c>
      <c r="AOG9">
        <v>18495</v>
      </c>
      <c r="AOH9">
        <v>0</v>
      </c>
      <c r="AOI9">
        <v>18495</v>
      </c>
      <c r="AOJ9">
        <v>0</v>
      </c>
      <c r="AOK9">
        <v>18495</v>
      </c>
      <c r="AOL9">
        <v>0</v>
      </c>
      <c r="AOM9">
        <v>18495</v>
      </c>
      <c r="AON9">
        <v>5.3527999999999996E-3</v>
      </c>
      <c r="AOO9">
        <v>18495</v>
      </c>
      <c r="AOP9">
        <v>1.1624799999999999E-2</v>
      </c>
      <c r="AOQ9">
        <v>18495</v>
      </c>
      <c r="AOR9">
        <v>1.14626E-2</v>
      </c>
      <c r="AOS9">
        <v>18495</v>
      </c>
      <c r="AOT9">
        <v>1.7031600000000001E-2</v>
      </c>
      <c r="AOU9">
        <v>18495</v>
      </c>
      <c r="AOV9">
        <v>4.4444400000000002E-2</v>
      </c>
      <c r="AOW9">
        <v>18495</v>
      </c>
      <c r="AOX9">
        <v>5.8231999999999999E-2</v>
      </c>
      <c r="AOY9">
        <v>18495</v>
      </c>
      <c r="AOZ9">
        <v>6.9153800000000001E-2</v>
      </c>
      <c r="APA9">
        <v>18495</v>
      </c>
      <c r="APB9">
        <v>0.29305219999999998</v>
      </c>
      <c r="APC9">
        <v>18495</v>
      </c>
      <c r="APD9">
        <v>0.23482020000000001</v>
      </c>
      <c r="APE9">
        <v>18495</v>
      </c>
      <c r="APF9">
        <v>0.25482559999999999</v>
      </c>
      <c r="APG9">
        <v>261801</v>
      </c>
      <c r="APH9">
        <v>9.6466399999999994E-2</v>
      </c>
      <c r="API9">
        <v>25255</v>
      </c>
      <c r="APJ9">
        <v>0</v>
      </c>
      <c r="APK9">
        <v>25255</v>
      </c>
      <c r="APL9">
        <v>1.5441999999999999E-3</v>
      </c>
      <c r="APM9">
        <v>25255</v>
      </c>
      <c r="APN9">
        <v>0</v>
      </c>
      <c r="APO9">
        <v>25255</v>
      </c>
      <c r="APP9">
        <v>4.0665199999999999E-2</v>
      </c>
      <c r="APQ9">
        <v>25255</v>
      </c>
      <c r="APR9">
        <v>7.1471000000000007E-2</v>
      </c>
      <c r="APS9">
        <v>25255</v>
      </c>
      <c r="APT9">
        <v>9.1744199999999998E-2</v>
      </c>
      <c r="APU9">
        <v>25255</v>
      </c>
      <c r="APV9">
        <v>0.1002574</v>
      </c>
      <c r="APW9">
        <v>25255</v>
      </c>
      <c r="APX9">
        <v>0.17240150000000001</v>
      </c>
      <c r="APY9">
        <v>25255</v>
      </c>
      <c r="APZ9">
        <v>0.13589390000000001</v>
      </c>
      <c r="AQA9">
        <v>25255</v>
      </c>
      <c r="AQB9">
        <v>0.1003762</v>
      </c>
      <c r="AQC9">
        <v>25255</v>
      </c>
      <c r="AQD9">
        <v>0.1094041</v>
      </c>
      <c r="AQE9">
        <v>25255</v>
      </c>
      <c r="AQF9">
        <v>0.1406058</v>
      </c>
      <c r="AQG9">
        <v>25255</v>
      </c>
      <c r="AQH9">
        <v>2.2252999999999998E-2</v>
      </c>
      <c r="AQI9">
        <v>25255</v>
      </c>
      <c r="AQJ9">
        <v>1.33835E-2</v>
      </c>
      <c r="AQK9">
        <v>91266</v>
      </c>
      <c r="AQL9">
        <v>0.14410619999999999</v>
      </c>
      <c r="AQM9">
        <v>223108</v>
      </c>
      <c r="AQN9">
        <v>0.81776090000000001</v>
      </c>
      <c r="AQO9">
        <v>182449</v>
      </c>
      <c r="AQP9">
        <v>0.79702819999999996</v>
      </c>
      <c r="AQQ9">
        <v>145417</v>
      </c>
      <c r="AQR9">
        <v>0.85270639999999998</v>
      </c>
      <c r="AQS9">
        <v>123998</v>
      </c>
      <c r="AQT9">
        <v>0.52192780000000005</v>
      </c>
      <c r="AQU9">
        <v>123998</v>
      </c>
      <c r="AQV9">
        <v>0.4780722</v>
      </c>
      <c r="AQW9">
        <v>145417</v>
      </c>
      <c r="AQX9">
        <v>0.1472936</v>
      </c>
      <c r="AQY9">
        <v>21419</v>
      </c>
      <c r="AQZ9">
        <v>0.36878470000000002</v>
      </c>
      <c r="ARA9">
        <v>7899</v>
      </c>
      <c r="ARB9">
        <v>0.41992659999999998</v>
      </c>
      <c r="ARC9">
        <v>7899</v>
      </c>
      <c r="ARD9">
        <v>0.58007339999999996</v>
      </c>
      <c r="ARE9">
        <v>21419</v>
      </c>
      <c r="ARF9">
        <v>0.63121530000000003</v>
      </c>
      <c r="ARG9">
        <v>13520</v>
      </c>
      <c r="ARH9">
        <v>0.4692308</v>
      </c>
      <c r="ARI9">
        <v>13520</v>
      </c>
      <c r="ARJ9">
        <v>0.53076920000000005</v>
      </c>
      <c r="ARK9">
        <v>182449</v>
      </c>
      <c r="ARL9">
        <v>0.20297180000000001</v>
      </c>
      <c r="ARM9">
        <v>223108</v>
      </c>
      <c r="ARN9">
        <v>0.18223909999999999</v>
      </c>
      <c r="ARO9">
        <v>40659</v>
      </c>
      <c r="ARP9">
        <v>0.58651220000000004</v>
      </c>
      <c r="ARQ9">
        <v>23847</v>
      </c>
      <c r="ARR9">
        <v>0.44840020000000003</v>
      </c>
      <c r="ARS9">
        <v>10693</v>
      </c>
      <c r="ART9">
        <v>0.71411199999999997</v>
      </c>
      <c r="ARU9">
        <v>10693</v>
      </c>
      <c r="ARV9">
        <v>0.28588799999999998</v>
      </c>
      <c r="ARW9">
        <v>23847</v>
      </c>
      <c r="ARX9">
        <v>0.55159979999999997</v>
      </c>
      <c r="ARY9">
        <v>13154</v>
      </c>
      <c r="ARZ9">
        <v>0.3321423</v>
      </c>
      <c r="ASA9">
        <v>4369</v>
      </c>
      <c r="ASB9">
        <v>0.55916679999999996</v>
      </c>
      <c r="ASC9">
        <v>4369</v>
      </c>
      <c r="ASD9">
        <v>0.44083319999999998</v>
      </c>
      <c r="ASE9">
        <v>13154</v>
      </c>
      <c r="ASF9">
        <v>0.6678577</v>
      </c>
      <c r="ASG9">
        <v>8785</v>
      </c>
      <c r="ASH9">
        <v>0.77495729999999996</v>
      </c>
      <c r="ASI9">
        <v>8785</v>
      </c>
      <c r="ASJ9">
        <v>0.22504270000000001</v>
      </c>
      <c r="ASK9">
        <v>40659</v>
      </c>
      <c r="ASL9">
        <v>0.41348780000000002</v>
      </c>
      <c r="ASM9">
        <v>215594</v>
      </c>
      <c r="ASN9">
        <v>0.58839300000000005</v>
      </c>
      <c r="ASO9">
        <v>126854</v>
      </c>
      <c r="ASP9">
        <v>0.34881830000000003</v>
      </c>
      <c r="ASQ9">
        <v>44249</v>
      </c>
      <c r="ASR9">
        <v>0.59058960000000005</v>
      </c>
      <c r="ASS9">
        <v>26133</v>
      </c>
      <c r="AST9">
        <v>0.79302030000000001</v>
      </c>
      <c r="ASU9">
        <v>26133</v>
      </c>
      <c r="ASV9">
        <v>0.20697969999999999</v>
      </c>
      <c r="ASW9">
        <v>44249</v>
      </c>
      <c r="ASX9">
        <v>0.25498880000000002</v>
      </c>
      <c r="ASY9">
        <v>11283</v>
      </c>
      <c r="ASZ9">
        <v>0.40290700000000002</v>
      </c>
      <c r="ATA9">
        <v>11283</v>
      </c>
      <c r="ATB9">
        <v>0.48240719999999998</v>
      </c>
      <c r="ATC9">
        <v>11283</v>
      </c>
      <c r="ATD9">
        <v>0.1146858</v>
      </c>
      <c r="ATE9">
        <v>44249</v>
      </c>
      <c r="ATF9">
        <v>9.6024799999999993E-2</v>
      </c>
      <c r="ATG9">
        <v>4249</v>
      </c>
      <c r="ATH9">
        <v>0.17227580000000001</v>
      </c>
      <c r="ATI9">
        <v>4249</v>
      </c>
      <c r="ATJ9">
        <v>0.2019299</v>
      </c>
      <c r="ATK9">
        <v>4249</v>
      </c>
      <c r="ATL9">
        <v>0.40503650000000002</v>
      </c>
      <c r="ATM9">
        <v>4249</v>
      </c>
      <c r="ATN9">
        <v>0.2207578</v>
      </c>
      <c r="ATO9">
        <v>44249</v>
      </c>
      <c r="ATP9">
        <v>5.8396799999999999E-2</v>
      </c>
      <c r="ATQ9">
        <v>2584</v>
      </c>
      <c r="ATR9">
        <v>0.78521669999999999</v>
      </c>
      <c r="ATS9">
        <v>2584</v>
      </c>
      <c r="ATT9">
        <v>0.21478330000000001</v>
      </c>
      <c r="ATU9">
        <v>126854</v>
      </c>
      <c r="ATV9">
        <v>0.1109859</v>
      </c>
      <c r="ATW9">
        <v>14079</v>
      </c>
      <c r="ATX9">
        <v>6.1723100000000003E-2</v>
      </c>
      <c r="ATY9">
        <v>14079</v>
      </c>
      <c r="ATZ9">
        <v>0.33489590000000002</v>
      </c>
      <c r="AUA9">
        <v>4715</v>
      </c>
      <c r="AUB9">
        <v>0.48059390000000002</v>
      </c>
      <c r="AUC9">
        <v>4715</v>
      </c>
      <c r="AUD9">
        <v>0.51940609999999998</v>
      </c>
      <c r="AUE9">
        <v>14079</v>
      </c>
      <c r="AUF9">
        <v>0.17962919999999999</v>
      </c>
      <c r="AUG9">
        <v>14079</v>
      </c>
      <c r="AUH9">
        <v>0.37076500000000001</v>
      </c>
      <c r="AUI9">
        <v>14079</v>
      </c>
      <c r="AUJ9">
        <v>5.2986699999999998E-2</v>
      </c>
      <c r="AUK9">
        <v>126854</v>
      </c>
      <c r="AUL9">
        <v>0.20232710000000001</v>
      </c>
      <c r="AUM9">
        <v>25666</v>
      </c>
      <c r="AUN9">
        <v>0.64209459999999996</v>
      </c>
      <c r="AUO9">
        <v>25666</v>
      </c>
      <c r="AUP9">
        <v>0.35790539999999998</v>
      </c>
      <c r="AUQ9">
        <v>126854</v>
      </c>
      <c r="AUR9">
        <v>0.13205729999999999</v>
      </c>
      <c r="AUS9">
        <v>16752</v>
      </c>
      <c r="AUT9">
        <v>7.9989999999999992E-3</v>
      </c>
      <c r="AUU9">
        <v>16752</v>
      </c>
      <c r="AUV9">
        <v>0.42215849999999999</v>
      </c>
      <c r="AUW9">
        <v>16752</v>
      </c>
      <c r="AUX9">
        <v>0.56984239999999997</v>
      </c>
      <c r="AUY9">
        <v>126854</v>
      </c>
      <c r="AUZ9">
        <v>0.20581140000000001</v>
      </c>
      <c r="AVA9">
        <v>26108</v>
      </c>
      <c r="AVB9">
        <v>0.40627390000000002</v>
      </c>
      <c r="AVC9">
        <v>26108</v>
      </c>
      <c r="AVD9">
        <v>0.35946840000000002</v>
      </c>
      <c r="AVE9">
        <v>26108</v>
      </c>
      <c r="AVF9">
        <v>0.23425770000000001</v>
      </c>
      <c r="AVG9">
        <v>215594</v>
      </c>
      <c r="AVH9">
        <v>0.411607</v>
      </c>
      <c r="AVI9">
        <v>88740</v>
      </c>
      <c r="AVJ9">
        <v>0.43112460000000002</v>
      </c>
      <c r="AVK9">
        <v>38258</v>
      </c>
      <c r="AVL9">
        <v>0.40987509999999999</v>
      </c>
      <c r="AVM9">
        <v>15681</v>
      </c>
      <c r="AVN9">
        <v>0.61647859999999999</v>
      </c>
      <c r="AVO9">
        <v>15681</v>
      </c>
      <c r="AVP9">
        <v>0.38352150000000002</v>
      </c>
      <c r="AVQ9">
        <v>38258</v>
      </c>
      <c r="AVR9">
        <v>7.0024600000000006E-2</v>
      </c>
      <c r="AVS9">
        <v>2679</v>
      </c>
      <c r="AVT9">
        <v>0.58044050000000003</v>
      </c>
      <c r="AVU9">
        <v>2679</v>
      </c>
      <c r="AVV9">
        <v>0.21836510000000001</v>
      </c>
      <c r="AVW9">
        <v>2679</v>
      </c>
      <c r="AVX9">
        <v>0.2011945</v>
      </c>
      <c r="AVY9">
        <v>38258</v>
      </c>
      <c r="AVZ9">
        <v>0.28872389999999998</v>
      </c>
      <c r="AWA9">
        <v>11046</v>
      </c>
      <c r="AWB9">
        <v>0.15118590000000001</v>
      </c>
      <c r="AWC9">
        <v>11046</v>
      </c>
      <c r="AWD9">
        <v>7.7313099999999996E-2</v>
      </c>
      <c r="AWE9">
        <v>11046</v>
      </c>
      <c r="AWF9">
        <v>0.71256569999999997</v>
      </c>
      <c r="AWG9">
        <v>11046</v>
      </c>
      <c r="AWH9">
        <v>5.8935399999999999E-2</v>
      </c>
      <c r="AWI9">
        <v>38258</v>
      </c>
      <c r="AWJ9">
        <v>0.23137640000000001</v>
      </c>
      <c r="AWK9">
        <v>8852</v>
      </c>
      <c r="AWL9">
        <v>0.67984630000000001</v>
      </c>
      <c r="AWM9">
        <v>8852</v>
      </c>
      <c r="AWN9">
        <v>0.32015359999999998</v>
      </c>
      <c r="AWO9">
        <v>88740</v>
      </c>
      <c r="AWP9">
        <v>0.13493350000000001</v>
      </c>
      <c r="AWQ9">
        <v>11974</v>
      </c>
      <c r="AWR9">
        <v>0.23108400000000001</v>
      </c>
      <c r="AWS9">
        <v>11974</v>
      </c>
      <c r="AWT9">
        <v>5.4785399999999998E-2</v>
      </c>
      <c r="AWU9">
        <v>656</v>
      </c>
      <c r="AWV9">
        <v>0.29725610000000002</v>
      </c>
      <c r="AWW9">
        <v>656</v>
      </c>
      <c r="AWX9">
        <v>0.70274389999999998</v>
      </c>
      <c r="AWY9">
        <v>11974</v>
      </c>
      <c r="AWZ9">
        <v>0.19550690000000001</v>
      </c>
      <c r="AXA9">
        <v>11974</v>
      </c>
      <c r="AXB9">
        <v>0.17229</v>
      </c>
      <c r="AXC9">
        <v>11974</v>
      </c>
      <c r="AXD9">
        <v>0.34633370000000002</v>
      </c>
      <c r="AXE9">
        <v>88740</v>
      </c>
      <c r="AXF9">
        <v>0.372087</v>
      </c>
      <c r="AXG9">
        <v>33019</v>
      </c>
      <c r="AXH9">
        <v>0.25527729999999998</v>
      </c>
      <c r="AXI9">
        <v>33019</v>
      </c>
      <c r="AXJ9">
        <v>0.74472269999999996</v>
      </c>
      <c r="AXK9">
        <v>88740</v>
      </c>
      <c r="AXL9">
        <v>6.6373999999999999E-3</v>
      </c>
      <c r="AXM9">
        <v>589</v>
      </c>
      <c r="AXN9">
        <v>0</v>
      </c>
      <c r="AXO9">
        <v>589</v>
      </c>
      <c r="AXP9">
        <v>0.22920199999999999</v>
      </c>
      <c r="AXQ9">
        <v>589</v>
      </c>
      <c r="AXR9">
        <v>0.77079799999999998</v>
      </c>
      <c r="AXS9">
        <v>88740</v>
      </c>
      <c r="AXT9">
        <v>5.5217500000000003E-2</v>
      </c>
      <c r="AXU9">
        <v>4900</v>
      </c>
      <c r="AXV9">
        <v>0.7795919</v>
      </c>
      <c r="AXW9">
        <v>4900</v>
      </c>
      <c r="AXX9">
        <v>9.2449000000000003E-2</v>
      </c>
      <c r="AXY9">
        <v>4900</v>
      </c>
      <c r="AXZ9">
        <v>0.1279592</v>
      </c>
      <c r="AYA9">
        <v>28584</v>
      </c>
      <c r="AYB9">
        <v>5.0727999999999997E-3</v>
      </c>
      <c r="AYC9">
        <v>28584</v>
      </c>
      <c r="AYD9">
        <v>0.1651273</v>
      </c>
      <c r="AYE9">
        <v>28584</v>
      </c>
      <c r="AYF9">
        <v>0.40743069999999998</v>
      </c>
      <c r="AYG9">
        <v>28584</v>
      </c>
      <c r="AYH9">
        <v>0.33207389999999998</v>
      </c>
      <c r="AYI9">
        <v>28584</v>
      </c>
      <c r="AYJ9">
        <v>2.6798200000000001E-2</v>
      </c>
      <c r="AYK9">
        <v>28584</v>
      </c>
      <c r="AYL9">
        <v>6.1013199999999997E-2</v>
      </c>
      <c r="AYM9">
        <v>28584</v>
      </c>
      <c r="AYN9">
        <v>2.4838999999999998E-3</v>
      </c>
      <c r="AYO9">
        <v>40628</v>
      </c>
      <c r="AYP9">
        <v>3.0274700000000002E-2</v>
      </c>
      <c r="AYQ9">
        <v>40628</v>
      </c>
      <c r="AYR9">
        <v>7.5982099999999997E-2</v>
      </c>
      <c r="AYS9">
        <v>40628</v>
      </c>
      <c r="AYT9">
        <v>0.28209610000000002</v>
      </c>
      <c r="AYU9">
        <v>40628</v>
      </c>
      <c r="AYV9">
        <v>0.2418283</v>
      </c>
      <c r="AYW9">
        <v>40628</v>
      </c>
      <c r="AYX9">
        <v>5.4248299999999999E-2</v>
      </c>
      <c r="AYY9">
        <v>40628</v>
      </c>
      <c r="AYZ9">
        <v>0.23045679999999999</v>
      </c>
      <c r="AZA9">
        <v>40628</v>
      </c>
      <c r="AZB9">
        <v>8.51137E-2</v>
      </c>
      <c r="AZC9">
        <v>53499</v>
      </c>
      <c r="AZD9">
        <v>2.4729399999999999E-2</v>
      </c>
      <c r="AZE9">
        <v>53499</v>
      </c>
      <c r="AZF9">
        <v>6.1683399999999999E-2</v>
      </c>
      <c r="AZG9">
        <v>53499</v>
      </c>
      <c r="AZH9">
        <v>0.25821040000000001</v>
      </c>
      <c r="AZI9">
        <v>53499</v>
      </c>
      <c r="AZJ9">
        <v>0.22979869999999999</v>
      </c>
      <c r="AZK9">
        <v>53499</v>
      </c>
      <c r="AZL9">
        <v>8.2020200000000001E-2</v>
      </c>
      <c r="AZM9">
        <v>53499</v>
      </c>
      <c r="AZN9">
        <v>0.22308829999999999</v>
      </c>
      <c r="AZO9">
        <v>53499</v>
      </c>
      <c r="AZP9">
        <v>0.12046949999999999</v>
      </c>
      <c r="AZQ9">
        <v>85750</v>
      </c>
      <c r="AZR9">
        <v>3.2828000000000003E-2</v>
      </c>
      <c r="AZS9">
        <v>85750</v>
      </c>
      <c r="AZT9">
        <v>5.4204099999999998E-2</v>
      </c>
      <c r="AZU9">
        <v>85750</v>
      </c>
      <c r="AZV9">
        <v>0.29043730000000001</v>
      </c>
      <c r="AZW9">
        <v>85750</v>
      </c>
      <c r="AZX9">
        <v>0.2465656</v>
      </c>
      <c r="AZY9">
        <v>85750</v>
      </c>
      <c r="AZZ9">
        <v>8.6040800000000001E-2</v>
      </c>
      <c r="BAA9">
        <v>85750</v>
      </c>
      <c r="BAB9">
        <v>0.17457729999999999</v>
      </c>
      <c r="BAC9">
        <v>85750</v>
      </c>
      <c r="BAD9">
        <v>0.1153469</v>
      </c>
      <c r="BAE9">
        <v>27515</v>
      </c>
      <c r="BAF9">
        <v>7.5122700000000001E-2</v>
      </c>
      <c r="BAG9">
        <v>27515</v>
      </c>
      <c r="BAH9">
        <v>9.3948799999999999E-2</v>
      </c>
      <c r="BAI9">
        <v>27515</v>
      </c>
      <c r="BAJ9">
        <v>0.35518810000000001</v>
      </c>
      <c r="BAK9">
        <v>27515</v>
      </c>
      <c r="BAL9">
        <v>0.23361799999999999</v>
      </c>
      <c r="BAM9">
        <v>27515</v>
      </c>
      <c r="BAN9">
        <v>1.0903100000000001E-2</v>
      </c>
      <c r="BAO9">
        <v>27515</v>
      </c>
      <c r="BAP9">
        <v>0.1163729</v>
      </c>
      <c r="BAQ9">
        <v>27515</v>
      </c>
      <c r="BAR9">
        <v>0.1148464</v>
      </c>
      <c r="BAS9">
        <v>25861</v>
      </c>
      <c r="BAT9">
        <v>1.30312E-2</v>
      </c>
      <c r="BAU9">
        <v>25861</v>
      </c>
      <c r="BAV9">
        <v>0.13008</v>
      </c>
      <c r="BAW9">
        <v>25861</v>
      </c>
      <c r="BAX9">
        <v>0.29059200000000002</v>
      </c>
      <c r="BAY9">
        <v>25861</v>
      </c>
      <c r="BAZ9">
        <v>0.4019953</v>
      </c>
      <c r="BBA9">
        <v>25861</v>
      </c>
      <c r="BBB9">
        <v>3.00839E-2</v>
      </c>
      <c r="BBC9">
        <v>25861</v>
      </c>
      <c r="BBD9">
        <v>0.1294227</v>
      </c>
      <c r="BBE9">
        <v>25861</v>
      </c>
      <c r="BBF9">
        <v>4.7949000000000004E-3</v>
      </c>
      <c r="BBG9">
        <v>42410</v>
      </c>
      <c r="BBH9">
        <v>2.2376799999999999E-2</v>
      </c>
      <c r="BBI9">
        <v>42410</v>
      </c>
      <c r="BBJ9">
        <v>3.7750499999999999E-2</v>
      </c>
      <c r="BBK9">
        <v>42410</v>
      </c>
      <c r="BBL9">
        <v>0.18806890000000001</v>
      </c>
      <c r="BBM9">
        <v>42410</v>
      </c>
      <c r="BBN9">
        <v>0.26611649999999998</v>
      </c>
      <c r="BBO9">
        <v>42410</v>
      </c>
      <c r="BBP9">
        <v>7.5406699999999993E-2</v>
      </c>
      <c r="BBQ9">
        <v>42410</v>
      </c>
      <c r="BBR9">
        <v>0.2835416</v>
      </c>
      <c r="BBS9">
        <v>42410</v>
      </c>
      <c r="BBT9">
        <v>0.12673899999999999</v>
      </c>
      <c r="BBU9">
        <v>54727</v>
      </c>
      <c r="BBV9">
        <v>1.5933599999999999E-2</v>
      </c>
      <c r="BBW9">
        <v>54727</v>
      </c>
      <c r="BBX9">
        <v>3.4023400000000002E-2</v>
      </c>
      <c r="BBY9">
        <v>54727</v>
      </c>
      <c r="BBZ9">
        <v>0.19261059999999999</v>
      </c>
      <c r="BCA9">
        <v>54727</v>
      </c>
      <c r="BCB9">
        <v>0.24353610000000001</v>
      </c>
      <c r="BCC9">
        <v>54727</v>
      </c>
      <c r="BCD9">
        <v>0.113783</v>
      </c>
      <c r="BCE9">
        <v>54727</v>
      </c>
      <c r="BCF9">
        <v>0.26041989999999998</v>
      </c>
      <c r="BCG9">
        <v>54727</v>
      </c>
      <c r="BCH9">
        <v>0.1396934</v>
      </c>
      <c r="BCI9">
        <v>86696</v>
      </c>
      <c r="BCJ9">
        <v>2.9655299999999999E-2</v>
      </c>
      <c r="BCK9">
        <v>86696</v>
      </c>
      <c r="BCL9">
        <v>3.7902600000000002E-2</v>
      </c>
      <c r="BCM9">
        <v>86696</v>
      </c>
      <c r="BCN9">
        <v>0.30719990000000003</v>
      </c>
      <c r="BCO9">
        <v>86696</v>
      </c>
      <c r="BCP9">
        <v>0.25852399999999998</v>
      </c>
      <c r="BCQ9">
        <v>86696</v>
      </c>
      <c r="BCR9">
        <v>7.9957600000000004E-2</v>
      </c>
      <c r="BCS9">
        <v>86696</v>
      </c>
      <c r="BCT9">
        <v>0.19872889999999999</v>
      </c>
      <c r="BCU9">
        <v>86696</v>
      </c>
      <c r="BCV9">
        <v>8.8031700000000004E-2</v>
      </c>
      <c r="BCW9">
        <v>35781</v>
      </c>
      <c r="BCX9">
        <v>8.7560399999999997E-2</v>
      </c>
      <c r="BCY9">
        <v>35781</v>
      </c>
      <c r="BCZ9">
        <v>0.1105056</v>
      </c>
      <c r="BDA9">
        <v>35781</v>
      </c>
      <c r="BDB9">
        <v>0.42162040000000001</v>
      </c>
      <c r="BDC9">
        <v>35781</v>
      </c>
      <c r="BDD9">
        <v>0.19876469999999999</v>
      </c>
      <c r="BDE9">
        <v>35781</v>
      </c>
      <c r="BDF9">
        <v>3.4264000000000003E-2</v>
      </c>
      <c r="BDG9">
        <v>35781</v>
      </c>
      <c r="BDH9">
        <v>7.8170000000000003E-2</v>
      </c>
      <c r="BDI9">
        <v>35781</v>
      </c>
      <c r="BDJ9">
        <v>6.9114900000000007E-2</v>
      </c>
      <c r="BDK9">
        <v>167838</v>
      </c>
      <c r="BDL9">
        <v>6.3823400000000002E-2</v>
      </c>
      <c r="BDM9">
        <v>10712</v>
      </c>
      <c r="BDN9">
        <v>0.72339430000000005</v>
      </c>
      <c r="BDO9">
        <v>7749</v>
      </c>
      <c r="BDP9">
        <v>0.56975100000000001</v>
      </c>
      <c r="BDQ9">
        <v>7749</v>
      </c>
      <c r="BDR9">
        <v>0.4302491</v>
      </c>
      <c r="BDS9">
        <v>10712</v>
      </c>
      <c r="BDT9">
        <v>0.27660570000000001</v>
      </c>
      <c r="BDU9">
        <v>2963</v>
      </c>
      <c r="BDV9">
        <v>0.61356739999999999</v>
      </c>
      <c r="BDW9">
        <v>2963</v>
      </c>
      <c r="BDX9">
        <v>0.38643270000000002</v>
      </c>
      <c r="BDY9">
        <v>167838</v>
      </c>
      <c r="BDZ9">
        <v>0.93617649999999997</v>
      </c>
      <c r="BEA9">
        <v>157126</v>
      </c>
      <c r="BEB9">
        <v>0.55799810000000005</v>
      </c>
      <c r="BEC9">
        <v>87676</v>
      </c>
      <c r="BED9">
        <v>0.74735390000000002</v>
      </c>
      <c r="BEE9">
        <v>87676</v>
      </c>
      <c r="BEF9">
        <v>0.25264609999999998</v>
      </c>
      <c r="BEG9">
        <v>157126</v>
      </c>
      <c r="BEH9">
        <v>0.44200200000000001</v>
      </c>
      <c r="BEI9">
        <v>69450</v>
      </c>
      <c r="BEJ9">
        <v>0.70954640000000002</v>
      </c>
      <c r="BEK9">
        <v>69450</v>
      </c>
      <c r="BEL9">
        <v>0.29045359999999998</v>
      </c>
      <c r="BEM9">
        <v>305022</v>
      </c>
      <c r="BEN9">
        <v>0.53425319999999998</v>
      </c>
      <c r="BEO9">
        <v>162959</v>
      </c>
      <c r="BEP9">
        <v>0.87804910000000003</v>
      </c>
      <c r="BEQ9">
        <v>143086</v>
      </c>
      <c r="BER9">
        <v>0.18920090000000001</v>
      </c>
      <c r="BES9">
        <v>143086</v>
      </c>
      <c r="BET9">
        <v>0.81079909999999999</v>
      </c>
      <c r="BEU9">
        <v>162959</v>
      </c>
      <c r="BEV9">
        <v>0.1219509</v>
      </c>
      <c r="BEW9">
        <v>305022</v>
      </c>
      <c r="BEX9">
        <v>0.46574670000000001</v>
      </c>
      <c r="BEY9">
        <v>142063</v>
      </c>
      <c r="BEZ9">
        <v>0.88391070000000005</v>
      </c>
      <c r="BFA9">
        <v>125571</v>
      </c>
      <c r="BFB9">
        <v>0.25435010000000002</v>
      </c>
      <c r="BFC9">
        <v>125571</v>
      </c>
      <c r="BFD9">
        <v>0.74564989999999998</v>
      </c>
      <c r="BFE9">
        <v>142063</v>
      </c>
      <c r="BFF9">
        <v>0.11608930000000001</v>
      </c>
      <c r="BFG9">
        <v>337420</v>
      </c>
      <c r="BFH9">
        <v>0.30064610000000003</v>
      </c>
      <c r="BFI9">
        <v>101444</v>
      </c>
      <c r="BFJ9">
        <v>0.96151569999999997</v>
      </c>
      <c r="BFK9">
        <v>101444</v>
      </c>
      <c r="BFL9">
        <v>3.8484299999999999E-2</v>
      </c>
      <c r="BFM9">
        <v>3904</v>
      </c>
      <c r="BFN9">
        <v>0.28227459999999999</v>
      </c>
      <c r="BFO9">
        <v>3904</v>
      </c>
      <c r="BFP9">
        <v>0.71772539999999996</v>
      </c>
      <c r="BFQ9">
        <v>337420</v>
      </c>
      <c r="BFR9">
        <v>0.69935389999999997</v>
      </c>
      <c r="BFS9">
        <v>235976</v>
      </c>
      <c r="BFT9">
        <v>0.84617500000000001</v>
      </c>
      <c r="BFU9">
        <v>235976</v>
      </c>
      <c r="BFV9">
        <v>0.15382499999999999</v>
      </c>
      <c r="BFW9">
        <v>36299</v>
      </c>
      <c r="BFX9">
        <v>0.49792009999999998</v>
      </c>
      <c r="BFY9">
        <v>36299</v>
      </c>
      <c r="BFZ9">
        <v>0.50207999999999997</v>
      </c>
      <c r="BGA9">
        <v>341277</v>
      </c>
      <c r="BGB9">
        <v>0.28071620000000003</v>
      </c>
      <c r="BGC9">
        <v>95802</v>
      </c>
      <c r="BGD9">
        <v>0.96602370000000004</v>
      </c>
      <c r="BGE9">
        <v>95802</v>
      </c>
      <c r="BGF9">
        <v>3.3976300000000001E-2</v>
      </c>
      <c r="BGG9">
        <v>3255</v>
      </c>
      <c r="BGH9">
        <v>0.43655909999999998</v>
      </c>
      <c r="BGI9">
        <v>3255</v>
      </c>
      <c r="BGJ9">
        <v>0.56344090000000002</v>
      </c>
      <c r="BGK9">
        <v>341277</v>
      </c>
      <c r="BGL9">
        <v>0.71928380000000003</v>
      </c>
      <c r="BGM9">
        <v>245475</v>
      </c>
      <c r="BGN9">
        <v>0.8520257</v>
      </c>
      <c r="BGO9">
        <v>245475</v>
      </c>
      <c r="BGP9">
        <v>0.1479743</v>
      </c>
      <c r="BGQ9">
        <v>36324</v>
      </c>
      <c r="BGR9">
        <v>0.51582969999999995</v>
      </c>
      <c r="BGS9">
        <v>36324</v>
      </c>
      <c r="BGT9">
        <v>0.4841703</v>
      </c>
    </row>
    <row r="10" spans="1:1554" x14ac:dyDescent="0.25">
      <c r="A10" t="s">
        <v>131</v>
      </c>
      <c r="B10">
        <v>2011</v>
      </c>
      <c r="C10">
        <v>1</v>
      </c>
      <c r="D10" t="s">
        <v>558</v>
      </c>
      <c r="E10">
        <v>55089</v>
      </c>
      <c r="F10">
        <v>0.45254040000000001</v>
      </c>
      <c r="G10">
        <v>24930</v>
      </c>
      <c r="H10">
        <v>0.13594059999999999</v>
      </c>
      <c r="I10">
        <v>24930</v>
      </c>
      <c r="J10">
        <v>5.3750999999999998E-3</v>
      </c>
      <c r="K10">
        <v>24930</v>
      </c>
      <c r="L10">
        <v>0.17152029999999999</v>
      </c>
      <c r="M10">
        <v>24930</v>
      </c>
      <c r="N10">
        <v>8.0385100000000001E-2</v>
      </c>
      <c r="O10">
        <v>24930</v>
      </c>
      <c r="P10">
        <v>1.22343E-2</v>
      </c>
      <c r="Q10">
        <v>24930</v>
      </c>
      <c r="R10">
        <v>2.04172E-2</v>
      </c>
      <c r="S10">
        <v>24930</v>
      </c>
      <c r="T10">
        <v>0.10497389999999999</v>
      </c>
      <c r="U10">
        <v>24930</v>
      </c>
      <c r="V10">
        <v>0.14296030000000001</v>
      </c>
      <c r="W10">
        <v>24930</v>
      </c>
      <c r="X10">
        <v>0.12647410000000001</v>
      </c>
      <c r="Y10">
        <v>24930</v>
      </c>
      <c r="Z10">
        <v>0.10072200000000001</v>
      </c>
      <c r="AA10">
        <v>24930</v>
      </c>
      <c r="AB10">
        <v>7.7095899999999995E-2</v>
      </c>
      <c r="AC10">
        <v>24930</v>
      </c>
      <c r="AD10">
        <v>2.1901299999999999E-2</v>
      </c>
      <c r="AE10">
        <v>24930</v>
      </c>
      <c r="AF10">
        <v>0</v>
      </c>
      <c r="AG10">
        <v>55089</v>
      </c>
      <c r="AH10">
        <v>0.54745949999999999</v>
      </c>
      <c r="AI10">
        <v>30159</v>
      </c>
      <c r="AJ10">
        <v>0.14940809999999999</v>
      </c>
      <c r="AK10">
        <v>30159</v>
      </c>
      <c r="AL10">
        <v>2.8979700000000001E-2</v>
      </c>
      <c r="AM10">
        <v>30159</v>
      </c>
      <c r="AN10">
        <v>9.4366500000000006E-2</v>
      </c>
      <c r="AO10">
        <v>30159</v>
      </c>
      <c r="AP10">
        <v>2.3939800000000001E-2</v>
      </c>
      <c r="AQ10">
        <v>30159</v>
      </c>
      <c r="AR10">
        <v>1.37936E-2</v>
      </c>
      <c r="AS10">
        <v>30159</v>
      </c>
      <c r="AT10">
        <v>4.5956400000000001E-2</v>
      </c>
      <c r="AU10">
        <v>30159</v>
      </c>
      <c r="AV10">
        <v>9.5328099999999999E-2</v>
      </c>
      <c r="AW10">
        <v>30159</v>
      </c>
      <c r="AX10">
        <v>0.14649029999999999</v>
      </c>
      <c r="AY10">
        <v>30159</v>
      </c>
      <c r="AZ10">
        <v>0.1354156</v>
      </c>
      <c r="BA10">
        <v>30159</v>
      </c>
      <c r="BB10">
        <v>0.11346530000000001</v>
      </c>
      <c r="BC10">
        <v>30159</v>
      </c>
      <c r="BD10">
        <v>7.3278300000000005E-2</v>
      </c>
      <c r="BE10">
        <v>30159</v>
      </c>
      <c r="BF10">
        <v>2.75871E-2</v>
      </c>
      <c r="BG10">
        <v>30159</v>
      </c>
      <c r="BH10">
        <v>5.1991099999999998E-2</v>
      </c>
      <c r="BI10">
        <v>619029</v>
      </c>
      <c r="BJ10">
        <v>0.49706879999999998</v>
      </c>
      <c r="BK10">
        <v>307700</v>
      </c>
      <c r="BL10">
        <v>6.4374399999999998E-2</v>
      </c>
      <c r="BM10">
        <v>307700</v>
      </c>
      <c r="BN10">
        <v>1.76568E-2</v>
      </c>
      <c r="BO10">
        <v>307700</v>
      </c>
      <c r="BP10">
        <v>0.1004355</v>
      </c>
      <c r="BQ10">
        <v>307700</v>
      </c>
      <c r="BR10">
        <v>4.7855099999999998E-2</v>
      </c>
      <c r="BS10">
        <v>307700</v>
      </c>
      <c r="BT10">
        <v>1.85635E-2</v>
      </c>
      <c r="BU10">
        <v>307700</v>
      </c>
      <c r="BV10">
        <v>3.4452400000000001E-2</v>
      </c>
      <c r="BW10">
        <v>307700</v>
      </c>
      <c r="BX10">
        <v>8.1800499999999998E-2</v>
      </c>
      <c r="BY10">
        <v>307700</v>
      </c>
      <c r="BZ10">
        <v>0.11797530000000001</v>
      </c>
      <c r="CA10">
        <v>307700</v>
      </c>
      <c r="CB10">
        <v>0.158414</v>
      </c>
      <c r="CC10">
        <v>307700</v>
      </c>
      <c r="CD10">
        <v>0.159415</v>
      </c>
      <c r="CE10">
        <v>307700</v>
      </c>
      <c r="CF10">
        <v>0.10823199999999999</v>
      </c>
      <c r="CG10">
        <v>307700</v>
      </c>
      <c r="CH10">
        <v>5.7903799999999998E-2</v>
      </c>
      <c r="CI10">
        <v>307700</v>
      </c>
      <c r="CJ10">
        <v>3.2921699999999998E-2</v>
      </c>
      <c r="CK10">
        <v>619029</v>
      </c>
      <c r="CL10">
        <v>0.50293120000000002</v>
      </c>
      <c r="CM10">
        <v>311329</v>
      </c>
      <c r="CN10">
        <v>6.2557600000000005E-2</v>
      </c>
      <c r="CO10">
        <v>311329</v>
      </c>
      <c r="CP10">
        <v>1.26458E-2</v>
      </c>
      <c r="CQ10">
        <v>311329</v>
      </c>
      <c r="CR10">
        <v>9.4006699999999999E-2</v>
      </c>
      <c r="CS10">
        <v>311329</v>
      </c>
      <c r="CT10">
        <v>5.31014E-2</v>
      </c>
      <c r="CU10">
        <v>311329</v>
      </c>
      <c r="CV10">
        <v>1.08278E-2</v>
      </c>
      <c r="CW10">
        <v>311329</v>
      </c>
      <c r="CX10">
        <v>3.7481199999999999E-2</v>
      </c>
      <c r="CY10">
        <v>311329</v>
      </c>
      <c r="CZ10">
        <v>7.5775099999999998E-2</v>
      </c>
      <c r="DA10">
        <v>311329</v>
      </c>
      <c r="DB10">
        <v>0.11770509999999999</v>
      </c>
      <c r="DC10">
        <v>311329</v>
      </c>
      <c r="DD10">
        <v>0.16134699999999999</v>
      </c>
      <c r="DE10">
        <v>311329</v>
      </c>
      <c r="DF10">
        <v>0.1562045</v>
      </c>
      <c r="DG10">
        <v>311329</v>
      </c>
      <c r="DH10">
        <v>0.1120519</v>
      </c>
      <c r="DI10">
        <v>311329</v>
      </c>
      <c r="DJ10">
        <v>6.0347699999999997E-2</v>
      </c>
      <c r="DK10">
        <v>311329</v>
      </c>
      <c r="DL10">
        <v>4.5948200000000002E-2</v>
      </c>
      <c r="DM10">
        <v>427063</v>
      </c>
      <c r="DN10">
        <v>6.61027E-2</v>
      </c>
      <c r="DO10">
        <v>28230</v>
      </c>
      <c r="DP10">
        <v>0.41431099999999998</v>
      </c>
      <c r="DQ10">
        <v>207043</v>
      </c>
      <c r="DR10">
        <v>5.6490699999999998E-2</v>
      </c>
      <c r="DS10">
        <v>11696</v>
      </c>
      <c r="DT10">
        <v>0.28146369999999998</v>
      </c>
      <c r="DU10">
        <v>20379</v>
      </c>
      <c r="DV10">
        <v>0.16153880000000001</v>
      </c>
      <c r="DW10">
        <v>11696</v>
      </c>
      <c r="DX10">
        <v>0.38252399999999998</v>
      </c>
      <c r="DY10">
        <v>55993</v>
      </c>
      <c r="DZ10">
        <v>7.9902799999999996E-2</v>
      </c>
      <c r="EA10">
        <v>11696</v>
      </c>
      <c r="EB10">
        <v>0.1708276</v>
      </c>
      <c r="EC10">
        <v>59203</v>
      </c>
      <c r="ED10">
        <v>3.3748300000000002E-2</v>
      </c>
      <c r="EE10">
        <v>11696</v>
      </c>
      <c r="EF10">
        <v>0.16518469999999999</v>
      </c>
      <c r="EG10">
        <v>71468</v>
      </c>
      <c r="EH10">
        <v>2.7033100000000001E-2</v>
      </c>
      <c r="EI10">
        <v>28230</v>
      </c>
      <c r="EJ10">
        <v>0.58568900000000002</v>
      </c>
      <c r="EK10">
        <v>220020</v>
      </c>
      <c r="EL10">
        <v>7.5147699999999998E-2</v>
      </c>
      <c r="EM10">
        <v>16534</v>
      </c>
      <c r="EN10">
        <v>0.20914479999999999</v>
      </c>
      <c r="EO10">
        <v>20948</v>
      </c>
      <c r="EP10">
        <v>0.16507540000000001</v>
      </c>
      <c r="EQ10">
        <v>16534</v>
      </c>
      <c r="ER10">
        <v>0.3434741</v>
      </c>
      <c r="ES10">
        <v>61081</v>
      </c>
      <c r="ET10">
        <v>9.2974899999999999E-2</v>
      </c>
      <c r="EU10">
        <v>16534</v>
      </c>
      <c r="EV10">
        <v>0.27543240000000002</v>
      </c>
      <c r="EW10">
        <v>65342</v>
      </c>
      <c r="EX10">
        <v>6.9694800000000001E-2</v>
      </c>
      <c r="EY10">
        <v>16534</v>
      </c>
      <c r="EZ10">
        <v>0.17194870000000001</v>
      </c>
      <c r="FA10">
        <v>72649</v>
      </c>
      <c r="FB10">
        <v>3.9133399999999999E-2</v>
      </c>
      <c r="FC10">
        <v>427063</v>
      </c>
      <c r="FD10">
        <v>0.93389730000000004</v>
      </c>
      <c r="FE10">
        <v>398833</v>
      </c>
      <c r="FF10">
        <v>0.48979650000000002</v>
      </c>
      <c r="FG10">
        <v>207043</v>
      </c>
      <c r="FH10">
        <v>0.9435093</v>
      </c>
      <c r="FI10">
        <v>195347</v>
      </c>
      <c r="FJ10">
        <v>8.7470000000000006E-2</v>
      </c>
      <c r="FK10">
        <v>20379</v>
      </c>
      <c r="FL10">
        <v>0.83846120000000002</v>
      </c>
      <c r="FM10">
        <v>195347</v>
      </c>
      <c r="FN10">
        <v>0.26373069999999998</v>
      </c>
      <c r="FO10">
        <v>55993</v>
      </c>
      <c r="FP10">
        <v>0.92009719999999995</v>
      </c>
      <c r="FQ10">
        <v>195347</v>
      </c>
      <c r="FR10">
        <v>0.29283789999999998</v>
      </c>
      <c r="FS10">
        <v>59203</v>
      </c>
      <c r="FT10">
        <v>0.96625170000000005</v>
      </c>
      <c r="FU10">
        <v>195347</v>
      </c>
      <c r="FV10">
        <v>0.35596139999999998</v>
      </c>
      <c r="FW10">
        <v>71468</v>
      </c>
      <c r="FX10">
        <v>0.97296689999999997</v>
      </c>
      <c r="FY10">
        <v>398833</v>
      </c>
      <c r="FZ10">
        <v>0.51020350000000003</v>
      </c>
      <c r="GA10">
        <v>220020</v>
      </c>
      <c r="GB10">
        <v>0.92485229999999996</v>
      </c>
      <c r="GC10">
        <v>203486</v>
      </c>
      <c r="GD10">
        <v>8.5951899999999998E-2</v>
      </c>
      <c r="GE10">
        <v>20948</v>
      </c>
      <c r="GF10">
        <v>0.83492460000000002</v>
      </c>
      <c r="GG10">
        <v>203486</v>
      </c>
      <c r="GH10">
        <v>0.27226440000000002</v>
      </c>
      <c r="GI10">
        <v>61081</v>
      </c>
      <c r="GJ10">
        <v>0.90702510000000003</v>
      </c>
      <c r="GK10">
        <v>203486</v>
      </c>
      <c r="GL10">
        <v>0.29873309999999997</v>
      </c>
      <c r="GM10">
        <v>65342</v>
      </c>
      <c r="GN10">
        <v>0.93030520000000005</v>
      </c>
      <c r="GO10">
        <v>203486</v>
      </c>
      <c r="GP10">
        <v>0.34305059999999998</v>
      </c>
      <c r="GQ10">
        <v>72649</v>
      </c>
      <c r="GR10">
        <v>0.96086660000000002</v>
      </c>
      <c r="GS10">
        <v>505481</v>
      </c>
      <c r="GT10">
        <v>7.0461599999999999E-2</v>
      </c>
      <c r="GU10">
        <v>35617</v>
      </c>
      <c r="GV10">
        <v>0.41614960000000001</v>
      </c>
      <c r="GW10">
        <v>14822</v>
      </c>
      <c r="GX10">
        <v>0.1723114</v>
      </c>
      <c r="GY10">
        <v>14822</v>
      </c>
      <c r="GZ10">
        <v>0.34300360000000002</v>
      </c>
      <c r="HA10">
        <v>14822</v>
      </c>
      <c r="HB10">
        <v>0.48468489999999997</v>
      </c>
      <c r="HC10">
        <v>14822</v>
      </c>
      <c r="HD10">
        <v>0.58224260000000005</v>
      </c>
      <c r="HE10">
        <v>14822</v>
      </c>
      <c r="HF10">
        <v>0.4177574</v>
      </c>
      <c r="HG10">
        <v>8630</v>
      </c>
      <c r="HH10">
        <v>0.69154110000000002</v>
      </c>
      <c r="HI10">
        <v>8630</v>
      </c>
      <c r="HJ10">
        <v>0.30845889999999998</v>
      </c>
      <c r="HK10">
        <v>35617</v>
      </c>
      <c r="HL10">
        <v>0.58385039999999999</v>
      </c>
      <c r="HM10">
        <v>20795</v>
      </c>
      <c r="HN10">
        <v>3.4719899999999998E-2</v>
      </c>
      <c r="HO10">
        <v>20795</v>
      </c>
      <c r="HP10">
        <v>0.3372445</v>
      </c>
      <c r="HQ10">
        <v>20795</v>
      </c>
      <c r="HR10">
        <v>0.62803560000000003</v>
      </c>
      <c r="HS10">
        <v>20795</v>
      </c>
      <c r="HT10">
        <v>0.44068289999999999</v>
      </c>
      <c r="HU10">
        <v>20795</v>
      </c>
      <c r="HV10">
        <v>0.55931719999999996</v>
      </c>
      <c r="HW10">
        <v>9164</v>
      </c>
      <c r="HX10">
        <v>0.58849850000000004</v>
      </c>
      <c r="HY10">
        <v>9164</v>
      </c>
      <c r="HZ10">
        <v>0.41150150000000002</v>
      </c>
      <c r="IA10">
        <v>505481</v>
      </c>
      <c r="IB10">
        <v>0.92953839999999999</v>
      </c>
      <c r="IC10">
        <v>469864</v>
      </c>
      <c r="ID10">
        <v>0.49188280000000001</v>
      </c>
      <c r="IE10">
        <v>231118</v>
      </c>
      <c r="IF10">
        <v>0.55272200000000005</v>
      </c>
      <c r="IG10">
        <v>231118</v>
      </c>
      <c r="IH10">
        <v>0.22393759999999999</v>
      </c>
      <c r="II10">
        <v>231118</v>
      </c>
      <c r="IJ10">
        <v>0.2233405</v>
      </c>
      <c r="IK10">
        <v>230398</v>
      </c>
      <c r="IL10">
        <v>0.77143030000000001</v>
      </c>
      <c r="IM10">
        <v>230398</v>
      </c>
      <c r="IN10">
        <v>0.22856969999999999</v>
      </c>
      <c r="IO10">
        <v>177736</v>
      </c>
      <c r="IP10">
        <v>0.91193120000000005</v>
      </c>
      <c r="IQ10">
        <v>177736</v>
      </c>
      <c r="IR10">
        <v>8.8068800000000003E-2</v>
      </c>
      <c r="IS10">
        <v>469864</v>
      </c>
      <c r="IT10">
        <v>0.50811729999999999</v>
      </c>
      <c r="IU10">
        <v>238746</v>
      </c>
      <c r="IV10">
        <v>0.37510159999999998</v>
      </c>
      <c r="IW10">
        <v>238746</v>
      </c>
      <c r="IX10">
        <v>0.2874352</v>
      </c>
      <c r="IY10">
        <v>238746</v>
      </c>
      <c r="IZ10">
        <v>0.33746330000000002</v>
      </c>
      <c r="JA10">
        <v>238746</v>
      </c>
      <c r="JB10">
        <v>0.66266239999999998</v>
      </c>
      <c r="JC10">
        <v>238746</v>
      </c>
      <c r="JD10">
        <v>0.33733760000000002</v>
      </c>
      <c r="JE10">
        <v>158208</v>
      </c>
      <c r="JF10">
        <v>0.91181230000000002</v>
      </c>
      <c r="JG10">
        <v>158208</v>
      </c>
      <c r="JH10">
        <v>8.8187699999999994E-2</v>
      </c>
      <c r="JI10">
        <v>171175</v>
      </c>
      <c r="JJ10">
        <v>9.7508399999999995E-2</v>
      </c>
      <c r="JK10">
        <v>16691</v>
      </c>
      <c r="JL10">
        <v>0.40117429999999998</v>
      </c>
      <c r="JM10">
        <v>6696</v>
      </c>
      <c r="JN10">
        <v>0.79599759999999997</v>
      </c>
      <c r="JO10">
        <v>6696</v>
      </c>
      <c r="JP10">
        <v>0.79599759999999997</v>
      </c>
      <c r="JQ10">
        <v>6696</v>
      </c>
      <c r="JR10">
        <v>0.79599759999999997</v>
      </c>
      <c r="JS10">
        <v>6696</v>
      </c>
      <c r="JT10">
        <v>0.79599759999999997</v>
      </c>
      <c r="JU10">
        <v>6696</v>
      </c>
      <c r="JV10">
        <v>0.2040024</v>
      </c>
      <c r="JW10">
        <v>16691</v>
      </c>
      <c r="JX10">
        <v>0.59882570000000002</v>
      </c>
      <c r="JY10">
        <v>9995</v>
      </c>
      <c r="JZ10">
        <v>0.1513757</v>
      </c>
      <c r="KA10">
        <v>1513</v>
      </c>
      <c r="KB10">
        <v>0.8122935</v>
      </c>
      <c r="KC10">
        <v>1229</v>
      </c>
      <c r="KD10">
        <v>0.3393002</v>
      </c>
      <c r="KE10">
        <v>1229</v>
      </c>
      <c r="KF10">
        <v>0.2082994</v>
      </c>
      <c r="KG10">
        <v>1229</v>
      </c>
      <c r="KH10">
        <v>0.45240029999999998</v>
      </c>
      <c r="KI10">
        <v>1513</v>
      </c>
      <c r="KJ10">
        <v>0.1877065</v>
      </c>
      <c r="KK10">
        <v>9995</v>
      </c>
      <c r="KL10">
        <v>0.8486243</v>
      </c>
      <c r="KM10">
        <v>8482</v>
      </c>
      <c r="KN10">
        <v>0.86099979999999998</v>
      </c>
      <c r="KO10">
        <v>7303</v>
      </c>
      <c r="KP10">
        <v>0.1170752</v>
      </c>
      <c r="KQ10">
        <v>7303</v>
      </c>
      <c r="KR10">
        <v>0.41010540000000001</v>
      </c>
      <c r="KS10">
        <v>7303</v>
      </c>
      <c r="KT10">
        <v>0.4728194</v>
      </c>
      <c r="KU10">
        <v>8482</v>
      </c>
      <c r="KV10">
        <v>0.13900019999999999</v>
      </c>
      <c r="KW10">
        <v>171175</v>
      </c>
      <c r="KX10">
        <v>2.58975E-2</v>
      </c>
      <c r="KY10">
        <v>4433</v>
      </c>
      <c r="KZ10">
        <v>0.52966389999999997</v>
      </c>
      <c r="LA10">
        <v>2348</v>
      </c>
      <c r="LB10">
        <v>0.78747869999999998</v>
      </c>
      <c r="LC10">
        <v>2348</v>
      </c>
      <c r="LD10">
        <v>0.78747869999999998</v>
      </c>
      <c r="LE10">
        <v>2348</v>
      </c>
      <c r="LF10">
        <v>0.78747869999999998</v>
      </c>
      <c r="LG10">
        <v>2348</v>
      </c>
      <c r="LH10">
        <v>0.78747869999999998</v>
      </c>
      <c r="LI10">
        <v>2348</v>
      </c>
      <c r="LJ10">
        <v>0.2125213</v>
      </c>
      <c r="LK10">
        <v>4433</v>
      </c>
      <c r="LL10">
        <v>0.47033609999999998</v>
      </c>
      <c r="LM10">
        <v>2085</v>
      </c>
      <c r="LN10">
        <v>9.0167899999999995E-2</v>
      </c>
      <c r="LO10">
        <v>188</v>
      </c>
      <c r="LP10">
        <v>1</v>
      </c>
      <c r="LQ10">
        <v>188</v>
      </c>
      <c r="LR10">
        <v>0</v>
      </c>
      <c r="LS10">
        <v>188</v>
      </c>
      <c r="LT10">
        <v>1</v>
      </c>
      <c r="LU10">
        <v>188</v>
      </c>
      <c r="LV10">
        <v>0</v>
      </c>
      <c r="LW10">
        <v>188</v>
      </c>
      <c r="LX10">
        <v>0</v>
      </c>
      <c r="LY10">
        <v>2085</v>
      </c>
      <c r="LZ10">
        <v>0.90983210000000003</v>
      </c>
      <c r="MA10">
        <v>1897</v>
      </c>
      <c r="MB10">
        <v>0.73589879999999996</v>
      </c>
      <c r="MC10">
        <v>1396</v>
      </c>
      <c r="MD10">
        <v>4.36963E-2</v>
      </c>
      <c r="ME10">
        <v>1396</v>
      </c>
      <c r="MF10">
        <v>0</v>
      </c>
      <c r="MG10">
        <v>1396</v>
      </c>
      <c r="MH10">
        <v>0.95630369999999998</v>
      </c>
      <c r="MI10">
        <v>1897</v>
      </c>
      <c r="MJ10">
        <v>0.26410119999999998</v>
      </c>
      <c r="MK10">
        <v>171175</v>
      </c>
      <c r="ML10">
        <v>3.3865899999999997E-2</v>
      </c>
      <c r="MM10">
        <v>5797</v>
      </c>
      <c r="MN10">
        <v>0.52682419999999996</v>
      </c>
      <c r="MO10">
        <v>3054</v>
      </c>
      <c r="MP10">
        <v>0.44990180000000002</v>
      </c>
      <c r="MQ10">
        <v>3054</v>
      </c>
      <c r="MR10">
        <v>0.44990180000000002</v>
      </c>
      <c r="MS10">
        <v>3054</v>
      </c>
      <c r="MT10">
        <v>0.44990180000000002</v>
      </c>
      <c r="MU10">
        <v>3054</v>
      </c>
      <c r="MV10">
        <v>0.44990180000000002</v>
      </c>
      <c r="MW10">
        <v>3054</v>
      </c>
      <c r="MX10">
        <v>0.55009819999999998</v>
      </c>
      <c r="MY10">
        <v>5797</v>
      </c>
      <c r="MZ10">
        <v>0.47317579999999998</v>
      </c>
      <c r="NA10">
        <v>2743</v>
      </c>
      <c r="NB10">
        <v>0.28873500000000002</v>
      </c>
      <c r="NC10">
        <v>792</v>
      </c>
      <c r="ND10">
        <v>0.78156570000000003</v>
      </c>
      <c r="NE10">
        <v>619</v>
      </c>
      <c r="NF10">
        <v>0</v>
      </c>
      <c r="NG10">
        <v>619</v>
      </c>
      <c r="NH10">
        <v>0.39579969999999998</v>
      </c>
      <c r="NI10">
        <v>619</v>
      </c>
      <c r="NJ10">
        <v>0.60420030000000002</v>
      </c>
      <c r="NK10">
        <v>792</v>
      </c>
      <c r="NL10">
        <v>0.2184343</v>
      </c>
      <c r="NM10">
        <v>2743</v>
      </c>
      <c r="NN10">
        <v>0.71126500000000004</v>
      </c>
      <c r="NO10">
        <v>1951</v>
      </c>
      <c r="NP10">
        <v>0.64172220000000002</v>
      </c>
      <c r="NQ10">
        <v>1252</v>
      </c>
      <c r="NR10">
        <v>0</v>
      </c>
      <c r="NS10">
        <v>1252</v>
      </c>
      <c r="NT10">
        <v>0.13258790000000001</v>
      </c>
      <c r="NU10">
        <v>1252</v>
      </c>
      <c r="NV10">
        <v>0.86741210000000002</v>
      </c>
      <c r="NW10">
        <v>1951</v>
      </c>
      <c r="NX10">
        <v>0.35827779999999998</v>
      </c>
      <c r="NY10">
        <v>171175</v>
      </c>
      <c r="NZ10">
        <v>0.84272820000000004</v>
      </c>
      <c r="OA10">
        <v>144254</v>
      </c>
      <c r="OB10">
        <v>0.85861739999999998</v>
      </c>
      <c r="OC10">
        <v>123859</v>
      </c>
      <c r="OD10">
        <v>0.52717199999999997</v>
      </c>
      <c r="OE10">
        <v>123859</v>
      </c>
      <c r="OF10">
        <v>0.52717199999999997</v>
      </c>
      <c r="OG10">
        <v>123859</v>
      </c>
      <c r="OH10">
        <v>0.52717199999999997</v>
      </c>
      <c r="OI10">
        <v>123859</v>
      </c>
      <c r="OJ10">
        <v>0.52717199999999997</v>
      </c>
      <c r="OK10">
        <v>123859</v>
      </c>
      <c r="OL10">
        <v>0.47282800000000003</v>
      </c>
      <c r="OM10">
        <v>144254</v>
      </c>
      <c r="ON10">
        <v>0.1413826</v>
      </c>
      <c r="OO10">
        <v>20395</v>
      </c>
      <c r="OP10">
        <v>0.33640599999999998</v>
      </c>
      <c r="OQ10">
        <v>6861</v>
      </c>
      <c r="OR10">
        <v>0.48972450000000001</v>
      </c>
      <c r="OS10">
        <v>3360</v>
      </c>
      <c r="OT10">
        <v>6.25E-2</v>
      </c>
      <c r="OU10">
        <v>3360</v>
      </c>
      <c r="OV10">
        <v>0.20386899999999999</v>
      </c>
      <c r="OW10">
        <v>3360</v>
      </c>
      <c r="OX10">
        <v>0.73363100000000003</v>
      </c>
      <c r="OY10">
        <v>6861</v>
      </c>
      <c r="OZ10">
        <v>0.51027549999999999</v>
      </c>
      <c r="PA10">
        <v>20395</v>
      </c>
      <c r="PB10">
        <v>0.66359400000000002</v>
      </c>
      <c r="PC10">
        <v>13534</v>
      </c>
      <c r="PD10">
        <v>0.56273090000000003</v>
      </c>
      <c r="PE10">
        <v>7616</v>
      </c>
      <c r="PF10">
        <v>0.1638656</v>
      </c>
      <c r="PG10">
        <v>7616</v>
      </c>
      <c r="PH10">
        <v>8.2064100000000001E-2</v>
      </c>
      <c r="PI10">
        <v>7616</v>
      </c>
      <c r="PJ10">
        <v>0.75407040000000003</v>
      </c>
      <c r="PK10">
        <v>13534</v>
      </c>
      <c r="PL10">
        <v>0.43726910000000002</v>
      </c>
      <c r="PM10">
        <v>681545</v>
      </c>
      <c r="PN10">
        <v>0.4954537</v>
      </c>
      <c r="PO10">
        <v>337674</v>
      </c>
      <c r="PP10">
        <v>6.9119899999999998E-2</v>
      </c>
      <c r="PQ10">
        <v>337674</v>
      </c>
      <c r="PR10">
        <v>8.6518399999999995E-2</v>
      </c>
      <c r="PS10">
        <v>337674</v>
      </c>
      <c r="PT10">
        <v>8.4205500000000003E-2</v>
      </c>
      <c r="PU10">
        <v>337674</v>
      </c>
      <c r="PV10">
        <v>5.1786600000000002E-2</v>
      </c>
      <c r="PW10">
        <v>337674</v>
      </c>
      <c r="PX10">
        <v>2.8420899999999999E-2</v>
      </c>
      <c r="PY10">
        <v>337674</v>
      </c>
      <c r="PZ10">
        <v>1.13601E-2</v>
      </c>
      <c r="QA10">
        <v>337674</v>
      </c>
      <c r="QB10">
        <v>1.10136E-2</v>
      </c>
      <c r="QC10">
        <v>337674</v>
      </c>
      <c r="QD10">
        <v>3.6218399999999998E-2</v>
      </c>
      <c r="QE10">
        <v>337674</v>
      </c>
      <c r="QF10">
        <v>5.7099499999999997E-2</v>
      </c>
      <c r="QG10">
        <v>337674</v>
      </c>
      <c r="QH10">
        <v>6.3306600000000005E-2</v>
      </c>
      <c r="QI10">
        <v>337674</v>
      </c>
      <c r="QJ10">
        <v>6.8583900000000003E-2</v>
      </c>
      <c r="QK10">
        <v>337674</v>
      </c>
      <c r="QL10">
        <v>8.68974E-2</v>
      </c>
      <c r="QM10">
        <v>337674</v>
      </c>
      <c r="QN10">
        <v>8.0693200000000007E-2</v>
      </c>
      <c r="QO10">
        <v>337674</v>
      </c>
      <c r="QP10">
        <v>7.3562100000000005E-2</v>
      </c>
      <c r="QQ10">
        <v>337674</v>
      </c>
      <c r="QR10">
        <v>5.63887E-2</v>
      </c>
      <c r="QS10">
        <v>337674</v>
      </c>
      <c r="QT10">
        <v>1.9705400000000001E-2</v>
      </c>
      <c r="QU10">
        <v>337674</v>
      </c>
      <c r="QV10">
        <v>2.8853299999999998E-2</v>
      </c>
      <c r="QW10">
        <v>337674</v>
      </c>
      <c r="QX10">
        <v>1.52455E-2</v>
      </c>
      <c r="QY10">
        <v>337674</v>
      </c>
      <c r="QZ10">
        <v>1.9826799999999999E-2</v>
      </c>
      <c r="RA10">
        <v>337674</v>
      </c>
      <c r="RB10">
        <v>1.96817E-2</v>
      </c>
      <c r="RC10">
        <v>337674</v>
      </c>
      <c r="RD10">
        <v>1.42238E-2</v>
      </c>
      <c r="RE10">
        <v>337674</v>
      </c>
      <c r="RF10">
        <v>9.0176000000000006E-3</v>
      </c>
      <c r="RG10">
        <v>337674</v>
      </c>
      <c r="RH10">
        <v>8.2713000000000005E-3</v>
      </c>
      <c r="RI10">
        <v>681545</v>
      </c>
      <c r="RJ10">
        <v>0.5045463</v>
      </c>
      <c r="RK10">
        <v>343871</v>
      </c>
      <c r="RL10">
        <v>6.9973900000000006E-2</v>
      </c>
      <c r="RM10">
        <v>343871</v>
      </c>
      <c r="RN10">
        <v>7.6636300000000004E-2</v>
      </c>
      <c r="RO10">
        <v>343871</v>
      </c>
      <c r="RP10">
        <v>8.1675999999999999E-2</v>
      </c>
      <c r="RQ10">
        <v>343871</v>
      </c>
      <c r="RR10">
        <v>4.89951E-2</v>
      </c>
      <c r="RS10">
        <v>343871</v>
      </c>
      <c r="RT10">
        <v>2.5782900000000001E-2</v>
      </c>
      <c r="RU10">
        <v>343871</v>
      </c>
      <c r="RV10">
        <v>7.5959E-3</v>
      </c>
      <c r="RW10">
        <v>343871</v>
      </c>
      <c r="RX10">
        <v>1.24145E-2</v>
      </c>
      <c r="RY10">
        <v>343871</v>
      </c>
      <c r="RZ10">
        <v>3.2695399999999999E-2</v>
      </c>
      <c r="SA10">
        <v>343871</v>
      </c>
      <c r="SB10">
        <v>5.4005699999999997E-2</v>
      </c>
      <c r="SC10">
        <v>343871</v>
      </c>
      <c r="SD10">
        <v>6.5556600000000007E-2</v>
      </c>
      <c r="SE10">
        <v>343871</v>
      </c>
      <c r="SF10">
        <v>7.5749300000000006E-2</v>
      </c>
      <c r="SG10">
        <v>343871</v>
      </c>
      <c r="SH10">
        <v>8.2205200000000006E-2</v>
      </c>
      <c r="SI10">
        <v>343871</v>
      </c>
      <c r="SJ10">
        <v>7.9224500000000003E-2</v>
      </c>
      <c r="SK10">
        <v>343871</v>
      </c>
      <c r="SL10">
        <v>7.2149199999999997E-2</v>
      </c>
      <c r="SM10">
        <v>343871</v>
      </c>
      <c r="SN10">
        <v>5.6556099999999998E-2</v>
      </c>
      <c r="SO10">
        <v>343871</v>
      </c>
      <c r="SP10">
        <v>1.9420099999999999E-2</v>
      </c>
      <c r="SQ10">
        <v>343871</v>
      </c>
      <c r="SR10">
        <v>3.1898599999999999E-2</v>
      </c>
      <c r="SS10">
        <v>343871</v>
      </c>
      <c r="ST10">
        <v>1.45083E-2</v>
      </c>
      <c r="SU10">
        <v>343871</v>
      </c>
      <c r="SV10">
        <v>1.81318E-2</v>
      </c>
      <c r="SW10">
        <v>343871</v>
      </c>
      <c r="SX10">
        <v>2.46866E-2</v>
      </c>
      <c r="SY10">
        <v>343871</v>
      </c>
      <c r="SZ10">
        <v>1.65702E-2</v>
      </c>
      <c r="TA10">
        <v>343871</v>
      </c>
      <c r="TB10">
        <v>1.6058300000000001E-2</v>
      </c>
      <c r="TC10">
        <v>343871</v>
      </c>
      <c r="TD10">
        <v>1.7509500000000001E-2</v>
      </c>
      <c r="TE10">
        <v>524014</v>
      </c>
      <c r="TF10">
        <v>0.4994847</v>
      </c>
      <c r="TG10">
        <v>73613</v>
      </c>
      <c r="TH10">
        <v>0.48609619999999998</v>
      </c>
      <c r="TI10"/>
      <c r="TJ10"/>
      <c r="TK10">
        <v>30237</v>
      </c>
      <c r="TL10">
        <v>0.46214899999999998</v>
      </c>
      <c r="TM10"/>
      <c r="TN10"/>
      <c r="TO10">
        <v>33357</v>
      </c>
      <c r="TP10">
        <v>0.49279010000000001</v>
      </c>
      <c r="TQ10">
        <v>18709</v>
      </c>
      <c r="TR10">
        <v>0.49751459999999997</v>
      </c>
      <c r="TS10">
        <v>455348</v>
      </c>
      <c r="TT10">
        <v>0.49503900000000001</v>
      </c>
      <c r="TU10">
        <v>108209</v>
      </c>
      <c r="TV10">
        <v>0.51638030000000001</v>
      </c>
      <c r="TW10">
        <v>524014</v>
      </c>
      <c r="TX10">
        <v>0.5005153</v>
      </c>
      <c r="TY10">
        <v>73613</v>
      </c>
      <c r="TZ10">
        <v>0.51390380000000002</v>
      </c>
      <c r="UA10"/>
      <c r="UB10"/>
      <c r="UC10">
        <v>30237</v>
      </c>
      <c r="UD10">
        <v>0.53785099999999997</v>
      </c>
      <c r="UE10"/>
      <c r="UF10"/>
      <c r="UG10">
        <v>33357</v>
      </c>
      <c r="UH10">
        <v>0.50720989999999999</v>
      </c>
      <c r="UI10">
        <v>18709</v>
      </c>
      <c r="UJ10">
        <v>0.50248550000000003</v>
      </c>
      <c r="UK10">
        <v>455348</v>
      </c>
      <c r="UL10">
        <v>0.50496099999999999</v>
      </c>
      <c r="UM10">
        <v>108209</v>
      </c>
      <c r="UN10">
        <v>0.48361969999999999</v>
      </c>
      <c r="UO10">
        <v>158166</v>
      </c>
      <c r="UP10">
        <v>158166</v>
      </c>
      <c r="UQ10">
        <v>158166</v>
      </c>
      <c r="UR10">
        <v>139589</v>
      </c>
      <c r="US10">
        <v>139589</v>
      </c>
      <c r="UT10">
        <v>139589</v>
      </c>
      <c r="UU10">
        <v>4.5522000000000002E-3</v>
      </c>
      <c r="UV10">
        <v>0.90546009999999999</v>
      </c>
      <c r="UW10">
        <v>8.9987700000000004E-2</v>
      </c>
      <c r="UX10">
        <v>0</v>
      </c>
      <c r="UY10">
        <v>0.90054369999999995</v>
      </c>
      <c r="UZ10">
        <v>9.9456299999999997E-2</v>
      </c>
      <c r="VA10">
        <v>10373</v>
      </c>
      <c r="VB10">
        <v>0</v>
      </c>
      <c r="VC10">
        <v>10373</v>
      </c>
      <c r="VD10">
        <v>0.8627205</v>
      </c>
      <c r="VE10">
        <v>10373</v>
      </c>
      <c r="VF10">
        <v>0.1372795</v>
      </c>
      <c r="VG10">
        <v>16750</v>
      </c>
      <c r="VH10">
        <v>0</v>
      </c>
      <c r="VI10">
        <v>16750</v>
      </c>
      <c r="VJ10">
        <v>0.90770150000000005</v>
      </c>
      <c r="VK10">
        <v>16750</v>
      </c>
      <c r="VL10">
        <v>9.2298500000000006E-2</v>
      </c>
      <c r="VM10">
        <v>19638</v>
      </c>
      <c r="VN10">
        <v>0</v>
      </c>
      <c r="VO10">
        <v>19638</v>
      </c>
      <c r="VP10">
        <v>0.8873103</v>
      </c>
      <c r="VQ10">
        <v>19638</v>
      </c>
      <c r="VR10">
        <v>0.1126897</v>
      </c>
      <c r="VS10">
        <v>49264</v>
      </c>
      <c r="VT10">
        <v>1.4615100000000001E-2</v>
      </c>
      <c r="VU10">
        <v>49264</v>
      </c>
      <c r="VV10">
        <v>0.90199739999999995</v>
      </c>
      <c r="VW10">
        <v>49264</v>
      </c>
      <c r="VX10">
        <v>8.3387500000000003E-2</v>
      </c>
      <c r="VY10">
        <v>46353</v>
      </c>
      <c r="VZ10">
        <v>0</v>
      </c>
      <c r="WA10">
        <v>46353</v>
      </c>
      <c r="WB10">
        <v>0.92751280000000003</v>
      </c>
      <c r="WC10">
        <v>46353</v>
      </c>
      <c r="WD10">
        <v>7.2487200000000002E-2</v>
      </c>
      <c r="WE10">
        <v>15788</v>
      </c>
      <c r="WF10">
        <v>0</v>
      </c>
      <c r="WG10">
        <v>15788</v>
      </c>
      <c r="WH10">
        <v>0.89979730000000002</v>
      </c>
      <c r="WI10">
        <v>15788</v>
      </c>
      <c r="WJ10">
        <v>0.10020270000000001</v>
      </c>
      <c r="WK10">
        <v>9999</v>
      </c>
      <c r="WL10">
        <v>0</v>
      </c>
      <c r="WM10">
        <v>9999</v>
      </c>
      <c r="WN10">
        <v>0.79887989999999998</v>
      </c>
      <c r="WO10">
        <v>9999</v>
      </c>
      <c r="WP10">
        <v>0.2011201</v>
      </c>
      <c r="WQ10">
        <v>15170</v>
      </c>
      <c r="WR10">
        <v>0</v>
      </c>
      <c r="WS10">
        <v>15170</v>
      </c>
      <c r="WT10">
        <v>0.87468690000000004</v>
      </c>
      <c r="WU10">
        <v>15170</v>
      </c>
      <c r="WV10">
        <v>0.12531310000000001</v>
      </c>
      <c r="WW10">
        <v>17186</v>
      </c>
      <c r="WX10">
        <v>0</v>
      </c>
      <c r="WY10">
        <v>17186</v>
      </c>
      <c r="WZ10">
        <v>0.89782379999999995</v>
      </c>
      <c r="XA10">
        <v>17186</v>
      </c>
      <c r="XB10">
        <v>0.10217619999999999</v>
      </c>
      <c r="XC10">
        <v>40726</v>
      </c>
      <c r="XD10">
        <v>0</v>
      </c>
      <c r="XE10">
        <v>40726</v>
      </c>
      <c r="XF10">
        <v>0.93002019999999996</v>
      </c>
      <c r="XG10">
        <v>40726</v>
      </c>
      <c r="XH10">
        <v>6.9979899999999998E-2</v>
      </c>
      <c r="XI10">
        <v>41256</v>
      </c>
      <c r="XJ10">
        <v>0</v>
      </c>
      <c r="XK10">
        <v>41256</v>
      </c>
      <c r="XL10">
        <v>0.90074169999999998</v>
      </c>
      <c r="XM10">
        <v>41256</v>
      </c>
      <c r="XN10">
        <v>9.9258299999999994E-2</v>
      </c>
      <c r="XO10">
        <v>15252</v>
      </c>
      <c r="XP10">
        <v>0</v>
      </c>
      <c r="XQ10">
        <v>15252</v>
      </c>
      <c r="XR10">
        <v>0.91673230000000006</v>
      </c>
      <c r="XS10">
        <v>15252</v>
      </c>
      <c r="XT10">
        <v>8.3267800000000003E-2</v>
      </c>
      <c r="XU10">
        <v>446149</v>
      </c>
      <c r="XV10">
        <v>0.4965292</v>
      </c>
      <c r="XW10">
        <v>221526</v>
      </c>
      <c r="XX10">
        <v>0.81636019999999998</v>
      </c>
      <c r="XY10">
        <v>221526</v>
      </c>
      <c r="XZ10">
        <v>0.18363979999999999</v>
      </c>
      <c r="YA10">
        <v>180845</v>
      </c>
      <c r="YB10">
        <v>0.8348641</v>
      </c>
      <c r="YC10">
        <v>150981</v>
      </c>
      <c r="YD10">
        <v>0.83611849999999999</v>
      </c>
      <c r="YE10">
        <v>150981</v>
      </c>
      <c r="YF10">
        <v>1.33858E-2</v>
      </c>
      <c r="YG10">
        <v>150981</v>
      </c>
      <c r="YH10">
        <v>3.36797E-2</v>
      </c>
      <c r="YI10">
        <v>150981</v>
      </c>
      <c r="YJ10">
        <v>4.9953299999999999E-2</v>
      </c>
      <c r="YK10">
        <v>150981</v>
      </c>
      <c r="YL10">
        <v>2.5989999999999999E-2</v>
      </c>
      <c r="YM10">
        <v>150981</v>
      </c>
      <c r="YN10">
        <v>4.0872699999999998E-2</v>
      </c>
      <c r="YO10">
        <v>180845</v>
      </c>
      <c r="YP10">
        <v>0.13429730000000001</v>
      </c>
      <c r="YQ10">
        <v>24287</v>
      </c>
      <c r="YR10">
        <v>0.369004</v>
      </c>
      <c r="YS10">
        <v>24287</v>
      </c>
      <c r="YT10">
        <v>7.6172000000000002E-3</v>
      </c>
      <c r="YU10">
        <v>24287</v>
      </c>
      <c r="YV10">
        <v>8.1154500000000004E-2</v>
      </c>
      <c r="YW10">
        <v>24287</v>
      </c>
      <c r="YX10">
        <v>0.1017417</v>
      </c>
      <c r="YY10">
        <v>24287</v>
      </c>
      <c r="YZ10">
        <v>0.20335980000000001</v>
      </c>
      <c r="ZA10">
        <v>24287</v>
      </c>
      <c r="ZB10">
        <v>0.23712269999999999</v>
      </c>
      <c r="ZC10">
        <v>180845</v>
      </c>
      <c r="ZD10">
        <v>3.0838600000000001E-2</v>
      </c>
      <c r="ZE10">
        <v>5577</v>
      </c>
      <c r="ZF10">
        <v>0.22449350000000001</v>
      </c>
      <c r="ZG10">
        <v>5577</v>
      </c>
      <c r="ZH10">
        <v>0</v>
      </c>
      <c r="ZI10">
        <v>5577</v>
      </c>
      <c r="ZJ10">
        <v>6.8495600000000004E-2</v>
      </c>
      <c r="ZK10">
        <v>5577</v>
      </c>
      <c r="ZL10">
        <v>0.21678320000000001</v>
      </c>
      <c r="ZM10">
        <v>5577</v>
      </c>
      <c r="ZN10">
        <v>8.0329899999999996E-2</v>
      </c>
      <c r="ZO10">
        <v>5577</v>
      </c>
      <c r="ZP10">
        <v>0.40989779999999998</v>
      </c>
      <c r="ZQ10">
        <v>446149</v>
      </c>
      <c r="ZR10">
        <v>0.5034708</v>
      </c>
      <c r="ZS10">
        <v>224623</v>
      </c>
      <c r="ZT10">
        <v>0.71649830000000003</v>
      </c>
      <c r="ZU10">
        <v>224623</v>
      </c>
      <c r="ZV10">
        <v>0.28350170000000002</v>
      </c>
      <c r="ZW10">
        <v>160942</v>
      </c>
      <c r="ZX10">
        <v>0.6499298</v>
      </c>
      <c r="ZY10">
        <v>104601</v>
      </c>
      <c r="ZZ10">
        <v>0.84613910000000003</v>
      </c>
      <c r="AAA10">
        <v>104601</v>
      </c>
      <c r="AAB10">
        <v>1.26959E-2</v>
      </c>
      <c r="AAC10">
        <v>104601</v>
      </c>
      <c r="AAD10">
        <v>2.9645999999999999E-2</v>
      </c>
      <c r="AAE10">
        <v>104601</v>
      </c>
      <c r="AAF10">
        <v>4.2915500000000002E-2</v>
      </c>
      <c r="AAG10">
        <v>104601</v>
      </c>
      <c r="AAH10">
        <v>3.7208100000000001E-2</v>
      </c>
      <c r="AAI10">
        <v>104601</v>
      </c>
      <c r="AAJ10">
        <v>3.13955E-2</v>
      </c>
      <c r="AAK10">
        <v>160942</v>
      </c>
      <c r="AAL10">
        <v>0.28216380000000002</v>
      </c>
      <c r="AAM10">
        <v>45412</v>
      </c>
      <c r="AAN10">
        <v>0.55441289999999999</v>
      </c>
      <c r="AAO10">
        <v>45412</v>
      </c>
      <c r="AAP10">
        <v>2.2835399999999999E-2</v>
      </c>
      <c r="AAQ10">
        <v>45412</v>
      </c>
      <c r="AAR10">
        <v>6.6127900000000003E-2</v>
      </c>
      <c r="AAS10">
        <v>45412</v>
      </c>
      <c r="AAT10">
        <v>0.1288646</v>
      </c>
      <c r="AAU10">
        <v>45412</v>
      </c>
      <c r="AAV10">
        <v>0.105809</v>
      </c>
      <c r="AAW10">
        <v>45412</v>
      </c>
      <c r="AAX10">
        <v>0.12195010000000001</v>
      </c>
      <c r="AAY10">
        <v>160942</v>
      </c>
      <c r="AAZ10">
        <v>6.7906499999999995E-2</v>
      </c>
      <c r="ABA10">
        <v>10929</v>
      </c>
      <c r="ABB10">
        <v>0.28145300000000001</v>
      </c>
      <c r="ABC10">
        <v>10929</v>
      </c>
      <c r="ABD10">
        <v>3.4586899999999997E-2</v>
      </c>
      <c r="ABE10">
        <v>10929</v>
      </c>
      <c r="ABF10">
        <v>4.5475300000000003E-2</v>
      </c>
      <c r="ABG10">
        <v>10929</v>
      </c>
      <c r="ABH10">
        <v>0.17750940000000001</v>
      </c>
      <c r="ABI10">
        <v>10929</v>
      </c>
      <c r="ABJ10">
        <v>0.10806109999999999</v>
      </c>
      <c r="ABK10">
        <v>10929</v>
      </c>
      <c r="ABL10">
        <v>0.35291430000000001</v>
      </c>
      <c r="ABM10">
        <v>220536</v>
      </c>
      <c r="ABN10">
        <v>0.77617709999999995</v>
      </c>
      <c r="ABO10">
        <v>171175</v>
      </c>
      <c r="ABP10">
        <v>0.79425730000000005</v>
      </c>
      <c r="ABQ10">
        <v>171175</v>
      </c>
      <c r="ABR10">
        <v>0.2057427</v>
      </c>
      <c r="ABS10">
        <v>35218</v>
      </c>
      <c r="ABT10">
        <v>0.26560280000000003</v>
      </c>
      <c r="ABU10">
        <v>35218</v>
      </c>
      <c r="ABV10">
        <v>0.73439719999999997</v>
      </c>
      <c r="ABW10">
        <v>220536</v>
      </c>
      <c r="ABX10">
        <v>0.22382289999999999</v>
      </c>
      <c r="ABY10">
        <v>49361</v>
      </c>
      <c r="ABZ10">
        <v>0.87775769999999997</v>
      </c>
      <c r="ACA10">
        <v>49361</v>
      </c>
      <c r="ACB10">
        <v>0.1222423</v>
      </c>
      <c r="ACC10">
        <v>522055</v>
      </c>
      <c r="ACD10">
        <v>0.49168190000000001</v>
      </c>
      <c r="ACE10">
        <v>256685</v>
      </c>
      <c r="ACF10">
        <v>0.3209303</v>
      </c>
      <c r="ACG10">
        <v>82378</v>
      </c>
      <c r="ACH10">
        <v>0.21227750000000001</v>
      </c>
      <c r="ACI10">
        <v>82378</v>
      </c>
      <c r="ACJ10">
        <v>0.11649959999999999</v>
      </c>
      <c r="ACK10">
        <v>82378</v>
      </c>
      <c r="ACL10">
        <v>0.2262255</v>
      </c>
      <c r="ACM10">
        <v>82378</v>
      </c>
      <c r="ACN10">
        <v>0.14914179999999999</v>
      </c>
      <c r="ACO10">
        <v>82378</v>
      </c>
      <c r="ACP10">
        <v>9.42606E-2</v>
      </c>
      <c r="ACQ10">
        <v>82378</v>
      </c>
      <c r="ACR10">
        <v>5.8486499999999997E-2</v>
      </c>
      <c r="ACS10">
        <v>82378</v>
      </c>
      <c r="ACT10">
        <v>3.8566099999999999E-2</v>
      </c>
      <c r="ACU10">
        <v>82378</v>
      </c>
      <c r="ACV10">
        <v>3.5664899999999999E-2</v>
      </c>
      <c r="ACW10">
        <v>82378</v>
      </c>
      <c r="ACX10">
        <v>2.5977799999999999E-2</v>
      </c>
      <c r="ACY10">
        <v>82378</v>
      </c>
      <c r="ACZ10">
        <v>1.3450200000000001E-2</v>
      </c>
      <c r="ADA10">
        <v>82378</v>
      </c>
      <c r="ADB10">
        <v>1.5598799999999999E-2</v>
      </c>
      <c r="ADC10">
        <v>82378</v>
      </c>
      <c r="ADD10">
        <v>8.0482999999999996E-3</v>
      </c>
      <c r="ADE10">
        <v>82378</v>
      </c>
      <c r="ADF10">
        <v>2.8890999999999999E-3</v>
      </c>
      <c r="ADG10">
        <v>82378</v>
      </c>
      <c r="ADH10">
        <v>2.9134E-3</v>
      </c>
      <c r="ADI10">
        <v>256685</v>
      </c>
      <c r="ADJ10">
        <v>0.58421020000000001</v>
      </c>
      <c r="ADK10">
        <v>149958</v>
      </c>
      <c r="ADL10">
        <v>0.94937910000000003</v>
      </c>
      <c r="ADM10">
        <v>142367</v>
      </c>
      <c r="ADN10">
        <v>0</v>
      </c>
      <c r="ADO10">
        <v>142367</v>
      </c>
      <c r="ADP10">
        <v>0</v>
      </c>
      <c r="ADQ10">
        <v>142367</v>
      </c>
      <c r="ADR10">
        <v>3.1608000000000001E-3</v>
      </c>
      <c r="ADS10">
        <v>142367</v>
      </c>
      <c r="ADT10">
        <v>3.8667699999999999E-2</v>
      </c>
      <c r="ADU10">
        <v>142367</v>
      </c>
      <c r="ADV10">
        <v>8.3116200000000001E-2</v>
      </c>
      <c r="ADW10">
        <v>142367</v>
      </c>
      <c r="ADX10">
        <v>0.1100817</v>
      </c>
      <c r="ADY10">
        <v>142367</v>
      </c>
      <c r="ADZ10">
        <v>0.15066689999999999</v>
      </c>
      <c r="AEA10">
        <v>142367</v>
      </c>
      <c r="AEB10">
        <v>0.1436077</v>
      </c>
      <c r="AEC10">
        <v>142367</v>
      </c>
      <c r="AED10">
        <v>0.13196179999999999</v>
      </c>
      <c r="AEE10">
        <v>142367</v>
      </c>
      <c r="AEF10">
        <v>0.1047083</v>
      </c>
      <c r="AEG10">
        <v>142367</v>
      </c>
      <c r="AEH10">
        <v>9.1334399999999996E-2</v>
      </c>
      <c r="AEI10">
        <v>142367</v>
      </c>
      <c r="AEJ10">
        <v>9.4881499999999994E-2</v>
      </c>
      <c r="AEK10">
        <v>142367</v>
      </c>
      <c r="AEL10">
        <v>3.9686199999999998E-2</v>
      </c>
      <c r="AEM10">
        <v>142367</v>
      </c>
      <c r="AEN10">
        <v>8.1268999999999994E-3</v>
      </c>
      <c r="AEO10">
        <v>149958</v>
      </c>
      <c r="AEP10">
        <v>5.0620800000000001E-2</v>
      </c>
      <c r="AEQ10">
        <v>7591</v>
      </c>
      <c r="AER10">
        <v>0.24937429999999999</v>
      </c>
      <c r="AES10">
        <v>1893</v>
      </c>
      <c r="AET10">
        <v>0</v>
      </c>
      <c r="AEU10">
        <v>1893</v>
      </c>
      <c r="AEV10">
        <v>0</v>
      </c>
      <c r="AEW10">
        <v>1893</v>
      </c>
      <c r="AEX10">
        <v>0.1167459</v>
      </c>
      <c r="AEY10">
        <v>1893</v>
      </c>
      <c r="AEZ10">
        <v>9.4558900000000001E-2</v>
      </c>
      <c r="AFA10">
        <v>1893</v>
      </c>
      <c r="AFB10">
        <v>6.3919699999999996E-2</v>
      </c>
      <c r="AFC10">
        <v>1893</v>
      </c>
      <c r="AFD10">
        <v>0</v>
      </c>
      <c r="AFE10">
        <v>1893</v>
      </c>
      <c r="AFF10">
        <v>9.0332800000000005E-2</v>
      </c>
      <c r="AFG10">
        <v>1893</v>
      </c>
      <c r="AFH10">
        <v>0.20390910000000001</v>
      </c>
      <c r="AFI10">
        <v>1893</v>
      </c>
      <c r="AFJ10">
        <v>8.9804499999999995E-2</v>
      </c>
      <c r="AFK10">
        <v>1893</v>
      </c>
      <c r="AFL10">
        <v>3.9619700000000001E-2</v>
      </c>
      <c r="AFM10">
        <v>1893</v>
      </c>
      <c r="AFN10">
        <v>3.38088E-2</v>
      </c>
      <c r="AFO10">
        <v>1893</v>
      </c>
      <c r="AFP10">
        <v>0.24722659999999999</v>
      </c>
      <c r="AFQ10">
        <v>1893</v>
      </c>
      <c r="AFR10">
        <v>2.0074000000000002E-2</v>
      </c>
      <c r="AFS10">
        <v>1893</v>
      </c>
      <c r="AFT10">
        <v>0</v>
      </c>
      <c r="AFU10">
        <v>7591</v>
      </c>
      <c r="AFV10">
        <v>0.75062569999999995</v>
      </c>
      <c r="AFW10">
        <v>5698</v>
      </c>
      <c r="AFX10">
        <v>0</v>
      </c>
      <c r="AFY10">
        <v>5698</v>
      </c>
      <c r="AFZ10">
        <v>0</v>
      </c>
      <c r="AGA10">
        <v>5698</v>
      </c>
      <c r="AGB10">
        <v>8.3889099999999994E-2</v>
      </c>
      <c r="AGC10">
        <v>5698</v>
      </c>
      <c r="AGD10">
        <v>0.1189891</v>
      </c>
      <c r="AGE10">
        <v>5698</v>
      </c>
      <c r="AGF10">
        <v>0.11969109999999999</v>
      </c>
      <c r="AGG10">
        <v>5698</v>
      </c>
      <c r="AGH10">
        <v>9.9333099999999994E-2</v>
      </c>
      <c r="AGI10">
        <v>5698</v>
      </c>
      <c r="AGJ10">
        <v>0.15970519999999999</v>
      </c>
      <c r="AGK10">
        <v>5698</v>
      </c>
      <c r="AGL10">
        <v>3.3169499999999998E-2</v>
      </c>
      <c r="AGM10">
        <v>5698</v>
      </c>
      <c r="AGN10">
        <v>2.5096500000000001E-2</v>
      </c>
      <c r="AGO10">
        <v>5698</v>
      </c>
      <c r="AGP10">
        <v>3.6152999999999998E-2</v>
      </c>
      <c r="AGQ10">
        <v>5698</v>
      </c>
      <c r="AGR10">
        <v>1.7198999999999999E-2</v>
      </c>
      <c r="AGS10">
        <v>5698</v>
      </c>
      <c r="AGT10">
        <v>0.19954369999999999</v>
      </c>
      <c r="AGU10">
        <v>5698</v>
      </c>
      <c r="AGV10">
        <v>4.5454500000000002E-2</v>
      </c>
      <c r="AGW10">
        <v>5698</v>
      </c>
      <c r="AGX10">
        <v>6.17761E-2</v>
      </c>
      <c r="AGY10">
        <v>256685</v>
      </c>
      <c r="AGZ10">
        <v>1.7912999999999998E-2</v>
      </c>
      <c r="AHA10">
        <v>4598</v>
      </c>
      <c r="AHB10">
        <v>0</v>
      </c>
      <c r="AHC10">
        <v>4598</v>
      </c>
      <c r="AHD10">
        <v>0</v>
      </c>
      <c r="AHE10">
        <v>4598</v>
      </c>
      <c r="AHF10">
        <v>0</v>
      </c>
      <c r="AHG10">
        <v>4598</v>
      </c>
      <c r="AHH10">
        <v>2.1531100000000001E-2</v>
      </c>
      <c r="AHI10">
        <v>4598</v>
      </c>
      <c r="AHJ10">
        <v>0</v>
      </c>
      <c r="AHK10">
        <v>4598</v>
      </c>
      <c r="AHL10">
        <v>0</v>
      </c>
      <c r="AHM10">
        <v>4598</v>
      </c>
      <c r="AHN10">
        <v>3.4797999999999999E-3</v>
      </c>
      <c r="AHO10">
        <v>4598</v>
      </c>
      <c r="AHP10">
        <v>1.7398899999999998E-2</v>
      </c>
      <c r="AHQ10">
        <v>4598</v>
      </c>
      <c r="AHR10">
        <v>2.63158E-2</v>
      </c>
      <c r="AHS10">
        <v>4598</v>
      </c>
      <c r="AHT10">
        <v>8.2209699999999997E-2</v>
      </c>
      <c r="AHU10">
        <v>4598</v>
      </c>
      <c r="AHV10">
        <v>0.13745109999999999</v>
      </c>
      <c r="AHW10">
        <v>4598</v>
      </c>
      <c r="AHX10">
        <v>0.24597649999999999</v>
      </c>
      <c r="AHY10">
        <v>4598</v>
      </c>
      <c r="AHZ10">
        <v>0.24793390000000001</v>
      </c>
      <c r="AIA10">
        <v>4598</v>
      </c>
      <c r="AIB10">
        <v>0.21770329999999999</v>
      </c>
      <c r="AIC10">
        <v>256685</v>
      </c>
      <c r="AID10">
        <v>7.6946500000000001E-2</v>
      </c>
      <c r="AIE10">
        <v>19751</v>
      </c>
      <c r="AIF10">
        <v>0</v>
      </c>
      <c r="AIG10">
        <v>19751</v>
      </c>
      <c r="AIH10">
        <v>0</v>
      </c>
      <c r="AII10">
        <v>19751</v>
      </c>
      <c r="AIJ10">
        <v>0</v>
      </c>
      <c r="AIK10">
        <v>19751</v>
      </c>
      <c r="AIL10">
        <v>2.7036600000000001E-2</v>
      </c>
      <c r="AIM10">
        <v>19751</v>
      </c>
      <c r="AIN10">
        <v>4.9415199999999999E-2</v>
      </c>
      <c r="AIO10">
        <v>19751</v>
      </c>
      <c r="AIP10">
        <v>0.1064756</v>
      </c>
      <c r="AIQ10">
        <v>19751</v>
      </c>
      <c r="AIR10">
        <v>0.18323120000000001</v>
      </c>
      <c r="AIS10">
        <v>19751</v>
      </c>
      <c r="AIT10">
        <v>0.16252340000000001</v>
      </c>
      <c r="AIU10">
        <v>19751</v>
      </c>
      <c r="AIV10">
        <v>0.17614299999999999</v>
      </c>
      <c r="AIW10">
        <v>19751</v>
      </c>
      <c r="AIX10">
        <v>0.119842</v>
      </c>
      <c r="AIY10">
        <v>19751</v>
      </c>
      <c r="AIZ10">
        <v>6.6578899999999996E-2</v>
      </c>
      <c r="AJA10">
        <v>19751</v>
      </c>
      <c r="AJB10">
        <v>8.0097199999999993E-2</v>
      </c>
      <c r="AJC10">
        <v>19751</v>
      </c>
      <c r="AJD10">
        <v>2.6479699999999998E-2</v>
      </c>
      <c r="AJE10">
        <v>19751</v>
      </c>
      <c r="AJF10">
        <v>2.1771E-3</v>
      </c>
      <c r="AJG10">
        <v>522055</v>
      </c>
      <c r="AJH10">
        <v>0.50831809999999999</v>
      </c>
      <c r="AJI10">
        <v>265370</v>
      </c>
      <c r="AJJ10">
        <v>0.28716510000000001</v>
      </c>
      <c r="AJK10">
        <v>76205</v>
      </c>
      <c r="AJL10">
        <v>0.22003809999999999</v>
      </c>
      <c r="AJM10">
        <v>76205</v>
      </c>
      <c r="AJN10">
        <v>0.1126567</v>
      </c>
      <c r="AJO10">
        <v>76205</v>
      </c>
      <c r="AJP10">
        <v>0.2201824</v>
      </c>
      <c r="AJQ10">
        <v>76205</v>
      </c>
      <c r="AJR10">
        <v>0.13504360000000001</v>
      </c>
      <c r="AJS10">
        <v>76205</v>
      </c>
      <c r="AJT10">
        <v>8.4469500000000003E-2</v>
      </c>
      <c r="AJU10">
        <v>76205</v>
      </c>
      <c r="AJV10">
        <v>5.7319099999999998E-2</v>
      </c>
      <c r="AJW10">
        <v>76205</v>
      </c>
      <c r="AJX10">
        <v>4.82514E-2</v>
      </c>
      <c r="AJY10">
        <v>76205</v>
      </c>
      <c r="AJZ10">
        <v>4.6729199999999999E-2</v>
      </c>
      <c r="AKA10">
        <v>76205</v>
      </c>
      <c r="AKB10">
        <v>2.9354999999999999E-2</v>
      </c>
      <c r="AKC10">
        <v>76205</v>
      </c>
      <c r="AKD10">
        <v>1.5642E-2</v>
      </c>
      <c r="AKE10">
        <v>76205</v>
      </c>
      <c r="AKF10">
        <v>1.73086E-2</v>
      </c>
      <c r="AKG10">
        <v>76205</v>
      </c>
      <c r="AKH10">
        <v>6.5481000000000003E-3</v>
      </c>
      <c r="AKI10">
        <v>76205</v>
      </c>
      <c r="AKJ10">
        <v>2.9656999999999999E-3</v>
      </c>
      <c r="AKK10">
        <v>76205</v>
      </c>
      <c r="AKL10">
        <v>3.4906E-3</v>
      </c>
      <c r="AKM10">
        <v>265370</v>
      </c>
      <c r="AKN10">
        <v>0.54161360000000003</v>
      </c>
      <c r="AKO10">
        <v>143728</v>
      </c>
      <c r="AKP10">
        <v>0.94640570000000002</v>
      </c>
      <c r="AKQ10">
        <v>136025</v>
      </c>
      <c r="AKR10">
        <v>0</v>
      </c>
      <c r="AKS10">
        <v>136025</v>
      </c>
      <c r="AKT10">
        <v>0</v>
      </c>
      <c r="AKU10">
        <v>136025</v>
      </c>
      <c r="AKV10">
        <v>7.2265999999999997E-3</v>
      </c>
      <c r="AKW10">
        <v>136025</v>
      </c>
      <c r="AKX10">
        <v>5.29682E-2</v>
      </c>
      <c r="AKY10">
        <v>136025</v>
      </c>
      <c r="AKZ10">
        <v>9.5923499999999995E-2</v>
      </c>
      <c r="ALA10">
        <v>136025</v>
      </c>
      <c r="ALB10">
        <v>0.1269914</v>
      </c>
      <c r="ALC10">
        <v>136025</v>
      </c>
      <c r="ALD10">
        <v>0.1498842</v>
      </c>
      <c r="ALE10">
        <v>136025</v>
      </c>
      <c r="ALF10">
        <v>0.1379746</v>
      </c>
      <c r="ALG10">
        <v>136025</v>
      </c>
      <c r="ALH10">
        <v>0.13454150000000001</v>
      </c>
      <c r="ALI10">
        <v>136025</v>
      </c>
      <c r="ALJ10">
        <v>9.4725199999999996E-2</v>
      </c>
      <c r="ALK10">
        <v>136025</v>
      </c>
      <c r="ALL10">
        <v>8.35288E-2</v>
      </c>
      <c r="ALM10">
        <v>136025</v>
      </c>
      <c r="ALN10">
        <v>8.5447499999999996E-2</v>
      </c>
      <c r="ALO10">
        <v>136025</v>
      </c>
      <c r="ALP10">
        <v>2.7178799999999999E-2</v>
      </c>
      <c r="ALQ10">
        <v>136025</v>
      </c>
      <c r="ALR10">
        <v>3.6096000000000001E-3</v>
      </c>
      <c r="ALS10">
        <v>143728</v>
      </c>
      <c r="ALT10">
        <v>5.3594299999999997E-2</v>
      </c>
      <c r="ALU10">
        <v>7703</v>
      </c>
      <c r="ALV10">
        <v>0.58224070000000006</v>
      </c>
      <c r="ALW10">
        <v>4485</v>
      </c>
      <c r="ALX10">
        <v>0</v>
      </c>
      <c r="ALY10">
        <v>4485</v>
      </c>
      <c r="ALZ10">
        <v>0</v>
      </c>
      <c r="AMA10">
        <v>4485</v>
      </c>
      <c r="AMB10">
        <v>0</v>
      </c>
      <c r="AMC10">
        <v>4485</v>
      </c>
      <c r="AMD10">
        <v>7.9821600000000006E-2</v>
      </c>
      <c r="AME10">
        <v>4485</v>
      </c>
      <c r="AMF10">
        <v>0.18773690000000001</v>
      </c>
      <c r="AMG10">
        <v>4485</v>
      </c>
      <c r="AMH10">
        <v>0.18037900000000001</v>
      </c>
      <c r="AMI10">
        <v>4485</v>
      </c>
      <c r="AMJ10">
        <v>0.16544039999999999</v>
      </c>
      <c r="AMK10">
        <v>4485</v>
      </c>
      <c r="AML10">
        <v>0.18216280000000001</v>
      </c>
      <c r="AMM10">
        <v>4485</v>
      </c>
      <c r="AMN10">
        <v>0.1201784</v>
      </c>
      <c r="AMO10">
        <v>4485</v>
      </c>
      <c r="AMP10">
        <v>2.0512800000000001E-2</v>
      </c>
      <c r="AMQ10">
        <v>4485</v>
      </c>
      <c r="AMR10">
        <v>3.3221899999999999E-2</v>
      </c>
      <c r="AMS10">
        <v>4485</v>
      </c>
      <c r="AMT10">
        <v>2.6755899999999999E-2</v>
      </c>
      <c r="AMU10">
        <v>4485</v>
      </c>
      <c r="AMV10">
        <v>3.7904000000000002E-3</v>
      </c>
      <c r="AMW10">
        <v>4485</v>
      </c>
      <c r="AMX10">
        <v>0</v>
      </c>
      <c r="AMY10">
        <v>7703</v>
      </c>
      <c r="AMZ10">
        <v>0.4177593</v>
      </c>
      <c r="ANA10">
        <v>3218</v>
      </c>
      <c r="ANB10">
        <v>2.4860199999999999E-2</v>
      </c>
      <c r="ANC10">
        <v>3218</v>
      </c>
      <c r="AND10">
        <v>4.5059000000000002E-2</v>
      </c>
      <c r="ANE10">
        <v>3218</v>
      </c>
      <c r="ANF10">
        <v>1.5848399999999999E-2</v>
      </c>
      <c r="ANG10">
        <v>3218</v>
      </c>
      <c r="ANH10">
        <v>9.8197599999999996E-2</v>
      </c>
      <c r="ANI10">
        <v>3218</v>
      </c>
      <c r="ANJ10">
        <v>9.8819100000000007E-2</v>
      </c>
      <c r="ANK10">
        <v>3218</v>
      </c>
      <c r="ANL10">
        <v>0.1249223</v>
      </c>
      <c r="ANM10">
        <v>3218</v>
      </c>
      <c r="ANN10">
        <v>7.6755699999999996E-2</v>
      </c>
      <c r="ANO10">
        <v>3218</v>
      </c>
      <c r="ANP10">
        <v>5.0963300000000003E-2</v>
      </c>
      <c r="ANQ10">
        <v>3218</v>
      </c>
      <c r="ANR10">
        <v>0.14791799999999999</v>
      </c>
      <c r="ANS10">
        <v>3218</v>
      </c>
      <c r="ANT10">
        <v>0.19919200000000001</v>
      </c>
      <c r="ANU10">
        <v>3218</v>
      </c>
      <c r="ANV10">
        <v>1.21193E-2</v>
      </c>
      <c r="ANW10">
        <v>3218</v>
      </c>
      <c r="ANX10">
        <v>7.0230000000000001E-2</v>
      </c>
      <c r="ANY10">
        <v>3218</v>
      </c>
      <c r="ANZ10">
        <v>0</v>
      </c>
      <c r="AOA10">
        <v>3218</v>
      </c>
      <c r="AOB10">
        <v>3.5115E-2</v>
      </c>
      <c r="AOC10">
        <v>265370</v>
      </c>
      <c r="AOD10">
        <v>8.2450899999999994E-2</v>
      </c>
      <c r="AOE10">
        <v>21880</v>
      </c>
      <c r="AOF10">
        <v>0</v>
      </c>
      <c r="AOG10">
        <v>21880</v>
      </c>
      <c r="AOH10">
        <v>0</v>
      </c>
      <c r="AOI10">
        <v>21880</v>
      </c>
      <c r="AOJ10">
        <v>0</v>
      </c>
      <c r="AOK10">
        <v>21880</v>
      </c>
      <c r="AOL10">
        <v>0</v>
      </c>
      <c r="AOM10">
        <v>21880</v>
      </c>
      <c r="AON10">
        <v>1.4670900000000001E-2</v>
      </c>
      <c r="AOO10">
        <v>21880</v>
      </c>
      <c r="AOP10">
        <v>7.6325000000000004E-3</v>
      </c>
      <c r="AOQ10">
        <v>21880</v>
      </c>
      <c r="AOR10">
        <v>1.09689E-2</v>
      </c>
      <c r="AOS10">
        <v>21880</v>
      </c>
      <c r="AOT10">
        <v>2.46801E-2</v>
      </c>
      <c r="AOU10">
        <v>21880</v>
      </c>
      <c r="AOV10">
        <v>2.3583199999999999E-2</v>
      </c>
      <c r="AOW10">
        <v>21880</v>
      </c>
      <c r="AOX10">
        <v>7.3811699999999994E-2</v>
      </c>
      <c r="AOY10">
        <v>21880</v>
      </c>
      <c r="AOZ10">
        <v>9.7851900000000006E-2</v>
      </c>
      <c r="APA10">
        <v>21880</v>
      </c>
      <c r="APB10">
        <v>0.2243144</v>
      </c>
      <c r="APC10">
        <v>21880</v>
      </c>
      <c r="APD10">
        <v>0.29410419999999998</v>
      </c>
      <c r="APE10">
        <v>21880</v>
      </c>
      <c r="APF10">
        <v>0.2283821</v>
      </c>
      <c r="APG10">
        <v>265370</v>
      </c>
      <c r="APH10">
        <v>8.8770399999999999E-2</v>
      </c>
      <c r="API10">
        <v>23557</v>
      </c>
      <c r="APJ10">
        <v>0</v>
      </c>
      <c r="APK10">
        <v>23557</v>
      </c>
      <c r="APL10">
        <v>5.7732E-3</v>
      </c>
      <c r="APM10">
        <v>23557</v>
      </c>
      <c r="APN10">
        <v>1.3202E-2</v>
      </c>
      <c r="APO10">
        <v>23557</v>
      </c>
      <c r="APP10">
        <v>1.7022499999999999E-2</v>
      </c>
      <c r="APQ10">
        <v>23557</v>
      </c>
      <c r="APR10">
        <v>6.6944000000000004E-2</v>
      </c>
      <c r="APS10">
        <v>23557</v>
      </c>
      <c r="APT10">
        <v>0.1285393</v>
      </c>
      <c r="APU10">
        <v>23557</v>
      </c>
      <c r="APV10">
        <v>0.126247</v>
      </c>
      <c r="APW10">
        <v>23557</v>
      </c>
      <c r="APX10">
        <v>0.14403360000000001</v>
      </c>
      <c r="APY10">
        <v>23557</v>
      </c>
      <c r="APZ10">
        <v>0.1163561</v>
      </c>
      <c r="AQA10">
        <v>23557</v>
      </c>
      <c r="AQB10">
        <v>0.128327</v>
      </c>
      <c r="AQC10">
        <v>23557</v>
      </c>
      <c r="AQD10">
        <v>0.1119412</v>
      </c>
      <c r="AQE10">
        <v>23557</v>
      </c>
      <c r="AQF10">
        <v>9.9206199999999994E-2</v>
      </c>
      <c r="AQG10">
        <v>23557</v>
      </c>
      <c r="AQH10">
        <v>3.5870399999999997E-2</v>
      </c>
      <c r="AQI10">
        <v>23557</v>
      </c>
      <c r="AQJ10">
        <v>6.5373000000000002E-3</v>
      </c>
      <c r="AQK10">
        <v>91685</v>
      </c>
      <c r="AQL10">
        <v>0.17069309999999999</v>
      </c>
      <c r="AQM10">
        <v>220536</v>
      </c>
      <c r="AQN10">
        <v>0.82303570000000004</v>
      </c>
      <c r="AQO10">
        <v>181509</v>
      </c>
      <c r="AQP10">
        <v>0.81456019999999996</v>
      </c>
      <c r="AQQ10">
        <v>147850</v>
      </c>
      <c r="AQR10">
        <v>0.85185659999999996</v>
      </c>
      <c r="AQS10">
        <v>125947</v>
      </c>
      <c r="AQT10">
        <v>0.51353349999999998</v>
      </c>
      <c r="AQU10">
        <v>125947</v>
      </c>
      <c r="AQV10">
        <v>0.48646650000000002</v>
      </c>
      <c r="AQW10">
        <v>147850</v>
      </c>
      <c r="AQX10">
        <v>0.14814340000000001</v>
      </c>
      <c r="AQY10">
        <v>21903</v>
      </c>
      <c r="AQZ10">
        <v>0.33127879999999998</v>
      </c>
      <c r="ARA10">
        <v>7256</v>
      </c>
      <c r="ARB10">
        <v>0.48249720000000001</v>
      </c>
      <c r="ARC10">
        <v>7256</v>
      </c>
      <c r="ARD10">
        <v>0.51750280000000004</v>
      </c>
      <c r="ARE10">
        <v>21903</v>
      </c>
      <c r="ARF10">
        <v>0.66872120000000002</v>
      </c>
      <c r="ARG10">
        <v>14647</v>
      </c>
      <c r="ARH10">
        <v>0.43783709999999998</v>
      </c>
      <c r="ARI10">
        <v>14647</v>
      </c>
      <c r="ARJ10">
        <v>0.56216290000000002</v>
      </c>
      <c r="ARK10">
        <v>181509</v>
      </c>
      <c r="ARL10">
        <v>0.18543979999999999</v>
      </c>
      <c r="ARM10">
        <v>220536</v>
      </c>
      <c r="ARN10">
        <v>0.17696429999999999</v>
      </c>
      <c r="ARO10">
        <v>39027</v>
      </c>
      <c r="ARP10">
        <v>0.59766319999999995</v>
      </c>
      <c r="ARQ10">
        <v>23325</v>
      </c>
      <c r="ARR10">
        <v>0.42915330000000002</v>
      </c>
      <c r="ARS10">
        <v>10010</v>
      </c>
      <c r="ART10">
        <v>0.66623379999999999</v>
      </c>
      <c r="ARU10">
        <v>10010</v>
      </c>
      <c r="ARV10">
        <v>0.33376620000000001</v>
      </c>
      <c r="ARW10">
        <v>23325</v>
      </c>
      <c r="ARX10">
        <v>0.57084670000000004</v>
      </c>
      <c r="ARY10">
        <v>13315</v>
      </c>
      <c r="ARZ10">
        <v>0.1575667</v>
      </c>
      <c r="ASA10">
        <v>2098</v>
      </c>
      <c r="ASB10">
        <v>0.56577690000000003</v>
      </c>
      <c r="ASC10">
        <v>2098</v>
      </c>
      <c r="ASD10">
        <v>0.43422309999999997</v>
      </c>
      <c r="ASE10">
        <v>13315</v>
      </c>
      <c r="ASF10">
        <v>0.84243330000000005</v>
      </c>
      <c r="ASG10">
        <v>11217</v>
      </c>
      <c r="ASH10">
        <v>0.82348220000000005</v>
      </c>
      <c r="ASI10">
        <v>11217</v>
      </c>
      <c r="ASJ10">
        <v>0.1765178</v>
      </c>
      <c r="ASK10">
        <v>39027</v>
      </c>
      <c r="ASL10">
        <v>0.40233679999999999</v>
      </c>
      <c r="ASM10">
        <v>218973</v>
      </c>
      <c r="ASN10">
        <v>0.59007279999999995</v>
      </c>
      <c r="ASO10">
        <v>129210</v>
      </c>
      <c r="ASP10">
        <v>0.37206869999999997</v>
      </c>
      <c r="ASQ10">
        <v>48075</v>
      </c>
      <c r="ASR10">
        <v>0.535663</v>
      </c>
      <c r="ASS10">
        <v>25752</v>
      </c>
      <c r="AST10">
        <v>0.70973129999999995</v>
      </c>
      <c r="ASU10">
        <v>25752</v>
      </c>
      <c r="ASV10">
        <v>0.29026869999999999</v>
      </c>
      <c r="ASW10">
        <v>48075</v>
      </c>
      <c r="ASX10">
        <v>0.26521060000000002</v>
      </c>
      <c r="ASY10">
        <v>12750</v>
      </c>
      <c r="ASZ10">
        <v>0.53843129999999995</v>
      </c>
      <c r="ATA10">
        <v>12750</v>
      </c>
      <c r="ATB10">
        <v>0.38556859999999998</v>
      </c>
      <c r="ATC10">
        <v>12750</v>
      </c>
      <c r="ATD10">
        <v>7.5999999999999998E-2</v>
      </c>
      <c r="ATE10">
        <v>48075</v>
      </c>
      <c r="ATF10">
        <v>0.12736349999999999</v>
      </c>
      <c r="ATG10">
        <v>6123</v>
      </c>
      <c r="ATH10">
        <v>0.1113833</v>
      </c>
      <c r="ATI10">
        <v>6123</v>
      </c>
      <c r="ATJ10">
        <v>0.122489</v>
      </c>
      <c r="ATK10">
        <v>6123</v>
      </c>
      <c r="ATL10">
        <v>0.43932710000000003</v>
      </c>
      <c r="ATM10">
        <v>6123</v>
      </c>
      <c r="ATN10">
        <v>0.3268006</v>
      </c>
      <c r="ATO10">
        <v>48075</v>
      </c>
      <c r="ATP10">
        <v>7.1762900000000004E-2</v>
      </c>
      <c r="ATQ10">
        <v>3450</v>
      </c>
      <c r="ATR10">
        <v>0.78550730000000002</v>
      </c>
      <c r="ATS10">
        <v>3450</v>
      </c>
      <c r="ATT10">
        <v>0.21449280000000001</v>
      </c>
      <c r="ATU10">
        <v>129210</v>
      </c>
      <c r="ATV10">
        <v>9.8970699999999995E-2</v>
      </c>
      <c r="ATW10">
        <v>12788</v>
      </c>
      <c r="ATX10">
        <v>5.2783900000000002E-2</v>
      </c>
      <c r="ATY10">
        <v>12788</v>
      </c>
      <c r="ATZ10">
        <v>0.31662499999999999</v>
      </c>
      <c r="AUA10">
        <v>4049</v>
      </c>
      <c r="AUB10">
        <v>0.42652509999999999</v>
      </c>
      <c r="AUC10">
        <v>4049</v>
      </c>
      <c r="AUD10">
        <v>0.57347490000000001</v>
      </c>
      <c r="AUE10">
        <v>12788</v>
      </c>
      <c r="AUF10">
        <v>0.20933689999999999</v>
      </c>
      <c r="AUG10">
        <v>12788</v>
      </c>
      <c r="AUH10">
        <v>0.32546140000000001</v>
      </c>
      <c r="AUI10">
        <v>12788</v>
      </c>
      <c r="AUJ10">
        <v>9.57929E-2</v>
      </c>
      <c r="AUK10">
        <v>129210</v>
      </c>
      <c r="AUL10">
        <v>0.18271029999999999</v>
      </c>
      <c r="AUM10">
        <v>23608</v>
      </c>
      <c r="AUN10">
        <v>0.66562180000000004</v>
      </c>
      <c r="AUO10">
        <v>23608</v>
      </c>
      <c r="AUP10">
        <v>0.33437820000000001</v>
      </c>
      <c r="AUQ10">
        <v>129210</v>
      </c>
      <c r="AUR10">
        <v>0.14609549999999999</v>
      </c>
      <c r="AUS10">
        <v>18877</v>
      </c>
      <c r="AUT10">
        <v>0</v>
      </c>
      <c r="AUU10">
        <v>18877</v>
      </c>
      <c r="AUV10">
        <v>0.50135090000000004</v>
      </c>
      <c r="AUW10">
        <v>18877</v>
      </c>
      <c r="AUX10">
        <v>0.49864920000000001</v>
      </c>
      <c r="AUY10">
        <v>129210</v>
      </c>
      <c r="AUZ10">
        <v>0.20015479999999999</v>
      </c>
      <c r="AVA10">
        <v>25862</v>
      </c>
      <c r="AVB10">
        <v>0.46284120000000001</v>
      </c>
      <c r="AVC10">
        <v>25862</v>
      </c>
      <c r="AVD10">
        <v>0.27209810000000001</v>
      </c>
      <c r="AVE10">
        <v>25862</v>
      </c>
      <c r="AVF10">
        <v>0.26506069999999998</v>
      </c>
      <c r="AVG10">
        <v>218973</v>
      </c>
      <c r="AVH10">
        <v>0.40992719999999999</v>
      </c>
      <c r="AVI10">
        <v>89763</v>
      </c>
      <c r="AVJ10">
        <v>0.44982899999999998</v>
      </c>
      <c r="AVK10">
        <v>40378</v>
      </c>
      <c r="AVL10">
        <v>0.41985739999999999</v>
      </c>
      <c r="AVM10">
        <v>16953</v>
      </c>
      <c r="AVN10">
        <v>0.55429709999999999</v>
      </c>
      <c r="AVO10">
        <v>16953</v>
      </c>
      <c r="AVP10">
        <v>0.44570280000000001</v>
      </c>
      <c r="AVQ10">
        <v>40378</v>
      </c>
      <c r="AVR10">
        <v>6.0750899999999997E-2</v>
      </c>
      <c r="AVS10">
        <v>2453</v>
      </c>
      <c r="AVT10">
        <v>0.69710559999999999</v>
      </c>
      <c r="AVU10">
        <v>2453</v>
      </c>
      <c r="AVV10">
        <v>0.1247452</v>
      </c>
      <c r="AVW10">
        <v>2453</v>
      </c>
      <c r="AVX10">
        <v>0.17814920000000001</v>
      </c>
      <c r="AVY10">
        <v>40378</v>
      </c>
      <c r="AVZ10">
        <v>0.30538910000000002</v>
      </c>
      <c r="AWA10">
        <v>12331</v>
      </c>
      <c r="AWB10">
        <v>0.14167550000000001</v>
      </c>
      <c r="AWC10">
        <v>12331</v>
      </c>
      <c r="AWD10">
        <v>0.12918660000000001</v>
      </c>
      <c r="AWE10">
        <v>12331</v>
      </c>
      <c r="AWF10">
        <v>0.64204039999999996</v>
      </c>
      <c r="AWG10">
        <v>12331</v>
      </c>
      <c r="AWH10">
        <v>8.7097599999999997E-2</v>
      </c>
      <c r="AWI10">
        <v>40378</v>
      </c>
      <c r="AWJ10">
        <v>0.21400269999999999</v>
      </c>
      <c r="AWK10">
        <v>8641</v>
      </c>
      <c r="AWL10">
        <v>0.7861359</v>
      </c>
      <c r="AWM10">
        <v>8641</v>
      </c>
      <c r="AWN10">
        <v>0.2138641</v>
      </c>
      <c r="AWO10">
        <v>89763</v>
      </c>
      <c r="AWP10">
        <v>0.1197153</v>
      </c>
      <c r="AWQ10">
        <v>10746</v>
      </c>
      <c r="AWR10">
        <v>0.22882930000000001</v>
      </c>
      <c r="AWS10">
        <v>10746</v>
      </c>
      <c r="AWT10">
        <v>5.6020800000000003E-2</v>
      </c>
      <c r="AWU10">
        <v>602</v>
      </c>
      <c r="AWV10">
        <v>0</v>
      </c>
      <c r="AWW10">
        <v>602</v>
      </c>
      <c r="AWX10">
        <v>1</v>
      </c>
      <c r="AWY10">
        <v>10746</v>
      </c>
      <c r="AWZ10">
        <v>0.20240089999999999</v>
      </c>
      <c r="AXA10">
        <v>10746</v>
      </c>
      <c r="AXB10">
        <v>0.1365159</v>
      </c>
      <c r="AXC10">
        <v>10746</v>
      </c>
      <c r="AXD10">
        <v>0.37623299999999998</v>
      </c>
      <c r="AXE10">
        <v>89763</v>
      </c>
      <c r="AXF10">
        <v>0.35579250000000001</v>
      </c>
      <c r="AXG10">
        <v>31937</v>
      </c>
      <c r="AXH10">
        <v>0.2395341</v>
      </c>
      <c r="AXI10">
        <v>31937</v>
      </c>
      <c r="AXJ10">
        <v>0.76046590000000003</v>
      </c>
      <c r="AXK10">
        <v>89763</v>
      </c>
      <c r="AXL10">
        <v>4.4228000000000002E-3</v>
      </c>
      <c r="AXM10">
        <v>397</v>
      </c>
      <c r="AXN10">
        <v>0</v>
      </c>
      <c r="AXO10">
        <v>397</v>
      </c>
      <c r="AXP10">
        <v>0</v>
      </c>
      <c r="AXQ10">
        <v>397</v>
      </c>
      <c r="AXR10">
        <v>1</v>
      </c>
      <c r="AXS10">
        <v>89763</v>
      </c>
      <c r="AXT10">
        <v>7.0240499999999997E-2</v>
      </c>
      <c r="AXU10">
        <v>6305</v>
      </c>
      <c r="AXV10">
        <v>0.64234729999999995</v>
      </c>
      <c r="AXW10">
        <v>6305</v>
      </c>
      <c r="AXX10">
        <v>0.11990480000000001</v>
      </c>
      <c r="AXY10">
        <v>6305</v>
      </c>
      <c r="AXZ10">
        <v>0.23774780000000001</v>
      </c>
      <c r="AYA10">
        <v>29382</v>
      </c>
      <c r="AYB10">
        <v>2.12035E-2</v>
      </c>
      <c r="AYC10">
        <v>29382</v>
      </c>
      <c r="AYD10">
        <v>0.1230685</v>
      </c>
      <c r="AYE10">
        <v>29382</v>
      </c>
      <c r="AYF10">
        <v>0.38935399999999998</v>
      </c>
      <c r="AYG10">
        <v>29382</v>
      </c>
      <c r="AYH10">
        <v>0.34929549999999998</v>
      </c>
      <c r="AYI10">
        <v>29382</v>
      </c>
      <c r="AYJ10">
        <v>3.9548E-2</v>
      </c>
      <c r="AYK10">
        <v>29382</v>
      </c>
      <c r="AYL10">
        <v>7.6713600000000007E-2</v>
      </c>
      <c r="AYM10">
        <v>29382</v>
      </c>
      <c r="AYN10">
        <v>8.1680000000000001E-4</v>
      </c>
      <c r="AYO10">
        <v>40658</v>
      </c>
      <c r="AYP10">
        <v>4.4911199999999998E-2</v>
      </c>
      <c r="AYQ10">
        <v>40658</v>
      </c>
      <c r="AYR10">
        <v>6.2423100000000002E-2</v>
      </c>
      <c r="AYS10">
        <v>40658</v>
      </c>
      <c r="AYT10">
        <v>0.24939739999999999</v>
      </c>
      <c r="AYU10">
        <v>40658</v>
      </c>
      <c r="AYV10">
        <v>0.23555019999999999</v>
      </c>
      <c r="AYW10">
        <v>40658</v>
      </c>
      <c r="AYX10">
        <v>9.2823100000000006E-2</v>
      </c>
      <c r="AYY10">
        <v>40658</v>
      </c>
      <c r="AYZ10">
        <v>0.2411334</v>
      </c>
      <c r="AZA10">
        <v>40658</v>
      </c>
      <c r="AZB10">
        <v>7.3761599999999997E-2</v>
      </c>
      <c r="AZC10">
        <v>52502</v>
      </c>
      <c r="AZD10">
        <v>5.0207599999999998E-2</v>
      </c>
      <c r="AZE10">
        <v>52502</v>
      </c>
      <c r="AZF10">
        <v>4.1674599999999999E-2</v>
      </c>
      <c r="AZG10">
        <v>52502</v>
      </c>
      <c r="AZH10">
        <v>0.2372862</v>
      </c>
      <c r="AZI10">
        <v>52502</v>
      </c>
      <c r="AZJ10">
        <v>0.22726750000000001</v>
      </c>
      <c r="AZK10">
        <v>52502</v>
      </c>
      <c r="AZL10">
        <v>6.60356E-2</v>
      </c>
      <c r="AZM10">
        <v>52502</v>
      </c>
      <c r="AZN10">
        <v>0.2295722</v>
      </c>
      <c r="AZO10">
        <v>52502</v>
      </c>
      <c r="AZP10">
        <v>0.14795630000000001</v>
      </c>
      <c r="AZQ10">
        <v>87526</v>
      </c>
      <c r="AZR10">
        <v>2.8917100000000001E-2</v>
      </c>
      <c r="AZS10">
        <v>87526</v>
      </c>
      <c r="AZT10">
        <v>5.5846300000000001E-2</v>
      </c>
      <c r="AZU10">
        <v>87526</v>
      </c>
      <c r="AZV10">
        <v>0.28316160000000001</v>
      </c>
      <c r="AZW10">
        <v>87526</v>
      </c>
      <c r="AZX10">
        <v>0.2269611</v>
      </c>
      <c r="AZY10">
        <v>87526</v>
      </c>
      <c r="AZZ10">
        <v>4.6843200000000002E-2</v>
      </c>
      <c r="BAA10">
        <v>87526</v>
      </c>
      <c r="BAB10">
        <v>0.2130338</v>
      </c>
      <c r="BAC10">
        <v>87526</v>
      </c>
      <c r="BAD10">
        <v>0.1452368</v>
      </c>
      <c r="BAE10">
        <v>29130</v>
      </c>
      <c r="BAF10">
        <v>7.6210100000000003E-2</v>
      </c>
      <c r="BAG10">
        <v>29130</v>
      </c>
      <c r="BAH10">
        <v>9.3511800000000006E-2</v>
      </c>
      <c r="BAI10">
        <v>29130</v>
      </c>
      <c r="BAJ10">
        <v>0.3317542</v>
      </c>
      <c r="BAK10">
        <v>29130</v>
      </c>
      <c r="BAL10">
        <v>0.19745969999999999</v>
      </c>
      <c r="BAM10">
        <v>29130</v>
      </c>
      <c r="BAN10">
        <v>4.1194599999999998E-2</v>
      </c>
      <c r="BAO10">
        <v>29130</v>
      </c>
      <c r="BAP10">
        <v>0.13577069999999999</v>
      </c>
      <c r="BAQ10">
        <v>29130</v>
      </c>
      <c r="BAR10">
        <v>0.1240989</v>
      </c>
      <c r="BAS10">
        <v>26990</v>
      </c>
      <c r="BAT10">
        <v>6.9655000000000003E-3</v>
      </c>
      <c r="BAU10">
        <v>26990</v>
      </c>
      <c r="BAV10">
        <v>0.1104113</v>
      </c>
      <c r="BAW10">
        <v>26990</v>
      </c>
      <c r="BAX10">
        <v>0.29588740000000002</v>
      </c>
      <c r="BAY10">
        <v>26990</v>
      </c>
      <c r="BAZ10">
        <v>0.33127079999999998</v>
      </c>
      <c r="BBA10">
        <v>26990</v>
      </c>
      <c r="BBB10">
        <v>8.8773599999999994E-2</v>
      </c>
      <c r="BBC10">
        <v>26990</v>
      </c>
      <c r="BBD10">
        <v>0.1579844</v>
      </c>
      <c r="BBE10">
        <v>26990</v>
      </c>
      <c r="BBF10">
        <v>8.7069000000000001E-3</v>
      </c>
      <c r="BBG10">
        <v>41114</v>
      </c>
      <c r="BBH10">
        <v>2.8043999999999999E-2</v>
      </c>
      <c r="BBI10">
        <v>41114</v>
      </c>
      <c r="BBJ10">
        <v>5.3217899999999999E-2</v>
      </c>
      <c r="BBK10">
        <v>41114</v>
      </c>
      <c r="BBL10">
        <v>0.24055070000000001</v>
      </c>
      <c r="BBM10">
        <v>41114</v>
      </c>
      <c r="BBN10">
        <v>0.18584909999999999</v>
      </c>
      <c r="BBO10">
        <v>41114</v>
      </c>
      <c r="BBP10">
        <v>0.1283504</v>
      </c>
      <c r="BBQ10">
        <v>41114</v>
      </c>
      <c r="BBR10">
        <v>0.22632189999999999</v>
      </c>
      <c r="BBS10">
        <v>41114</v>
      </c>
      <c r="BBT10">
        <v>0.13766600000000001</v>
      </c>
      <c r="BBU10">
        <v>54316</v>
      </c>
      <c r="BBV10">
        <v>2.53332E-2</v>
      </c>
      <c r="BBW10">
        <v>54316</v>
      </c>
      <c r="BBX10">
        <v>3.6434899999999999E-2</v>
      </c>
      <c r="BBY10">
        <v>54316</v>
      </c>
      <c r="BBZ10">
        <v>0.2266735</v>
      </c>
      <c r="BCA10">
        <v>54316</v>
      </c>
      <c r="BCB10">
        <v>0.17263790000000001</v>
      </c>
      <c r="BCC10">
        <v>54316</v>
      </c>
      <c r="BCD10">
        <v>9.0525800000000003E-2</v>
      </c>
      <c r="BCE10">
        <v>54316</v>
      </c>
      <c r="BCF10">
        <v>0.27045439999999998</v>
      </c>
      <c r="BCG10">
        <v>54316</v>
      </c>
      <c r="BCH10">
        <v>0.17794019999999999</v>
      </c>
      <c r="BCI10">
        <v>89148</v>
      </c>
      <c r="BCJ10">
        <v>3.7477000000000003E-2</v>
      </c>
      <c r="BCK10">
        <v>89148</v>
      </c>
      <c r="BCL10">
        <v>3.3079799999999999E-2</v>
      </c>
      <c r="BCM10">
        <v>89148</v>
      </c>
      <c r="BCN10">
        <v>0.27527259999999998</v>
      </c>
      <c r="BCO10">
        <v>89148</v>
      </c>
      <c r="BCP10">
        <v>0.24354999999999999</v>
      </c>
      <c r="BCQ10">
        <v>89148</v>
      </c>
      <c r="BCR10">
        <v>9.5851800000000001E-2</v>
      </c>
      <c r="BCS10">
        <v>89148</v>
      </c>
      <c r="BCT10">
        <v>0.2005429</v>
      </c>
      <c r="BCU10">
        <v>89148</v>
      </c>
      <c r="BCV10">
        <v>0.1142258</v>
      </c>
      <c r="BCW10">
        <v>36954</v>
      </c>
      <c r="BCX10">
        <v>0.112383</v>
      </c>
      <c r="BCY10">
        <v>36954</v>
      </c>
      <c r="BCZ10">
        <v>0.1200953</v>
      </c>
      <c r="BDA10">
        <v>36954</v>
      </c>
      <c r="BDB10">
        <v>0.40950910000000001</v>
      </c>
      <c r="BDC10">
        <v>36954</v>
      </c>
      <c r="BDD10">
        <v>0.15792610000000001</v>
      </c>
      <c r="BDE10">
        <v>36954</v>
      </c>
      <c r="BDF10">
        <v>5.6096800000000002E-2</v>
      </c>
      <c r="BDG10">
        <v>36954</v>
      </c>
      <c r="BDH10">
        <v>7.4119199999999996E-2</v>
      </c>
      <c r="BDI10">
        <v>36954</v>
      </c>
      <c r="BDJ10">
        <v>6.9870699999999994E-2</v>
      </c>
      <c r="BDK10">
        <v>168035</v>
      </c>
      <c r="BDL10">
        <v>5.28818E-2</v>
      </c>
      <c r="BDM10">
        <v>8886</v>
      </c>
      <c r="BDN10">
        <v>0.66632910000000001</v>
      </c>
      <c r="BDO10">
        <v>5921</v>
      </c>
      <c r="BDP10">
        <v>0.6493835</v>
      </c>
      <c r="BDQ10">
        <v>5921</v>
      </c>
      <c r="BDR10">
        <v>0.3506165</v>
      </c>
      <c r="BDS10">
        <v>8886</v>
      </c>
      <c r="BDT10">
        <v>0.33367089999999999</v>
      </c>
      <c r="BDU10">
        <v>2965</v>
      </c>
      <c r="BDV10">
        <v>0.68397969999999997</v>
      </c>
      <c r="BDW10">
        <v>2965</v>
      </c>
      <c r="BDX10">
        <v>0.31602029999999998</v>
      </c>
      <c r="BDY10">
        <v>168035</v>
      </c>
      <c r="BDZ10">
        <v>0.94711820000000002</v>
      </c>
      <c r="BEA10">
        <v>159149</v>
      </c>
      <c r="BEB10">
        <v>0.51200449999999997</v>
      </c>
      <c r="BEC10">
        <v>81485</v>
      </c>
      <c r="BED10">
        <v>0.7395349</v>
      </c>
      <c r="BEE10">
        <v>81485</v>
      </c>
      <c r="BEF10">
        <v>0.2604651</v>
      </c>
      <c r="BEG10">
        <v>159149</v>
      </c>
      <c r="BEH10">
        <v>0.48799550000000003</v>
      </c>
      <c r="BEI10">
        <v>77664</v>
      </c>
      <c r="BEJ10">
        <v>0.74009840000000005</v>
      </c>
      <c r="BEK10">
        <v>77664</v>
      </c>
      <c r="BEL10">
        <v>0.25990160000000001</v>
      </c>
      <c r="BEM10">
        <v>313178</v>
      </c>
      <c r="BEN10">
        <v>0.53457460000000001</v>
      </c>
      <c r="BEO10">
        <v>167417</v>
      </c>
      <c r="BEP10">
        <v>0.8815771</v>
      </c>
      <c r="BEQ10">
        <v>147591</v>
      </c>
      <c r="BER10">
        <v>0.16528109999999999</v>
      </c>
      <c r="BES10">
        <v>147591</v>
      </c>
      <c r="BET10">
        <v>0.83471890000000004</v>
      </c>
      <c r="BEU10">
        <v>167417</v>
      </c>
      <c r="BEV10">
        <v>0.1184229</v>
      </c>
      <c r="BEW10">
        <v>313178</v>
      </c>
      <c r="BEX10">
        <v>0.46542539999999999</v>
      </c>
      <c r="BEY10">
        <v>145761</v>
      </c>
      <c r="BEZ10">
        <v>0.88603949999999998</v>
      </c>
      <c r="BFA10">
        <v>129150</v>
      </c>
      <c r="BFB10">
        <v>0.2362369</v>
      </c>
      <c r="BFC10">
        <v>129150</v>
      </c>
      <c r="BFD10">
        <v>0.76376310000000003</v>
      </c>
      <c r="BFE10">
        <v>145761</v>
      </c>
      <c r="BFF10">
        <v>0.11396050000000001</v>
      </c>
      <c r="BFG10">
        <v>337674</v>
      </c>
      <c r="BFH10">
        <v>0.29163040000000001</v>
      </c>
      <c r="BFI10">
        <v>98476</v>
      </c>
      <c r="BFJ10">
        <v>0.98262519999999998</v>
      </c>
      <c r="BFK10">
        <v>98476</v>
      </c>
      <c r="BFL10">
        <v>1.7374799999999999E-2</v>
      </c>
      <c r="BFM10">
        <v>1711</v>
      </c>
      <c r="BFN10">
        <v>0.72063120000000003</v>
      </c>
      <c r="BFO10">
        <v>1711</v>
      </c>
      <c r="BFP10">
        <v>0.27936879999999997</v>
      </c>
      <c r="BFQ10">
        <v>337674</v>
      </c>
      <c r="BFR10">
        <v>0.70836960000000004</v>
      </c>
      <c r="BFS10">
        <v>239198</v>
      </c>
      <c r="BFT10">
        <v>0.82941750000000003</v>
      </c>
      <c r="BFU10">
        <v>239198</v>
      </c>
      <c r="BFV10">
        <v>0.1705825</v>
      </c>
      <c r="BFW10">
        <v>40803</v>
      </c>
      <c r="BFX10">
        <v>0.55334170000000005</v>
      </c>
      <c r="BFY10">
        <v>40803</v>
      </c>
      <c r="BFZ10">
        <v>0.44665830000000001</v>
      </c>
      <c r="BGA10">
        <v>343871</v>
      </c>
      <c r="BGB10">
        <v>0.27728130000000001</v>
      </c>
      <c r="BGC10">
        <v>95349</v>
      </c>
      <c r="BGD10">
        <v>0.98379640000000002</v>
      </c>
      <c r="BGE10">
        <v>95349</v>
      </c>
      <c r="BGF10">
        <v>1.6203599999999999E-2</v>
      </c>
      <c r="BGG10">
        <v>1545</v>
      </c>
      <c r="BGH10">
        <v>0.43430419999999997</v>
      </c>
      <c r="BGI10">
        <v>1545</v>
      </c>
      <c r="BGJ10">
        <v>0.56569579999999997</v>
      </c>
      <c r="BGK10">
        <v>343871</v>
      </c>
      <c r="BGL10">
        <v>0.72271870000000005</v>
      </c>
      <c r="BGM10">
        <v>248522</v>
      </c>
      <c r="BGN10">
        <v>0.84236409999999995</v>
      </c>
      <c r="BGO10">
        <v>248522</v>
      </c>
      <c r="BGP10">
        <v>0.1576359</v>
      </c>
      <c r="BGQ10">
        <v>39176</v>
      </c>
      <c r="BGR10">
        <v>0.52486219999999995</v>
      </c>
      <c r="BGS10">
        <v>39176</v>
      </c>
      <c r="BGT10">
        <v>0.4751378</v>
      </c>
    </row>
    <row r="11" spans="1:1554" x14ac:dyDescent="0.25">
      <c r="A11" t="s">
        <v>131</v>
      </c>
      <c r="B11">
        <v>2012</v>
      </c>
      <c r="C11">
        <v>1</v>
      </c>
      <c r="D11" t="s">
        <v>564</v>
      </c>
      <c r="E11">
        <v>56033</v>
      </c>
      <c r="F11">
        <v>0.43549339999999997</v>
      </c>
      <c r="G11">
        <v>24402</v>
      </c>
      <c r="H11">
        <v>0.1415458</v>
      </c>
      <c r="I11">
        <v>24402</v>
      </c>
      <c r="J11">
        <v>2.91779E-2</v>
      </c>
      <c r="K11">
        <v>24402</v>
      </c>
      <c r="L11">
        <v>0.12179329999999999</v>
      </c>
      <c r="M11">
        <v>24402</v>
      </c>
      <c r="N11">
        <v>9.1262999999999997E-2</v>
      </c>
      <c r="O11">
        <v>24402</v>
      </c>
      <c r="P11">
        <v>2.7374800000000001E-2</v>
      </c>
      <c r="Q11">
        <v>24402</v>
      </c>
      <c r="R11">
        <v>4.8356700000000002E-2</v>
      </c>
      <c r="S11">
        <v>24402</v>
      </c>
      <c r="T11">
        <v>9.8721400000000001E-2</v>
      </c>
      <c r="U11">
        <v>24402</v>
      </c>
      <c r="V11">
        <v>0.1169166</v>
      </c>
      <c r="W11">
        <v>24402</v>
      </c>
      <c r="X11">
        <v>9.2492400000000002E-2</v>
      </c>
      <c r="Y11">
        <v>24402</v>
      </c>
      <c r="Z11">
        <v>0.10527830000000001</v>
      </c>
      <c r="AA11">
        <v>24402</v>
      </c>
      <c r="AB11">
        <v>7.3149699999999998E-2</v>
      </c>
      <c r="AC11">
        <v>24402</v>
      </c>
      <c r="AD11">
        <v>4.2824399999999999E-2</v>
      </c>
      <c r="AE11">
        <v>24402</v>
      </c>
      <c r="AF11">
        <v>1.11056E-2</v>
      </c>
      <c r="AG11">
        <v>56033</v>
      </c>
      <c r="AH11">
        <v>0.56450659999999997</v>
      </c>
      <c r="AI11">
        <v>31631</v>
      </c>
      <c r="AJ11">
        <v>0.1018305</v>
      </c>
      <c r="AK11">
        <v>31631</v>
      </c>
      <c r="AL11">
        <v>2.34264E-2</v>
      </c>
      <c r="AM11">
        <v>31631</v>
      </c>
      <c r="AN11">
        <v>0.10657270000000001</v>
      </c>
      <c r="AO11">
        <v>31631</v>
      </c>
      <c r="AP11">
        <v>6.7275799999999997E-2</v>
      </c>
      <c r="AQ11">
        <v>31631</v>
      </c>
      <c r="AR11">
        <v>2.3458E-2</v>
      </c>
      <c r="AS11">
        <v>31631</v>
      </c>
      <c r="AT11">
        <v>3.6040599999999999E-2</v>
      </c>
      <c r="AU11">
        <v>31631</v>
      </c>
      <c r="AV11">
        <v>9.3294600000000005E-2</v>
      </c>
      <c r="AW11">
        <v>31631</v>
      </c>
      <c r="AX11">
        <v>0.14179130000000001</v>
      </c>
      <c r="AY11">
        <v>31631</v>
      </c>
      <c r="AZ11">
        <v>0.1200721</v>
      </c>
      <c r="BA11">
        <v>31631</v>
      </c>
      <c r="BB11">
        <v>0.13461480000000001</v>
      </c>
      <c r="BC11">
        <v>31631</v>
      </c>
      <c r="BD11">
        <v>5.6242300000000002E-2</v>
      </c>
      <c r="BE11">
        <v>31631</v>
      </c>
      <c r="BF11">
        <v>4.5461700000000001E-2</v>
      </c>
      <c r="BG11">
        <v>31631</v>
      </c>
      <c r="BH11">
        <v>4.9919400000000003E-2</v>
      </c>
      <c r="BI11">
        <v>618070</v>
      </c>
      <c r="BJ11">
        <v>0.49917650000000002</v>
      </c>
      <c r="BK11">
        <v>308526</v>
      </c>
      <c r="BL11">
        <v>6.2367499999999999E-2</v>
      </c>
      <c r="BM11">
        <v>308526</v>
      </c>
      <c r="BN11">
        <v>1.5139700000000001E-2</v>
      </c>
      <c r="BO11">
        <v>308526</v>
      </c>
      <c r="BP11">
        <v>0.1001277</v>
      </c>
      <c r="BQ11">
        <v>308526</v>
      </c>
      <c r="BR11">
        <v>4.8135299999999999E-2</v>
      </c>
      <c r="BS11">
        <v>308526</v>
      </c>
      <c r="BT11">
        <v>1.62904E-2</v>
      </c>
      <c r="BU11">
        <v>308526</v>
      </c>
      <c r="BV11">
        <v>3.4227300000000002E-2</v>
      </c>
      <c r="BW11">
        <v>308526</v>
      </c>
      <c r="BX11">
        <v>8.5859900000000003E-2</v>
      </c>
      <c r="BY11">
        <v>308526</v>
      </c>
      <c r="BZ11">
        <v>0.1176789</v>
      </c>
      <c r="CA11">
        <v>308526</v>
      </c>
      <c r="CB11">
        <v>0.1552965</v>
      </c>
      <c r="CC11">
        <v>308526</v>
      </c>
      <c r="CD11">
        <v>0.1596041</v>
      </c>
      <c r="CE11">
        <v>308526</v>
      </c>
      <c r="CF11">
        <v>0.1115433</v>
      </c>
      <c r="CG11">
        <v>308526</v>
      </c>
      <c r="CH11">
        <v>5.9482800000000002E-2</v>
      </c>
      <c r="CI11">
        <v>308526</v>
      </c>
      <c r="CJ11">
        <v>3.4246699999999998E-2</v>
      </c>
      <c r="CK11">
        <v>618070</v>
      </c>
      <c r="CL11">
        <v>0.50082360000000004</v>
      </c>
      <c r="CM11">
        <v>309544</v>
      </c>
      <c r="CN11">
        <v>6.0737699999999999E-2</v>
      </c>
      <c r="CO11">
        <v>309544</v>
      </c>
      <c r="CP11">
        <v>1.3717E-2</v>
      </c>
      <c r="CQ11">
        <v>309544</v>
      </c>
      <c r="CR11">
        <v>8.8278200000000001E-2</v>
      </c>
      <c r="CS11">
        <v>309544</v>
      </c>
      <c r="CT11">
        <v>5.0755300000000003E-2</v>
      </c>
      <c r="CU11">
        <v>309544</v>
      </c>
      <c r="CV11">
        <v>1.76001E-2</v>
      </c>
      <c r="CW11">
        <v>309544</v>
      </c>
      <c r="CX11">
        <v>3.0344599999999999E-2</v>
      </c>
      <c r="CY11">
        <v>309544</v>
      </c>
      <c r="CZ11">
        <v>8.0415100000000003E-2</v>
      </c>
      <c r="DA11">
        <v>309544</v>
      </c>
      <c r="DB11">
        <v>0.1155506</v>
      </c>
      <c r="DC11">
        <v>309544</v>
      </c>
      <c r="DD11">
        <v>0.1588627</v>
      </c>
      <c r="DE11">
        <v>309544</v>
      </c>
      <c r="DF11">
        <v>0.15619749999999999</v>
      </c>
      <c r="DG11">
        <v>309544</v>
      </c>
      <c r="DH11">
        <v>0.1155603</v>
      </c>
      <c r="DI11">
        <v>309544</v>
      </c>
      <c r="DJ11">
        <v>6.5347699999999995E-2</v>
      </c>
      <c r="DK11">
        <v>309544</v>
      </c>
      <c r="DL11">
        <v>4.6633099999999997E-2</v>
      </c>
      <c r="DM11">
        <v>428638</v>
      </c>
      <c r="DN11">
        <v>6.5596100000000004E-2</v>
      </c>
      <c r="DO11">
        <v>28117</v>
      </c>
      <c r="DP11">
        <v>0.38339790000000001</v>
      </c>
      <c r="DQ11">
        <v>207574</v>
      </c>
      <c r="DR11">
        <v>5.1933300000000002E-2</v>
      </c>
      <c r="DS11">
        <v>10780</v>
      </c>
      <c r="DT11">
        <v>0.28673470000000001</v>
      </c>
      <c r="DU11">
        <v>19778</v>
      </c>
      <c r="DV11">
        <v>0.1562848</v>
      </c>
      <c r="DW11">
        <v>10780</v>
      </c>
      <c r="DX11">
        <v>0.38627089999999997</v>
      </c>
      <c r="DY11">
        <v>56966</v>
      </c>
      <c r="DZ11">
        <v>7.30962E-2</v>
      </c>
      <c r="EA11">
        <v>10780</v>
      </c>
      <c r="EB11">
        <v>0.20779220000000001</v>
      </c>
      <c r="EC11">
        <v>64051</v>
      </c>
      <c r="ED11">
        <v>3.4972099999999999E-2</v>
      </c>
      <c r="EE11">
        <v>10780</v>
      </c>
      <c r="EF11">
        <v>0.11920219999999999</v>
      </c>
      <c r="EG11">
        <v>66779</v>
      </c>
      <c r="EH11">
        <v>1.9242599999999999E-2</v>
      </c>
      <c r="EI11">
        <v>28117</v>
      </c>
      <c r="EJ11">
        <v>0.61660210000000004</v>
      </c>
      <c r="EK11">
        <v>221064</v>
      </c>
      <c r="EL11">
        <v>7.8425300000000003E-2</v>
      </c>
      <c r="EM11">
        <v>17337</v>
      </c>
      <c r="EN11">
        <v>0.18826789999999999</v>
      </c>
      <c r="EO11">
        <v>18394</v>
      </c>
      <c r="EP11">
        <v>0.1774492</v>
      </c>
      <c r="EQ11">
        <v>17337</v>
      </c>
      <c r="ER11">
        <v>0.30605060000000001</v>
      </c>
      <c r="ES11">
        <v>58307</v>
      </c>
      <c r="ET11">
        <v>9.1001100000000001E-2</v>
      </c>
      <c r="EU11">
        <v>17337</v>
      </c>
      <c r="EV11">
        <v>0.30241679999999999</v>
      </c>
      <c r="EW11">
        <v>69555</v>
      </c>
      <c r="EX11">
        <v>7.5379199999999993E-2</v>
      </c>
      <c r="EY11">
        <v>17337</v>
      </c>
      <c r="EZ11">
        <v>0.20326469999999999</v>
      </c>
      <c r="FA11">
        <v>74808</v>
      </c>
      <c r="FB11">
        <v>4.7107299999999998E-2</v>
      </c>
      <c r="FC11">
        <v>428638</v>
      </c>
      <c r="FD11">
        <v>0.93440380000000001</v>
      </c>
      <c r="FE11">
        <v>400521</v>
      </c>
      <c r="FF11">
        <v>0.49134499999999998</v>
      </c>
      <c r="FG11">
        <v>207574</v>
      </c>
      <c r="FH11">
        <v>0.94806670000000004</v>
      </c>
      <c r="FI11">
        <v>196794</v>
      </c>
      <c r="FJ11">
        <v>8.4794300000000003E-2</v>
      </c>
      <c r="FK11">
        <v>19778</v>
      </c>
      <c r="FL11">
        <v>0.84371529999999995</v>
      </c>
      <c r="FM11">
        <v>196794</v>
      </c>
      <c r="FN11">
        <v>0.26831100000000002</v>
      </c>
      <c r="FO11">
        <v>56966</v>
      </c>
      <c r="FP11">
        <v>0.92690380000000006</v>
      </c>
      <c r="FQ11">
        <v>196794</v>
      </c>
      <c r="FR11">
        <v>0.31408989999999998</v>
      </c>
      <c r="FS11">
        <v>64051</v>
      </c>
      <c r="FT11">
        <v>0.96502790000000005</v>
      </c>
      <c r="FU11">
        <v>196794</v>
      </c>
      <c r="FV11">
        <v>0.33280490000000001</v>
      </c>
      <c r="FW11">
        <v>66779</v>
      </c>
      <c r="FX11">
        <v>0.9807574</v>
      </c>
      <c r="FY11">
        <v>400521</v>
      </c>
      <c r="FZ11">
        <v>0.50865499999999997</v>
      </c>
      <c r="GA11">
        <v>221064</v>
      </c>
      <c r="GB11">
        <v>0.92157480000000003</v>
      </c>
      <c r="GC11">
        <v>203727</v>
      </c>
      <c r="GD11">
        <v>7.4266100000000002E-2</v>
      </c>
      <c r="GE11">
        <v>18394</v>
      </c>
      <c r="GF11">
        <v>0.82255080000000003</v>
      </c>
      <c r="GG11">
        <v>203727</v>
      </c>
      <c r="GH11">
        <v>0.26015700000000003</v>
      </c>
      <c r="GI11">
        <v>58307</v>
      </c>
      <c r="GJ11">
        <v>0.90899890000000005</v>
      </c>
      <c r="GK11">
        <v>203727</v>
      </c>
      <c r="GL11">
        <v>0.31567729999999999</v>
      </c>
      <c r="GM11">
        <v>69555</v>
      </c>
      <c r="GN11">
        <v>0.92462080000000002</v>
      </c>
      <c r="GO11">
        <v>203727</v>
      </c>
      <c r="GP11">
        <v>0.34989959999999998</v>
      </c>
      <c r="GQ11">
        <v>74808</v>
      </c>
      <c r="GR11">
        <v>0.95289270000000004</v>
      </c>
      <c r="GS11">
        <v>507653</v>
      </c>
      <c r="GT11">
        <v>7.05147E-2</v>
      </c>
      <c r="GU11">
        <v>35797</v>
      </c>
      <c r="GV11">
        <v>0.40140239999999999</v>
      </c>
      <c r="GW11">
        <v>14369</v>
      </c>
      <c r="GX11">
        <v>0.1366831</v>
      </c>
      <c r="GY11">
        <v>14369</v>
      </c>
      <c r="GZ11">
        <v>0.3047533</v>
      </c>
      <c r="HA11">
        <v>14369</v>
      </c>
      <c r="HB11">
        <v>0.55856360000000005</v>
      </c>
      <c r="HC11">
        <v>14369</v>
      </c>
      <c r="HD11">
        <v>0.54318330000000004</v>
      </c>
      <c r="HE11">
        <v>14369</v>
      </c>
      <c r="HF11">
        <v>0.45681680000000002</v>
      </c>
      <c r="HG11">
        <v>7805</v>
      </c>
      <c r="HH11">
        <v>0.64676489999999998</v>
      </c>
      <c r="HI11">
        <v>7805</v>
      </c>
      <c r="HJ11">
        <v>0.35323510000000002</v>
      </c>
      <c r="HK11">
        <v>35797</v>
      </c>
      <c r="HL11">
        <v>0.59859759999999995</v>
      </c>
      <c r="HM11">
        <v>21428</v>
      </c>
      <c r="HN11">
        <v>7.0888599999999996E-2</v>
      </c>
      <c r="HO11">
        <v>21428</v>
      </c>
      <c r="HP11">
        <v>0.28374090000000002</v>
      </c>
      <c r="HQ11">
        <v>21428</v>
      </c>
      <c r="HR11">
        <v>0.64537049999999996</v>
      </c>
      <c r="HS11">
        <v>21428</v>
      </c>
      <c r="HT11">
        <v>0.41688449999999999</v>
      </c>
      <c r="HU11">
        <v>21428</v>
      </c>
      <c r="HV11">
        <v>0.58311559999999996</v>
      </c>
      <c r="HW11">
        <v>8933</v>
      </c>
      <c r="HX11">
        <v>0.69327209999999995</v>
      </c>
      <c r="HY11">
        <v>8933</v>
      </c>
      <c r="HZ11">
        <v>0.3067279</v>
      </c>
      <c r="IA11">
        <v>507653</v>
      </c>
      <c r="IB11">
        <v>0.92948529999999996</v>
      </c>
      <c r="IC11">
        <v>471856</v>
      </c>
      <c r="ID11">
        <v>0.49558340000000001</v>
      </c>
      <c r="IE11">
        <v>233844</v>
      </c>
      <c r="IF11">
        <v>0.56212689999999998</v>
      </c>
      <c r="IG11">
        <v>233844</v>
      </c>
      <c r="IH11">
        <v>0.21655460000000001</v>
      </c>
      <c r="II11">
        <v>233844</v>
      </c>
      <c r="IJ11">
        <v>0.2213185</v>
      </c>
      <c r="IK11">
        <v>233844</v>
      </c>
      <c r="IL11">
        <v>0.78813230000000001</v>
      </c>
      <c r="IM11">
        <v>233844</v>
      </c>
      <c r="IN11">
        <v>0.21186769999999999</v>
      </c>
      <c r="IO11">
        <v>184300</v>
      </c>
      <c r="IP11">
        <v>0.91170379999999995</v>
      </c>
      <c r="IQ11">
        <v>184300</v>
      </c>
      <c r="IR11">
        <v>8.8296299999999994E-2</v>
      </c>
      <c r="IS11">
        <v>471856</v>
      </c>
      <c r="IT11">
        <v>0.50441659999999999</v>
      </c>
      <c r="IU11">
        <v>238012</v>
      </c>
      <c r="IV11">
        <v>0.4043872</v>
      </c>
      <c r="IW11">
        <v>238012</v>
      </c>
      <c r="IX11">
        <v>0.2721249</v>
      </c>
      <c r="IY11">
        <v>238012</v>
      </c>
      <c r="IZ11">
        <v>0.32348789999999999</v>
      </c>
      <c r="JA11">
        <v>238012</v>
      </c>
      <c r="JB11">
        <v>0.65985329999999998</v>
      </c>
      <c r="JC11">
        <v>238012</v>
      </c>
      <c r="JD11">
        <v>0.34014670000000002</v>
      </c>
      <c r="JE11">
        <v>157053</v>
      </c>
      <c r="JF11">
        <v>0.93647369999999996</v>
      </c>
      <c r="JG11">
        <v>157053</v>
      </c>
      <c r="JH11">
        <v>6.3526299999999994E-2</v>
      </c>
      <c r="JI11">
        <v>167455</v>
      </c>
      <c r="JJ11">
        <v>9.0615399999999999E-2</v>
      </c>
      <c r="JK11">
        <v>15174</v>
      </c>
      <c r="JL11">
        <v>0.4137999</v>
      </c>
      <c r="JM11">
        <v>6279</v>
      </c>
      <c r="JN11">
        <v>0.76939000000000002</v>
      </c>
      <c r="JO11">
        <v>6279</v>
      </c>
      <c r="JP11">
        <v>0.76939000000000002</v>
      </c>
      <c r="JQ11">
        <v>6279</v>
      </c>
      <c r="JR11">
        <v>0.76939000000000002</v>
      </c>
      <c r="JS11">
        <v>6279</v>
      </c>
      <c r="JT11">
        <v>0.76939000000000002</v>
      </c>
      <c r="JU11">
        <v>6279</v>
      </c>
      <c r="JV11">
        <v>0.23061000000000001</v>
      </c>
      <c r="JW11">
        <v>15174</v>
      </c>
      <c r="JX11">
        <v>0.5862001</v>
      </c>
      <c r="JY11">
        <v>8895</v>
      </c>
      <c r="JZ11">
        <v>0.22922989999999999</v>
      </c>
      <c r="KA11">
        <v>2039</v>
      </c>
      <c r="KB11">
        <v>0.73222169999999998</v>
      </c>
      <c r="KC11">
        <v>1493</v>
      </c>
      <c r="KD11">
        <v>0.32150030000000002</v>
      </c>
      <c r="KE11">
        <v>1493</v>
      </c>
      <c r="KF11">
        <v>0.29336909999999999</v>
      </c>
      <c r="KG11">
        <v>1493</v>
      </c>
      <c r="KH11">
        <v>0.38513059999999999</v>
      </c>
      <c r="KI11">
        <v>2039</v>
      </c>
      <c r="KJ11">
        <v>0.26777830000000002</v>
      </c>
      <c r="KK11">
        <v>8895</v>
      </c>
      <c r="KL11">
        <v>0.77077010000000001</v>
      </c>
      <c r="KM11">
        <v>6856</v>
      </c>
      <c r="KN11">
        <v>0.84291130000000003</v>
      </c>
      <c r="KO11">
        <v>5779</v>
      </c>
      <c r="KP11">
        <v>0.2180308</v>
      </c>
      <c r="KQ11">
        <v>5779</v>
      </c>
      <c r="KR11">
        <v>0.20522580000000001</v>
      </c>
      <c r="KS11">
        <v>5779</v>
      </c>
      <c r="KT11">
        <v>0.57674340000000002</v>
      </c>
      <c r="KU11">
        <v>6856</v>
      </c>
      <c r="KV11">
        <v>0.1570887</v>
      </c>
      <c r="KW11">
        <v>167455</v>
      </c>
      <c r="KX11">
        <v>1.63984E-2</v>
      </c>
      <c r="KY11">
        <v>2746</v>
      </c>
      <c r="KZ11">
        <v>0.56372900000000004</v>
      </c>
      <c r="LA11">
        <v>1548</v>
      </c>
      <c r="LB11">
        <v>0.44056849999999997</v>
      </c>
      <c r="LC11">
        <v>1548</v>
      </c>
      <c r="LD11">
        <v>0.44056849999999997</v>
      </c>
      <c r="LE11">
        <v>1548</v>
      </c>
      <c r="LF11">
        <v>0.44056849999999997</v>
      </c>
      <c r="LG11">
        <v>1548</v>
      </c>
      <c r="LH11">
        <v>0.44056849999999997</v>
      </c>
      <c r="LI11">
        <v>1548</v>
      </c>
      <c r="LJ11">
        <v>0.55943160000000003</v>
      </c>
      <c r="LK11">
        <v>2746</v>
      </c>
      <c r="LL11">
        <v>0.43627100000000002</v>
      </c>
      <c r="LM11">
        <v>1198</v>
      </c>
      <c r="LN11">
        <v>0.360601</v>
      </c>
      <c r="LO11">
        <v>432</v>
      </c>
      <c r="LP11">
        <v>0.6875</v>
      </c>
      <c r="LQ11">
        <v>297</v>
      </c>
      <c r="LR11">
        <v>0.69360270000000002</v>
      </c>
      <c r="LS11">
        <v>297</v>
      </c>
      <c r="LT11">
        <v>0.1077441</v>
      </c>
      <c r="LU11">
        <v>297</v>
      </c>
      <c r="LV11">
        <v>0.1986532</v>
      </c>
      <c r="LW11">
        <v>432</v>
      </c>
      <c r="LX11">
        <v>0.3125</v>
      </c>
      <c r="LY11">
        <v>1198</v>
      </c>
      <c r="LZ11">
        <v>0.63939900000000005</v>
      </c>
      <c r="MA11">
        <v>766</v>
      </c>
      <c r="MB11">
        <v>0.88381200000000004</v>
      </c>
      <c r="MC11">
        <v>677</v>
      </c>
      <c r="MD11">
        <v>0.13737079999999999</v>
      </c>
      <c r="ME11">
        <v>677</v>
      </c>
      <c r="MF11">
        <v>0.1063516</v>
      </c>
      <c r="MG11">
        <v>677</v>
      </c>
      <c r="MH11">
        <v>0.75627770000000005</v>
      </c>
      <c r="MI11">
        <v>766</v>
      </c>
      <c r="MJ11">
        <v>0.116188</v>
      </c>
      <c r="MK11">
        <v>167455</v>
      </c>
      <c r="ML11">
        <v>4.8872800000000001E-2</v>
      </c>
      <c r="MM11">
        <v>8184</v>
      </c>
      <c r="MN11">
        <v>0.68633920000000004</v>
      </c>
      <c r="MO11">
        <v>5617</v>
      </c>
      <c r="MP11">
        <v>0.72868080000000002</v>
      </c>
      <c r="MQ11">
        <v>5617</v>
      </c>
      <c r="MR11">
        <v>0.72868080000000002</v>
      </c>
      <c r="MS11">
        <v>5617</v>
      </c>
      <c r="MT11">
        <v>0.72868080000000002</v>
      </c>
      <c r="MU11">
        <v>5617</v>
      </c>
      <c r="MV11">
        <v>0.72868080000000002</v>
      </c>
      <c r="MW11">
        <v>5617</v>
      </c>
      <c r="MX11">
        <v>0.27131919999999998</v>
      </c>
      <c r="MY11">
        <v>8184</v>
      </c>
      <c r="MZ11">
        <v>0.31366080000000002</v>
      </c>
      <c r="NA11">
        <v>2567</v>
      </c>
      <c r="NB11">
        <v>0.201792</v>
      </c>
      <c r="NC11">
        <v>518</v>
      </c>
      <c r="ND11">
        <v>0.74324319999999999</v>
      </c>
      <c r="NE11">
        <v>385</v>
      </c>
      <c r="NF11">
        <v>0.1220779</v>
      </c>
      <c r="NG11">
        <v>385</v>
      </c>
      <c r="NH11">
        <v>0.3350649</v>
      </c>
      <c r="NI11">
        <v>385</v>
      </c>
      <c r="NJ11">
        <v>0.54285720000000004</v>
      </c>
      <c r="NK11">
        <v>518</v>
      </c>
      <c r="NL11">
        <v>0.25675680000000001</v>
      </c>
      <c r="NM11">
        <v>2567</v>
      </c>
      <c r="NN11">
        <v>0.79820800000000003</v>
      </c>
      <c r="NO11">
        <v>2049</v>
      </c>
      <c r="NP11">
        <v>0.75549049999999995</v>
      </c>
      <c r="NQ11">
        <v>1548</v>
      </c>
      <c r="NR11">
        <v>0.1104651</v>
      </c>
      <c r="NS11">
        <v>1548</v>
      </c>
      <c r="NT11">
        <v>0.26356590000000002</v>
      </c>
      <c r="NU11">
        <v>1548</v>
      </c>
      <c r="NV11">
        <v>0.625969</v>
      </c>
      <c r="NW11">
        <v>2049</v>
      </c>
      <c r="NX11">
        <v>0.24450949999999999</v>
      </c>
      <c r="NY11">
        <v>167455</v>
      </c>
      <c r="NZ11">
        <v>0.84411329999999996</v>
      </c>
      <c r="OA11">
        <v>141351</v>
      </c>
      <c r="OB11">
        <v>0.83438389999999996</v>
      </c>
      <c r="OC11">
        <v>117941</v>
      </c>
      <c r="OD11">
        <v>0.52938339999999995</v>
      </c>
      <c r="OE11">
        <v>117941</v>
      </c>
      <c r="OF11">
        <v>0.52938339999999995</v>
      </c>
      <c r="OG11">
        <v>117941</v>
      </c>
      <c r="OH11">
        <v>0.52938339999999995</v>
      </c>
      <c r="OI11">
        <v>117941</v>
      </c>
      <c r="OJ11">
        <v>0.52938339999999995</v>
      </c>
      <c r="OK11">
        <v>117941</v>
      </c>
      <c r="OL11">
        <v>0.4706167</v>
      </c>
      <c r="OM11">
        <v>141351</v>
      </c>
      <c r="ON11">
        <v>0.16561609999999999</v>
      </c>
      <c r="OO11">
        <v>23410</v>
      </c>
      <c r="OP11">
        <v>0.3945323</v>
      </c>
      <c r="OQ11">
        <v>9236</v>
      </c>
      <c r="OR11">
        <v>0.46026420000000001</v>
      </c>
      <c r="OS11">
        <v>4251</v>
      </c>
      <c r="OT11">
        <v>0.173371</v>
      </c>
      <c r="OU11">
        <v>4251</v>
      </c>
      <c r="OV11">
        <v>7.5746900000000006E-2</v>
      </c>
      <c r="OW11">
        <v>4251</v>
      </c>
      <c r="OX11">
        <v>0.7508821</v>
      </c>
      <c r="OY11">
        <v>9236</v>
      </c>
      <c r="OZ11">
        <v>0.53973579999999999</v>
      </c>
      <c r="PA11">
        <v>23410</v>
      </c>
      <c r="PB11">
        <v>0.60546770000000005</v>
      </c>
      <c r="PC11">
        <v>14174</v>
      </c>
      <c r="PD11">
        <v>0.53562860000000001</v>
      </c>
      <c r="PE11">
        <v>7592</v>
      </c>
      <c r="PF11">
        <v>7.7976799999999999E-2</v>
      </c>
      <c r="PG11">
        <v>7592</v>
      </c>
      <c r="PH11">
        <v>0.12631719999999999</v>
      </c>
      <c r="PI11">
        <v>7592</v>
      </c>
      <c r="PJ11">
        <v>0.79570600000000002</v>
      </c>
      <c r="PK11">
        <v>14174</v>
      </c>
      <c r="PL11">
        <v>0.46437139999999999</v>
      </c>
      <c r="PM11">
        <v>682518</v>
      </c>
      <c r="PN11">
        <v>0.49664920000000001</v>
      </c>
      <c r="PO11">
        <v>338972</v>
      </c>
      <c r="PP11">
        <v>6.79289E-2</v>
      </c>
      <c r="PQ11">
        <v>338972</v>
      </c>
      <c r="PR11">
        <v>7.7994599999999997E-2</v>
      </c>
      <c r="PS11">
        <v>338972</v>
      </c>
      <c r="PT11">
        <v>9.0284699999999996E-2</v>
      </c>
      <c r="PU11">
        <v>338972</v>
      </c>
      <c r="PV11">
        <v>5.1547000000000003E-2</v>
      </c>
      <c r="PW11">
        <v>338972</v>
      </c>
      <c r="PX11">
        <v>3.0011300000000001E-2</v>
      </c>
      <c r="PY11">
        <v>338972</v>
      </c>
      <c r="PZ11">
        <v>1.76534E-2</v>
      </c>
      <c r="QA11">
        <v>338972</v>
      </c>
      <c r="QB11">
        <v>1.1059899999999999E-2</v>
      </c>
      <c r="QC11">
        <v>338972</v>
      </c>
      <c r="QD11">
        <v>3.3035200000000001E-2</v>
      </c>
      <c r="QE11">
        <v>338972</v>
      </c>
      <c r="QF11">
        <v>5.4803900000000003E-2</v>
      </c>
      <c r="QG11">
        <v>338972</v>
      </c>
      <c r="QH11">
        <v>6.2819299999999995E-2</v>
      </c>
      <c r="QI11">
        <v>338972</v>
      </c>
      <c r="QJ11">
        <v>6.8173800000000007E-2</v>
      </c>
      <c r="QK11">
        <v>338972</v>
      </c>
      <c r="QL11">
        <v>8.1655699999999998E-2</v>
      </c>
      <c r="QM11">
        <v>338972</v>
      </c>
      <c r="QN11">
        <v>8.0398999999999998E-2</v>
      </c>
      <c r="QO11">
        <v>338972</v>
      </c>
      <c r="QP11">
        <v>7.4256900000000001E-2</v>
      </c>
      <c r="QQ11">
        <v>338972</v>
      </c>
      <c r="QR11">
        <v>6.1636400000000001E-2</v>
      </c>
      <c r="QS11">
        <v>338972</v>
      </c>
      <c r="QT11">
        <v>2.05504E-2</v>
      </c>
      <c r="QU11">
        <v>338972</v>
      </c>
      <c r="QV11">
        <v>2.5491799999999998E-2</v>
      </c>
      <c r="QW11">
        <v>338972</v>
      </c>
      <c r="QX11">
        <v>1.62285E-2</v>
      </c>
      <c r="QY11">
        <v>338972</v>
      </c>
      <c r="QZ11">
        <v>2.0405800000000002E-2</v>
      </c>
      <c r="RA11">
        <v>338972</v>
      </c>
      <c r="RB11">
        <v>2.1302600000000001E-2</v>
      </c>
      <c r="RC11">
        <v>338972</v>
      </c>
      <c r="RD11">
        <v>1.46207E-2</v>
      </c>
      <c r="RE11">
        <v>338972</v>
      </c>
      <c r="RF11">
        <v>9.8031999999999998E-3</v>
      </c>
      <c r="RG11">
        <v>338972</v>
      </c>
      <c r="RH11">
        <v>8.3370000000000007E-3</v>
      </c>
      <c r="RI11">
        <v>682518</v>
      </c>
      <c r="RJ11">
        <v>0.50335090000000005</v>
      </c>
      <c r="RK11">
        <v>343546</v>
      </c>
      <c r="RL11">
        <v>6.45096E-2</v>
      </c>
      <c r="RM11">
        <v>343546</v>
      </c>
      <c r="RN11">
        <v>7.6912599999999998E-2</v>
      </c>
      <c r="RO11">
        <v>343546</v>
      </c>
      <c r="RP11">
        <v>7.9913600000000001E-2</v>
      </c>
      <c r="RQ11">
        <v>343546</v>
      </c>
      <c r="RR11">
        <v>4.8703799999999998E-2</v>
      </c>
      <c r="RS11">
        <v>343546</v>
      </c>
      <c r="RT11">
        <v>2.6188599999999999E-2</v>
      </c>
      <c r="RU11">
        <v>343546</v>
      </c>
      <c r="RV11">
        <v>9.3088000000000008E-3</v>
      </c>
      <c r="RW11">
        <v>343546</v>
      </c>
      <c r="RX11">
        <v>1.33548E-2</v>
      </c>
      <c r="RY11">
        <v>343546</v>
      </c>
      <c r="RZ11">
        <v>3.3328900000000002E-2</v>
      </c>
      <c r="SA11">
        <v>343546</v>
      </c>
      <c r="SB11">
        <v>5.2729499999999999E-2</v>
      </c>
      <c r="SC11">
        <v>343546</v>
      </c>
      <c r="SD11">
        <v>6.4439700000000003E-2</v>
      </c>
      <c r="SE11">
        <v>343546</v>
      </c>
      <c r="SF11">
        <v>7.2557999999999997E-2</v>
      </c>
      <c r="SG11">
        <v>343546</v>
      </c>
      <c r="SH11">
        <v>8.1636799999999995E-2</v>
      </c>
      <c r="SI11">
        <v>343546</v>
      </c>
      <c r="SJ11">
        <v>7.9511899999999996E-2</v>
      </c>
      <c r="SK11">
        <v>343546</v>
      </c>
      <c r="SL11">
        <v>7.3620400000000003E-2</v>
      </c>
      <c r="SM11">
        <v>343546</v>
      </c>
      <c r="SN11">
        <v>5.9372000000000001E-2</v>
      </c>
      <c r="SO11">
        <v>343546</v>
      </c>
      <c r="SP11">
        <v>2.0800699999999998E-2</v>
      </c>
      <c r="SQ11">
        <v>343546</v>
      </c>
      <c r="SR11">
        <v>2.9605900000000001E-2</v>
      </c>
      <c r="SS11">
        <v>343546</v>
      </c>
      <c r="ST11">
        <v>1.48801E-2</v>
      </c>
      <c r="SU11">
        <v>343546</v>
      </c>
      <c r="SV11">
        <v>1.9595600000000001E-2</v>
      </c>
      <c r="SW11">
        <v>343546</v>
      </c>
      <c r="SX11">
        <v>2.9029599999999999E-2</v>
      </c>
      <c r="SY11">
        <v>343546</v>
      </c>
      <c r="SZ11">
        <v>1.7750200000000001E-2</v>
      </c>
      <c r="TA11">
        <v>343546</v>
      </c>
      <c r="TB11">
        <v>1.5089699999999999E-2</v>
      </c>
      <c r="TC11">
        <v>343546</v>
      </c>
      <c r="TD11">
        <v>1.7159299999999999E-2</v>
      </c>
      <c r="TE11">
        <v>511538</v>
      </c>
      <c r="TF11">
        <v>0.49482540000000003</v>
      </c>
      <c r="TG11">
        <v>75421</v>
      </c>
      <c r="TH11">
        <v>0.50127949999999999</v>
      </c>
      <c r="TI11"/>
      <c r="TJ11"/>
      <c r="TK11">
        <v>33506</v>
      </c>
      <c r="TL11">
        <v>0.46728940000000002</v>
      </c>
      <c r="TM11"/>
      <c r="TN11"/>
      <c r="TO11">
        <v>44654</v>
      </c>
      <c r="TP11">
        <v>0.53047880000000003</v>
      </c>
      <c r="TQ11">
        <v>15620</v>
      </c>
      <c r="TR11">
        <v>0.48585149999999999</v>
      </c>
      <c r="TS11">
        <v>452981</v>
      </c>
      <c r="TT11">
        <v>0.49457040000000002</v>
      </c>
      <c r="TU11">
        <v>109956</v>
      </c>
      <c r="TV11">
        <v>0.51555169999999995</v>
      </c>
      <c r="TW11">
        <v>511538</v>
      </c>
      <c r="TX11">
        <v>0.50517460000000003</v>
      </c>
      <c r="TY11">
        <v>75421</v>
      </c>
      <c r="TZ11">
        <v>0.49872050000000001</v>
      </c>
      <c r="UA11"/>
      <c r="UB11"/>
      <c r="UC11">
        <v>33506</v>
      </c>
      <c r="UD11">
        <v>0.53271060000000003</v>
      </c>
      <c r="UE11"/>
      <c r="UF11"/>
      <c r="UG11">
        <v>44654</v>
      </c>
      <c r="UH11">
        <v>0.46952120000000003</v>
      </c>
      <c r="UI11">
        <v>15620</v>
      </c>
      <c r="UJ11">
        <v>0.51414850000000001</v>
      </c>
      <c r="UK11">
        <v>452981</v>
      </c>
      <c r="UL11">
        <v>0.50542960000000003</v>
      </c>
      <c r="UM11">
        <v>109956</v>
      </c>
      <c r="UN11">
        <v>0.4844483</v>
      </c>
      <c r="UO11">
        <v>160267</v>
      </c>
      <c r="UP11">
        <v>160267</v>
      </c>
      <c r="UQ11">
        <v>160267</v>
      </c>
      <c r="UR11">
        <v>138567</v>
      </c>
      <c r="US11">
        <v>138567</v>
      </c>
      <c r="UT11">
        <v>138567</v>
      </c>
      <c r="UU11">
        <v>0</v>
      </c>
      <c r="UV11">
        <v>0.91365660000000004</v>
      </c>
      <c r="UW11">
        <v>8.6343400000000001E-2</v>
      </c>
      <c r="UX11">
        <v>0</v>
      </c>
      <c r="UY11">
        <v>0.93390919999999999</v>
      </c>
      <c r="UZ11">
        <v>6.6090800000000005E-2</v>
      </c>
      <c r="VA11">
        <v>9215</v>
      </c>
      <c r="VB11">
        <v>0</v>
      </c>
      <c r="VC11">
        <v>9215</v>
      </c>
      <c r="VD11">
        <v>0.83277270000000003</v>
      </c>
      <c r="VE11">
        <v>9215</v>
      </c>
      <c r="VF11">
        <v>0.1672273</v>
      </c>
      <c r="VG11">
        <v>16700</v>
      </c>
      <c r="VH11">
        <v>0</v>
      </c>
      <c r="VI11">
        <v>16700</v>
      </c>
      <c r="VJ11">
        <v>0.88790420000000003</v>
      </c>
      <c r="VK11">
        <v>16700</v>
      </c>
      <c r="VL11">
        <v>0.1120958</v>
      </c>
      <c r="VM11">
        <v>20469</v>
      </c>
      <c r="VN11">
        <v>0</v>
      </c>
      <c r="VO11">
        <v>20469</v>
      </c>
      <c r="VP11">
        <v>0.91768039999999995</v>
      </c>
      <c r="VQ11">
        <v>20469</v>
      </c>
      <c r="VR11">
        <v>8.2319600000000007E-2</v>
      </c>
      <c r="VS11">
        <v>47244</v>
      </c>
      <c r="VT11">
        <v>0</v>
      </c>
      <c r="VU11">
        <v>47244</v>
      </c>
      <c r="VV11">
        <v>0.92280499999999999</v>
      </c>
      <c r="VW11">
        <v>47244</v>
      </c>
      <c r="VX11">
        <v>7.7195E-2</v>
      </c>
      <c r="VY11">
        <v>48237</v>
      </c>
      <c r="VZ11">
        <v>0</v>
      </c>
      <c r="WA11">
        <v>48237</v>
      </c>
      <c r="WB11">
        <v>0.92147109999999999</v>
      </c>
      <c r="WC11">
        <v>48237</v>
      </c>
      <c r="WD11">
        <v>7.8528899999999999E-2</v>
      </c>
      <c r="WE11">
        <v>18402</v>
      </c>
      <c r="WF11">
        <v>0</v>
      </c>
      <c r="WG11">
        <v>18402</v>
      </c>
      <c r="WH11">
        <v>0.92908380000000002</v>
      </c>
      <c r="WI11">
        <v>18402</v>
      </c>
      <c r="WJ11">
        <v>7.0916199999999999E-2</v>
      </c>
      <c r="WK11">
        <v>9527</v>
      </c>
      <c r="WL11">
        <v>0</v>
      </c>
      <c r="WM11">
        <v>9527</v>
      </c>
      <c r="WN11">
        <v>0.92568490000000003</v>
      </c>
      <c r="WO11">
        <v>9527</v>
      </c>
      <c r="WP11">
        <v>7.4315099999999995E-2</v>
      </c>
      <c r="WQ11">
        <v>13917</v>
      </c>
      <c r="WR11">
        <v>0</v>
      </c>
      <c r="WS11">
        <v>13917</v>
      </c>
      <c r="WT11">
        <v>0.88675720000000002</v>
      </c>
      <c r="WU11">
        <v>13917</v>
      </c>
      <c r="WV11">
        <v>0.1132428</v>
      </c>
      <c r="WW11">
        <v>17258</v>
      </c>
      <c r="WX11">
        <v>0</v>
      </c>
      <c r="WY11">
        <v>17258</v>
      </c>
      <c r="WZ11">
        <v>0.92096420000000001</v>
      </c>
      <c r="XA11">
        <v>17258</v>
      </c>
      <c r="XB11">
        <v>7.9035800000000003E-2</v>
      </c>
      <c r="XC11">
        <v>40598</v>
      </c>
      <c r="XD11">
        <v>0</v>
      </c>
      <c r="XE11">
        <v>40598</v>
      </c>
      <c r="XF11">
        <v>0.9363515</v>
      </c>
      <c r="XG11">
        <v>40598</v>
      </c>
      <c r="XH11">
        <v>6.3648499999999997E-2</v>
      </c>
      <c r="XI11">
        <v>42332</v>
      </c>
      <c r="XJ11">
        <v>0</v>
      </c>
      <c r="XK11">
        <v>42332</v>
      </c>
      <c r="XL11">
        <v>0.94968339999999996</v>
      </c>
      <c r="XM11">
        <v>42332</v>
      </c>
      <c r="XN11">
        <v>5.03165E-2</v>
      </c>
      <c r="XO11">
        <v>14935</v>
      </c>
      <c r="XP11">
        <v>0</v>
      </c>
      <c r="XQ11">
        <v>14935</v>
      </c>
      <c r="XR11">
        <v>0.94670240000000005</v>
      </c>
      <c r="XS11">
        <v>14935</v>
      </c>
      <c r="XT11">
        <v>5.3297600000000001E-2</v>
      </c>
      <c r="XU11">
        <v>444780</v>
      </c>
      <c r="XV11">
        <v>0.50017089999999997</v>
      </c>
      <c r="XW11">
        <v>222466</v>
      </c>
      <c r="XX11">
        <v>0.82035910000000001</v>
      </c>
      <c r="XY11">
        <v>222466</v>
      </c>
      <c r="XZ11">
        <v>0.17964089999999999</v>
      </c>
      <c r="YA11">
        <v>182502</v>
      </c>
      <c r="YB11">
        <v>0.83806199999999997</v>
      </c>
      <c r="YC11">
        <v>152948</v>
      </c>
      <c r="YD11">
        <v>0.85361039999999999</v>
      </c>
      <c r="YE11">
        <v>152948</v>
      </c>
      <c r="YF11">
        <v>1.1657600000000001E-2</v>
      </c>
      <c r="YG11">
        <v>152948</v>
      </c>
      <c r="YH11">
        <v>3.9902399999999998E-2</v>
      </c>
      <c r="YI11">
        <v>152948</v>
      </c>
      <c r="YJ11">
        <v>3.7254500000000003E-2</v>
      </c>
      <c r="YK11">
        <v>152948</v>
      </c>
      <c r="YL11">
        <v>2.6479599999999999E-2</v>
      </c>
      <c r="YM11">
        <v>152948</v>
      </c>
      <c r="YN11">
        <v>3.1095500000000002E-2</v>
      </c>
      <c r="YO11">
        <v>182502</v>
      </c>
      <c r="YP11">
        <v>0.12917120000000001</v>
      </c>
      <c r="YQ11">
        <v>23574</v>
      </c>
      <c r="YR11">
        <v>0.45855600000000002</v>
      </c>
      <c r="YS11">
        <v>23574</v>
      </c>
      <c r="YT11">
        <v>2.3415600000000002E-2</v>
      </c>
      <c r="YU11">
        <v>23574</v>
      </c>
      <c r="YV11">
        <v>9.1244599999999995E-2</v>
      </c>
      <c r="YW11">
        <v>23574</v>
      </c>
      <c r="YX11">
        <v>0.1265801</v>
      </c>
      <c r="YY11">
        <v>23574</v>
      </c>
      <c r="YZ11">
        <v>0.13336729999999999</v>
      </c>
      <c r="ZA11">
        <v>23574</v>
      </c>
      <c r="ZB11">
        <v>0.1668364</v>
      </c>
      <c r="ZC11">
        <v>182502</v>
      </c>
      <c r="ZD11">
        <v>3.2766799999999999E-2</v>
      </c>
      <c r="ZE11">
        <v>5980</v>
      </c>
      <c r="ZF11">
        <v>0.33628760000000002</v>
      </c>
      <c r="ZG11">
        <v>5980</v>
      </c>
      <c r="ZH11">
        <v>1.2374599999999999E-2</v>
      </c>
      <c r="ZI11">
        <v>5980</v>
      </c>
      <c r="ZJ11">
        <v>2.65886E-2</v>
      </c>
      <c r="ZK11">
        <v>5980</v>
      </c>
      <c r="ZL11">
        <v>0.1175585</v>
      </c>
      <c r="ZM11">
        <v>5980</v>
      </c>
      <c r="ZN11">
        <v>9.1137099999999999E-2</v>
      </c>
      <c r="ZO11">
        <v>5980</v>
      </c>
      <c r="ZP11">
        <v>0.41605350000000002</v>
      </c>
      <c r="ZQ11">
        <v>444780</v>
      </c>
      <c r="ZR11">
        <v>0.49982910000000003</v>
      </c>
      <c r="ZS11">
        <v>222314</v>
      </c>
      <c r="ZT11">
        <v>0.73424520000000004</v>
      </c>
      <c r="ZU11">
        <v>222314</v>
      </c>
      <c r="ZV11">
        <v>0.26575470000000001</v>
      </c>
      <c r="ZW11">
        <v>163233</v>
      </c>
      <c r="ZX11">
        <v>0.67193519999999995</v>
      </c>
      <c r="ZY11">
        <v>109682</v>
      </c>
      <c r="ZZ11">
        <v>0.87160150000000003</v>
      </c>
      <c r="AAA11">
        <v>109682</v>
      </c>
      <c r="AAB11">
        <v>1.13601E-2</v>
      </c>
      <c r="AAC11">
        <v>109682</v>
      </c>
      <c r="AAD11">
        <v>3.4700300000000003E-2</v>
      </c>
      <c r="AAE11">
        <v>109682</v>
      </c>
      <c r="AAF11">
        <v>3.4846200000000001E-2</v>
      </c>
      <c r="AAG11">
        <v>109682</v>
      </c>
      <c r="AAH11">
        <v>2.87467E-2</v>
      </c>
      <c r="AAI11">
        <v>109682</v>
      </c>
      <c r="AAJ11">
        <v>1.8745100000000001E-2</v>
      </c>
      <c r="AAK11">
        <v>163233</v>
      </c>
      <c r="AAL11">
        <v>0.25946350000000001</v>
      </c>
      <c r="AAM11">
        <v>42353</v>
      </c>
      <c r="AAN11">
        <v>0.60543530000000001</v>
      </c>
      <c r="AAO11">
        <v>42353</v>
      </c>
      <c r="AAP11">
        <v>2.4484700000000002E-2</v>
      </c>
      <c r="AAQ11">
        <v>42353</v>
      </c>
      <c r="AAR11">
        <v>6.30888E-2</v>
      </c>
      <c r="AAS11">
        <v>42353</v>
      </c>
      <c r="AAT11">
        <v>0.1030387</v>
      </c>
      <c r="AAU11">
        <v>42353</v>
      </c>
      <c r="AAV11">
        <v>8.5708199999999998E-2</v>
      </c>
      <c r="AAW11">
        <v>42353</v>
      </c>
      <c r="AAX11">
        <v>0.1182443</v>
      </c>
      <c r="AAY11">
        <v>163233</v>
      </c>
      <c r="AAZ11">
        <v>6.8601300000000004E-2</v>
      </c>
      <c r="ABA11">
        <v>11198</v>
      </c>
      <c r="ABB11">
        <v>0.19610639999999999</v>
      </c>
      <c r="ABC11">
        <v>11198</v>
      </c>
      <c r="ABD11">
        <v>2.9558899999999999E-2</v>
      </c>
      <c r="ABE11">
        <v>11198</v>
      </c>
      <c r="ABF11">
        <v>7.6442200000000002E-2</v>
      </c>
      <c r="ABG11">
        <v>11198</v>
      </c>
      <c r="ABH11">
        <v>0.15788530000000001</v>
      </c>
      <c r="ABI11">
        <v>11198</v>
      </c>
      <c r="ABJ11">
        <v>0.14779419999999999</v>
      </c>
      <c r="ABK11">
        <v>11198</v>
      </c>
      <c r="ABL11">
        <v>0.39221289999999998</v>
      </c>
      <c r="ABM11">
        <v>220938</v>
      </c>
      <c r="ABN11">
        <v>0.75792749999999998</v>
      </c>
      <c r="ABO11">
        <v>167455</v>
      </c>
      <c r="ABP11">
        <v>0.78459880000000004</v>
      </c>
      <c r="ABQ11">
        <v>167455</v>
      </c>
      <c r="ABR11">
        <v>0.21540119999999999</v>
      </c>
      <c r="ABS11">
        <v>36070</v>
      </c>
      <c r="ABT11">
        <v>0.33892430000000001</v>
      </c>
      <c r="ABU11">
        <v>36070</v>
      </c>
      <c r="ABV11">
        <v>0.66107570000000004</v>
      </c>
      <c r="ABW11">
        <v>220938</v>
      </c>
      <c r="ABX11">
        <v>0.24207239999999999</v>
      </c>
      <c r="ABY11">
        <v>53483</v>
      </c>
      <c r="ABZ11">
        <v>0.82194339999999999</v>
      </c>
      <c r="ACA11">
        <v>53483</v>
      </c>
      <c r="ACB11">
        <v>0.17805660000000001</v>
      </c>
      <c r="ACC11">
        <v>526411</v>
      </c>
      <c r="ACD11">
        <v>0.4918286</v>
      </c>
      <c r="ACE11">
        <v>258904</v>
      </c>
      <c r="ACF11">
        <v>0.33372210000000002</v>
      </c>
      <c r="ACG11">
        <v>86402</v>
      </c>
      <c r="ACH11">
        <v>0.20169670000000001</v>
      </c>
      <c r="ACI11">
        <v>86402</v>
      </c>
      <c r="ACJ11">
        <v>0.1156339</v>
      </c>
      <c r="ACK11">
        <v>86402</v>
      </c>
      <c r="ACL11">
        <v>0.23045760000000001</v>
      </c>
      <c r="ACM11">
        <v>86402</v>
      </c>
      <c r="ACN11">
        <v>0.15435979999999999</v>
      </c>
      <c r="ACO11">
        <v>86402</v>
      </c>
      <c r="ACP11">
        <v>8.4546700000000002E-2</v>
      </c>
      <c r="ACQ11">
        <v>86402</v>
      </c>
      <c r="ACR11">
        <v>5.6734800000000002E-2</v>
      </c>
      <c r="ACS11">
        <v>86402</v>
      </c>
      <c r="ACT11">
        <v>5.5264899999999999E-2</v>
      </c>
      <c r="ACU11">
        <v>86402</v>
      </c>
      <c r="ACV11">
        <v>3.9756E-2</v>
      </c>
      <c r="ACW11">
        <v>86402</v>
      </c>
      <c r="ACX11">
        <v>2.90271E-2</v>
      </c>
      <c r="ACY11">
        <v>86402</v>
      </c>
      <c r="ACZ11">
        <v>1.0937199999999999E-2</v>
      </c>
      <c r="ADA11">
        <v>86402</v>
      </c>
      <c r="ADB11">
        <v>9.4441999999999998E-3</v>
      </c>
      <c r="ADC11">
        <v>86402</v>
      </c>
      <c r="ADD11">
        <v>6.9211000000000003E-3</v>
      </c>
      <c r="ADE11">
        <v>86402</v>
      </c>
      <c r="ADF11">
        <v>4.398E-3</v>
      </c>
      <c r="ADG11">
        <v>86402</v>
      </c>
      <c r="ADH11">
        <v>8.2169999999999997E-4</v>
      </c>
      <c r="ADI11">
        <v>258904</v>
      </c>
      <c r="ADJ11">
        <v>0.56347139999999996</v>
      </c>
      <c r="ADK11">
        <v>145885</v>
      </c>
      <c r="ADL11">
        <v>0.93378349999999999</v>
      </c>
      <c r="ADM11">
        <v>136225</v>
      </c>
      <c r="ADN11">
        <v>0</v>
      </c>
      <c r="ADO11">
        <v>136225</v>
      </c>
      <c r="ADP11">
        <v>3.9639999999999999E-4</v>
      </c>
      <c r="ADQ11">
        <v>136225</v>
      </c>
      <c r="ADR11">
        <v>2.8628999999999998E-3</v>
      </c>
      <c r="ADS11">
        <v>136225</v>
      </c>
      <c r="ADT11">
        <v>2.8541E-2</v>
      </c>
      <c r="ADU11">
        <v>136225</v>
      </c>
      <c r="ADV11">
        <v>9.0930399999999995E-2</v>
      </c>
      <c r="ADW11">
        <v>136225</v>
      </c>
      <c r="ADX11">
        <v>0.1116755</v>
      </c>
      <c r="ADY11">
        <v>136225</v>
      </c>
      <c r="ADZ11">
        <v>0.14205180000000001</v>
      </c>
      <c r="AEA11">
        <v>136225</v>
      </c>
      <c r="AEB11">
        <v>0.13961460000000001</v>
      </c>
      <c r="AEC11">
        <v>136225</v>
      </c>
      <c r="AED11">
        <v>0.12875020000000001</v>
      </c>
      <c r="AEE11">
        <v>136225</v>
      </c>
      <c r="AEF11">
        <v>0.10988439999999999</v>
      </c>
      <c r="AEG11">
        <v>136225</v>
      </c>
      <c r="AEH11">
        <v>8.6298399999999997E-2</v>
      </c>
      <c r="AEI11">
        <v>136225</v>
      </c>
      <c r="AEJ11">
        <v>0.1098991</v>
      </c>
      <c r="AEK11">
        <v>136225</v>
      </c>
      <c r="AEL11">
        <v>4.1681000000000003E-2</v>
      </c>
      <c r="AEM11">
        <v>136225</v>
      </c>
      <c r="AEN11">
        <v>7.4142000000000001E-3</v>
      </c>
      <c r="AEO11">
        <v>145885</v>
      </c>
      <c r="AEP11">
        <v>6.6216499999999998E-2</v>
      </c>
      <c r="AEQ11">
        <v>9660</v>
      </c>
      <c r="AER11">
        <v>0.24368529999999999</v>
      </c>
      <c r="AES11">
        <v>2354</v>
      </c>
      <c r="AET11">
        <v>1.9541200000000002E-2</v>
      </c>
      <c r="AEU11">
        <v>2354</v>
      </c>
      <c r="AEV11">
        <v>0</v>
      </c>
      <c r="AEW11">
        <v>2354</v>
      </c>
      <c r="AEX11">
        <v>1.18946E-2</v>
      </c>
      <c r="AEY11">
        <v>2354</v>
      </c>
      <c r="AEZ11">
        <v>2.29397E-2</v>
      </c>
      <c r="AFA11">
        <v>2354</v>
      </c>
      <c r="AFB11">
        <v>6.6695000000000004E-2</v>
      </c>
      <c r="AFC11">
        <v>2354</v>
      </c>
      <c r="AFD11">
        <v>0.1291419</v>
      </c>
      <c r="AFE11">
        <v>2354</v>
      </c>
      <c r="AFF11">
        <v>0.242141</v>
      </c>
      <c r="AFG11">
        <v>2354</v>
      </c>
      <c r="AFH11">
        <v>0.16992350000000001</v>
      </c>
      <c r="AFI11">
        <v>2354</v>
      </c>
      <c r="AFJ11">
        <v>5.8623599999999998E-2</v>
      </c>
      <c r="AFK11">
        <v>2354</v>
      </c>
      <c r="AFL11">
        <v>7.2642300000000007E-2</v>
      </c>
      <c r="AFM11">
        <v>2354</v>
      </c>
      <c r="AFN11">
        <v>3.4834299999999999E-2</v>
      </c>
      <c r="AFO11">
        <v>2354</v>
      </c>
      <c r="AFP11">
        <v>0.1193713</v>
      </c>
      <c r="AFQ11">
        <v>2354</v>
      </c>
      <c r="AFR11">
        <v>5.2251499999999999E-2</v>
      </c>
      <c r="AFS11">
        <v>2354</v>
      </c>
      <c r="AFT11">
        <v>0</v>
      </c>
      <c r="AFU11">
        <v>9660</v>
      </c>
      <c r="AFV11">
        <v>0.75631470000000001</v>
      </c>
      <c r="AFW11">
        <v>7306</v>
      </c>
      <c r="AFX11">
        <v>0</v>
      </c>
      <c r="AFY11">
        <v>7306</v>
      </c>
      <c r="AFZ11">
        <v>1.7519799999999999E-2</v>
      </c>
      <c r="AGA11">
        <v>7306</v>
      </c>
      <c r="AGB11">
        <v>3.9967099999999998E-2</v>
      </c>
      <c r="AGC11">
        <v>7306</v>
      </c>
      <c r="AGD11">
        <v>9.3347899999999998E-2</v>
      </c>
      <c r="AGE11">
        <v>7306</v>
      </c>
      <c r="AGF11">
        <v>6.8026299999999998E-2</v>
      </c>
      <c r="AGG11">
        <v>7306</v>
      </c>
      <c r="AGH11">
        <v>0.12729260000000001</v>
      </c>
      <c r="AGI11">
        <v>7306</v>
      </c>
      <c r="AGJ11">
        <v>5.7487000000000003E-2</v>
      </c>
      <c r="AGK11">
        <v>7306</v>
      </c>
      <c r="AGL11">
        <v>0.13139890000000001</v>
      </c>
      <c r="AGM11">
        <v>7306</v>
      </c>
      <c r="AGN11">
        <v>0.1110047</v>
      </c>
      <c r="AGO11">
        <v>7306</v>
      </c>
      <c r="AGP11">
        <v>0.2224199</v>
      </c>
      <c r="AGQ11">
        <v>7306</v>
      </c>
      <c r="AGR11">
        <v>3.0249100000000001E-2</v>
      </c>
      <c r="AGS11">
        <v>7306</v>
      </c>
      <c r="AGT11">
        <v>6.7889400000000003E-2</v>
      </c>
      <c r="AGU11">
        <v>7306</v>
      </c>
      <c r="AGV11">
        <v>2.80591E-2</v>
      </c>
      <c r="AGW11">
        <v>7306</v>
      </c>
      <c r="AGX11">
        <v>5.3381000000000001E-3</v>
      </c>
      <c r="AGY11">
        <v>258904</v>
      </c>
      <c r="AGZ11">
        <v>2.1830499999999999E-2</v>
      </c>
      <c r="AHA11">
        <v>5652</v>
      </c>
      <c r="AHB11">
        <v>0</v>
      </c>
      <c r="AHC11">
        <v>5652</v>
      </c>
      <c r="AHD11">
        <v>0</v>
      </c>
      <c r="AHE11">
        <v>5652</v>
      </c>
      <c r="AHF11">
        <v>0</v>
      </c>
      <c r="AHG11">
        <v>5652</v>
      </c>
      <c r="AHH11">
        <v>0</v>
      </c>
      <c r="AHI11">
        <v>5652</v>
      </c>
      <c r="AHJ11">
        <v>0</v>
      </c>
      <c r="AHK11">
        <v>5652</v>
      </c>
      <c r="AHL11">
        <v>0</v>
      </c>
      <c r="AHM11">
        <v>5652</v>
      </c>
      <c r="AHN11">
        <v>7.7849E-3</v>
      </c>
      <c r="AHO11">
        <v>5652</v>
      </c>
      <c r="AHP11">
        <v>3.2731799999999998E-2</v>
      </c>
      <c r="AHQ11">
        <v>5652</v>
      </c>
      <c r="AHR11">
        <v>2.1408400000000001E-2</v>
      </c>
      <c r="AHS11">
        <v>5652</v>
      </c>
      <c r="AHT11">
        <v>6.9179099999999993E-2</v>
      </c>
      <c r="AHU11">
        <v>5652</v>
      </c>
      <c r="AHV11">
        <v>0.1059802</v>
      </c>
      <c r="AHW11">
        <v>5652</v>
      </c>
      <c r="AHX11">
        <v>0.28184710000000002</v>
      </c>
      <c r="AHY11">
        <v>5652</v>
      </c>
      <c r="AHZ11">
        <v>0.22452230000000001</v>
      </c>
      <c r="AIA11">
        <v>5652</v>
      </c>
      <c r="AIB11">
        <v>0.2565463</v>
      </c>
      <c r="AIC11">
        <v>258904</v>
      </c>
      <c r="AID11">
        <v>8.0976000000000006E-2</v>
      </c>
      <c r="AIE11">
        <v>20965</v>
      </c>
      <c r="AIF11">
        <v>0</v>
      </c>
      <c r="AIG11">
        <v>20965</v>
      </c>
      <c r="AIH11">
        <v>0</v>
      </c>
      <c r="AII11">
        <v>20965</v>
      </c>
      <c r="AIJ11">
        <v>1.4738899999999999E-2</v>
      </c>
      <c r="AIK11">
        <v>20965</v>
      </c>
      <c r="AIL11">
        <v>2.93823E-2</v>
      </c>
      <c r="AIM11">
        <v>20965</v>
      </c>
      <c r="AIN11">
        <v>4.52182E-2</v>
      </c>
      <c r="AIO11">
        <v>20965</v>
      </c>
      <c r="AIP11">
        <v>8.3949399999999993E-2</v>
      </c>
      <c r="AIQ11">
        <v>20965</v>
      </c>
      <c r="AIR11">
        <v>0.1201526</v>
      </c>
      <c r="AIS11">
        <v>20965</v>
      </c>
      <c r="AIT11">
        <v>0.15521109999999999</v>
      </c>
      <c r="AIU11">
        <v>20965</v>
      </c>
      <c r="AIV11">
        <v>0.19336990000000001</v>
      </c>
      <c r="AIW11">
        <v>20965</v>
      </c>
      <c r="AIX11">
        <v>0.1331743</v>
      </c>
      <c r="AIY11">
        <v>20965</v>
      </c>
      <c r="AIZ11">
        <v>0.101741</v>
      </c>
      <c r="AJA11">
        <v>20965</v>
      </c>
      <c r="AJB11">
        <v>8.1087500000000007E-2</v>
      </c>
      <c r="AJC11">
        <v>20965</v>
      </c>
      <c r="AJD11">
        <v>2.9763899999999999E-2</v>
      </c>
      <c r="AJE11">
        <v>20965</v>
      </c>
      <c r="AJF11">
        <v>1.2210800000000001E-2</v>
      </c>
      <c r="AJG11">
        <v>526411</v>
      </c>
      <c r="AJH11">
        <v>0.50817140000000005</v>
      </c>
      <c r="AJI11">
        <v>267507</v>
      </c>
      <c r="AJJ11">
        <v>0.2802731</v>
      </c>
      <c r="AJK11">
        <v>74975</v>
      </c>
      <c r="AJL11">
        <v>0.2222074</v>
      </c>
      <c r="AJM11">
        <v>74975</v>
      </c>
      <c r="AJN11">
        <v>0.1196532</v>
      </c>
      <c r="AJO11">
        <v>74975</v>
      </c>
      <c r="AJP11">
        <v>0.2357052</v>
      </c>
      <c r="AJQ11">
        <v>74975</v>
      </c>
      <c r="AJR11">
        <v>0.14230080000000001</v>
      </c>
      <c r="AJS11">
        <v>74975</v>
      </c>
      <c r="AJT11">
        <v>7.7412499999999995E-2</v>
      </c>
      <c r="AJU11">
        <v>74975</v>
      </c>
      <c r="AJV11">
        <v>4.6428799999999999E-2</v>
      </c>
      <c r="AJW11">
        <v>74975</v>
      </c>
      <c r="AJX11">
        <v>3.9960000000000002E-2</v>
      </c>
      <c r="AJY11">
        <v>74975</v>
      </c>
      <c r="AJZ11">
        <v>3.2717599999999999E-2</v>
      </c>
      <c r="AKA11">
        <v>74975</v>
      </c>
      <c r="AKB11">
        <v>3.1357099999999999E-2</v>
      </c>
      <c r="AKC11">
        <v>74975</v>
      </c>
      <c r="AKD11">
        <v>1.72724E-2</v>
      </c>
      <c r="AKE11">
        <v>74975</v>
      </c>
      <c r="AKF11">
        <v>5.9353000000000001E-3</v>
      </c>
      <c r="AKG11">
        <v>74975</v>
      </c>
      <c r="AKH11">
        <v>1.55385E-2</v>
      </c>
      <c r="AKI11">
        <v>74975</v>
      </c>
      <c r="AKJ11">
        <v>1.06035E-2</v>
      </c>
      <c r="AKK11">
        <v>74975</v>
      </c>
      <c r="AKL11">
        <v>2.9076000000000002E-3</v>
      </c>
      <c r="AKM11">
        <v>267507</v>
      </c>
      <c r="AKN11">
        <v>0.53517479999999995</v>
      </c>
      <c r="AKO11">
        <v>143163</v>
      </c>
      <c r="AKP11">
        <v>0.93751180000000001</v>
      </c>
      <c r="AKQ11">
        <v>134217</v>
      </c>
      <c r="AKR11">
        <v>0</v>
      </c>
      <c r="AKS11">
        <v>134217</v>
      </c>
      <c r="AKT11">
        <v>1.9369999999999999E-4</v>
      </c>
      <c r="AKU11">
        <v>134217</v>
      </c>
      <c r="AKV11">
        <v>5.8636000000000001E-3</v>
      </c>
      <c r="AKW11">
        <v>134217</v>
      </c>
      <c r="AKX11">
        <v>4.5433899999999999E-2</v>
      </c>
      <c r="AKY11">
        <v>134217</v>
      </c>
      <c r="AKZ11">
        <v>0.10397339999999999</v>
      </c>
      <c r="ALA11">
        <v>134217</v>
      </c>
      <c r="ALB11">
        <v>0.13586210000000001</v>
      </c>
      <c r="ALC11">
        <v>134217</v>
      </c>
      <c r="ALD11">
        <v>0.14620349999999999</v>
      </c>
      <c r="ALE11">
        <v>134217</v>
      </c>
      <c r="ALF11">
        <v>0.14272409999999999</v>
      </c>
      <c r="ALG11">
        <v>134217</v>
      </c>
      <c r="ALH11">
        <v>0.11987299999999999</v>
      </c>
      <c r="ALI11">
        <v>134217</v>
      </c>
      <c r="ALJ11">
        <v>9.9659499999999998E-2</v>
      </c>
      <c r="ALK11">
        <v>134217</v>
      </c>
      <c r="ALL11">
        <v>8.1889799999999999E-2</v>
      </c>
      <c r="ALM11">
        <v>134217</v>
      </c>
      <c r="ALN11">
        <v>8.6002499999999996E-2</v>
      </c>
      <c r="ALO11">
        <v>134217</v>
      </c>
      <c r="ALP11">
        <v>2.9452300000000001E-2</v>
      </c>
      <c r="ALQ11">
        <v>134217</v>
      </c>
      <c r="ALR11">
        <v>2.8685E-3</v>
      </c>
      <c r="ALS11">
        <v>143163</v>
      </c>
      <c r="ALT11">
        <v>6.2488200000000001E-2</v>
      </c>
      <c r="ALU11">
        <v>8946</v>
      </c>
      <c r="ALV11">
        <v>0.52515089999999998</v>
      </c>
      <c r="ALW11">
        <v>4698</v>
      </c>
      <c r="ALX11">
        <v>1.5325699999999999E-2</v>
      </c>
      <c r="ALY11">
        <v>4698</v>
      </c>
      <c r="ALZ11">
        <v>0</v>
      </c>
      <c r="AMA11">
        <v>4698</v>
      </c>
      <c r="AMB11">
        <v>5.8535499999999997E-2</v>
      </c>
      <c r="AMC11">
        <v>4698</v>
      </c>
      <c r="AMD11">
        <v>7.4499800000000005E-2</v>
      </c>
      <c r="AME11">
        <v>4698</v>
      </c>
      <c r="AMF11">
        <v>5.1936999999999997E-2</v>
      </c>
      <c r="AMG11">
        <v>4698</v>
      </c>
      <c r="AMH11">
        <v>0.12473389999999999</v>
      </c>
      <c r="AMI11">
        <v>4698</v>
      </c>
      <c r="AMJ11">
        <v>0.16283529999999999</v>
      </c>
      <c r="AMK11">
        <v>4698</v>
      </c>
      <c r="AML11">
        <v>0.1179225</v>
      </c>
      <c r="AMM11">
        <v>4698</v>
      </c>
      <c r="AMN11">
        <v>0.2058323</v>
      </c>
      <c r="AMO11">
        <v>4698</v>
      </c>
      <c r="AMP11">
        <v>8.8122599999999995E-2</v>
      </c>
      <c r="AMQ11">
        <v>4698</v>
      </c>
      <c r="AMR11">
        <v>5.32141E-2</v>
      </c>
      <c r="AMS11">
        <v>4698</v>
      </c>
      <c r="AMT11">
        <v>8.0885000000000002E-3</v>
      </c>
      <c r="AMU11">
        <v>4698</v>
      </c>
      <c r="AMV11">
        <v>7.8756999999999994E-3</v>
      </c>
      <c r="AMW11">
        <v>4698</v>
      </c>
      <c r="AMX11">
        <v>3.10771E-2</v>
      </c>
      <c r="AMY11">
        <v>8946</v>
      </c>
      <c r="AMZ11">
        <v>0.47484910000000002</v>
      </c>
      <c r="ANA11">
        <v>4248</v>
      </c>
      <c r="ANB11">
        <v>0</v>
      </c>
      <c r="ANC11">
        <v>4248</v>
      </c>
      <c r="AND11">
        <v>0</v>
      </c>
      <c r="ANE11">
        <v>4248</v>
      </c>
      <c r="ANF11">
        <v>1.45951E-2</v>
      </c>
      <c r="ANG11">
        <v>4248</v>
      </c>
      <c r="ANH11">
        <v>8.4745799999999996E-2</v>
      </c>
      <c r="ANI11">
        <v>4248</v>
      </c>
      <c r="ANJ11">
        <v>9.7928399999999999E-2</v>
      </c>
      <c r="ANK11">
        <v>4248</v>
      </c>
      <c r="ANL11">
        <v>8.7335200000000002E-2</v>
      </c>
      <c r="ANM11">
        <v>4248</v>
      </c>
      <c r="ANN11">
        <v>0.1106403</v>
      </c>
      <c r="ANO11">
        <v>4248</v>
      </c>
      <c r="ANP11">
        <v>8.1450099999999998E-2</v>
      </c>
      <c r="ANQ11">
        <v>4248</v>
      </c>
      <c r="ANR11">
        <v>0.16195860000000001</v>
      </c>
      <c r="ANS11">
        <v>4248</v>
      </c>
      <c r="ANT11">
        <v>0.13865350000000001</v>
      </c>
      <c r="ANU11">
        <v>4248</v>
      </c>
      <c r="ANV11">
        <v>3.0602600000000001E-2</v>
      </c>
      <c r="ANW11">
        <v>4248</v>
      </c>
      <c r="ANX11">
        <v>0.1242938</v>
      </c>
      <c r="ANY11">
        <v>4248</v>
      </c>
      <c r="ANZ11">
        <v>3.3192100000000002E-2</v>
      </c>
      <c r="AOA11">
        <v>4248</v>
      </c>
      <c r="AOB11">
        <v>3.4604500000000003E-2</v>
      </c>
      <c r="AOC11">
        <v>267507</v>
      </c>
      <c r="AOD11">
        <v>7.4185000000000001E-2</v>
      </c>
      <c r="AOE11">
        <v>19845</v>
      </c>
      <c r="AOF11">
        <v>0</v>
      </c>
      <c r="AOG11">
        <v>19845</v>
      </c>
      <c r="AOH11">
        <v>0</v>
      </c>
      <c r="AOI11">
        <v>19845</v>
      </c>
      <c r="AOJ11">
        <v>0</v>
      </c>
      <c r="AOK11">
        <v>19845</v>
      </c>
      <c r="AOL11">
        <v>0</v>
      </c>
      <c r="AOM11">
        <v>19845</v>
      </c>
      <c r="AON11">
        <v>7.9617000000000004E-3</v>
      </c>
      <c r="AOO11">
        <v>19845</v>
      </c>
      <c r="AOP11">
        <v>1.24969E-2</v>
      </c>
      <c r="AOQ11">
        <v>19845</v>
      </c>
      <c r="AOR11">
        <v>6.7523000000000001E-3</v>
      </c>
      <c r="AOS11">
        <v>19845</v>
      </c>
      <c r="AOT11">
        <v>1.7485500000000001E-2</v>
      </c>
      <c r="AOU11">
        <v>19845</v>
      </c>
      <c r="AOV11">
        <v>5.4270600000000002E-2</v>
      </c>
      <c r="AOW11">
        <v>19845</v>
      </c>
      <c r="AOX11">
        <v>6.2837000000000004E-2</v>
      </c>
      <c r="AOY11">
        <v>19845</v>
      </c>
      <c r="AOZ11">
        <v>9.4129500000000005E-2</v>
      </c>
      <c r="APA11">
        <v>19845</v>
      </c>
      <c r="APB11">
        <v>0.25235580000000002</v>
      </c>
      <c r="APC11">
        <v>19845</v>
      </c>
      <c r="APD11">
        <v>0.26495340000000001</v>
      </c>
      <c r="APE11">
        <v>19845</v>
      </c>
      <c r="APF11">
        <v>0.2267574</v>
      </c>
      <c r="APG11">
        <v>267507</v>
      </c>
      <c r="APH11">
        <v>0.1103672</v>
      </c>
      <c r="API11">
        <v>29524</v>
      </c>
      <c r="APJ11">
        <v>0</v>
      </c>
      <c r="APK11">
        <v>29524</v>
      </c>
      <c r="APL11">
        <v>0</v>
      </c>
      <c r="APM11">
        <v>29524</v>
      </c>
      <c r="APN11">
        <v>1.4903100000000001E-2</v>
      </c>
      <c r="APO11">
        <v>29524</v>
      </c>
      <c r="APP11">
        <v>2.16095E-2</v>
      </c>
      <c r="APQ11">
        <v>29524</v>
      </c>
      <c r="APR11">
        <v>5.2872200000000001E-2</v>
      </c>
      <c r="APS11">
        <v>29524</v>
      </c>
      <c r="APT11">
        <v>6.7944699999999997E-2</v>
      </c>
      <c r="APU11">
        <v>29524</v>
      </c>
      <c r="APV11">
        <v>0.1374475</v>
      </c>
      <c r="APW11">
        <v>29524</v>
      </c>
      <c r="APX11">
        <v>0.15106349999999999</v>
      </c>
      <c r="APY11">
        <v>29524</v>
      </c>
      <c r="APZ11">
        <v>0.13954749999999999</v>
      </c>
      <c r="AQA11">
        <v>29524</v>
      </c>
      <c r="AQB11">
        <v>0.1177347</v>
      </c>
      <c r="AQC11">
        <v>29524</v>
      </c>
      <c r="AQD11">
        <v>0.12305240000000001</v>
      </c>
      <c r="AQE11">
        <v>29524</v>
      </c>
      <c r="AQF11">
        <v>0.1197331</v>
      </c>
      <c r="AQG11">
        <v>29524</v>
      </c>
      <c r="AQH11">
        <v>3.7190099999999997E-2</v>
      </c>
      <c r="AQI11">
        <v>29524</v>
      </c>
      <c r="AQJ11">
        <v>1.69015E-2</v>
      </c>
      <c r="AQK11">
        <v>87917</v>
      </c>
      <c r="AQL11">
        <v>0.15420229999999999</v>
      </c>
      <c r="AQM11">
        <v>220938</v>
      </c>
      <c r="AQN11">
        <v>0.8138301</v>
      </c>
      <c r="AQO11">
        <v>179806</v>
      </c>
      <c r="AQP11">
        <v>0.80152500000000004</v>
      </c>
      <c r="AQQ11">
        <v>144119</v>
      </c>
      <c r="AQR11">
        <v>0.84186680000000003</v>
      </c>
      <c r="AQS11">
        <v>121329</v>
      </c>
      <c r="AQT11">
        <v>0.51421340000000004</v>
      </c>
      <c r="AQU11">
        <v>121329</v>
      </c>
      <c r="AQV11">
        <v>0.48578660000000001</v>
      </c>
      <c r="AQW11">
        <v>144119</v>
      </c>
      <c r="AQX11">
        <v>0.1581332</v>
      </c>
      <c r="AQY11">
        <v>22790</v>
      </c>
      <c r="AQZ11">
        <v>0.38363320000000001</v>
      </c>
      <c r="ARA11">
        <v>8743</v>
      </c>
      <c r="ARB11">
        <v>0.39951959999999997</v>
      </c>
      <c r="ARC11">
        <v>8743</v>
      </c>
      <c r="ARD11">
        <v>0.60048040000000003</v>
      </c>
      <c r="ARE11">
        <v>22790</v>
      </c>
      <c r="ARF11">
        <v>0.61636679999999999</v>
      </c>
      <c r="ARG11">
        <v>14047</v>
      </c>
      <c r="ARH11">
        <v>0.42585610000000002</v>
      </c>
      <c r="ARI11">
        <v>14047</v>
      </c>
      <c r="ARJ11">
        <v>0.57414390000000004</v>
      </c>
      <c r="ARK11">
        <v>179806</v>
      </c>
      <c r="ARL11">
        <v>0.19847500000000001</v>
      </c>
      <c r="ARM11">
        <v>220938</v>
      </c>
      <c r="ARN11">
        <v>0.1861699</v>
      </c>
      <c r="ARO11">
        <v>41132</v>
      </c>
      <c r="ARP11">
        <v>0.56734419999999997</v>
      </c>
      <c r="ARQ11">
        <v>23336</v>
      </c>
      <c r="ARR11">
        <v>0.43092219999999998</v>
      </c>
      <c r="ARS11">
        <v>10056</v>
      </c>
      <c r="ART11">
        <v>0.63703259999999995</v>
      </c>
      <c r="ARU11">
        <v>10056</v>
      </c>
      <c r="ARV11">
        <v>0.3629674</v>
      </c>
      <c r="ARW11">
        <v>23336</v>
      </c>
      <c r="ARX11">
        <v>0.56907779999999997</v>
      </c>
      <c r="ARY11">
        <v>13280</v>
      </c>
      <c r="ARZ11">
        <v>0.26219880000000001</v>
      </c>
      <c r="ASA11">
        <v>3482</v>
      </c>
      <c r="ASB11">
        <v>0.59506029999999999</v>
      </c>
      <c r="ASC11">
        <v>3482</v>
      </c>
      <c r="ASD11">
        <v>0.40493970000000001</v>
      </c>
      <c r="ASE11">
        <v>13280</v>
      </c>
      <c r="ASF11">
        <v>0.73780120000000005</v>
      </c>
      <c r="ASG11">
        <v>9798</v>
      </c>
      <c r="ASH11">
        <v>0.7731169</v>
      </c>
      <c r="ASI11">
        <v>9798</v>
      </c>
      <c r="ASJ11">
        <v>0.226883</v>
      </c>
      <c r="ASK11">
        <v>41132</v>
      </c>
      <c r="ASL11">
        <v>0.43265579999999998</v>
      </c>
      <c r="ASM11">
        <v>229686</v>
      </c>
      <c r="ASN11">
        <v>0.57626060000000001</v>
      </c>
      <c r="ASO11">
        <v>132359</v>
      </c>
      <c r="ASP11">
        <v>0.35255629999999999</v>
      </c>
      <c r="ASQ11">
        <v>46664</v>
      </c>
      <c r="ASR11">
        <v>0.54228100000000001</v>
      </c>
      <c r="ASS11">
        <v>25305</v>
      </c>
      <c r="AST11">
        <v>0.70883229999999997</v>
      </c>
      <c r="ASU11">
        <v>25305</v>
      </c>
      <c r="ASV11">
        <v>0.29116779999999998</v>
      </c>
      <c r="ASW11">
        <v>46664</v>
      </c>
      <c r="ASX11">
        <v>0.24361389999999999</v>
      </c>
      <c r="ASY11">
        <v>11368</v>
      </c>
      <c r="ASZ11">
        <v>0.617259</v>
      </c>
      <c r="ATA11">
        <v>11368</v>
      </c>
      <c r="ATB11">
        <v>0.30453910000000001</v>
      </c>
      <c r="ATC11">
        <v>11368</v>
      </c>
      <c r="ATD11">
        <v>7.8201999999999994E-2</v>
      </c>
      <c r="ATE11">
        <v>46664</v>
      </c>
      <c r="ATF11">
        <v>0.14615120000000001</v>
      </c>
      <c r="ATG11">
        <v>6820</v>
      </c>
      <c r="ATH11">
        <v>0.22888559999999999</v>
      </c>
      <c r="ATI11">
        <v>6820</v>
      </c>
      <c r="ATJ11">
        <v>0.1195015</v>
      </c>
      <c r="ATK11">
        <v>6820</v>
      </c>
      <c r="ATL11">
        <v>0.4964809</v>
      </c>
      <c r="ATM11">
        <v>6820</v>
      </c>
      <c r="ATN11">
        <v>0.15513199999999999</v>
      </c>
      <c r="ATO11">
        <v>46664</v>
      </c>
      <c r="ATP11">
        <v>6.7953899999999998E-2</v>
      </c>
      <c r="ATQ11">
        <v>3171</v>
      </c>
      <c r="ATR11">
        <v>0.75307480000000004</v>
      </c>
      <c r="ATS11">
        <v>3171</v>
      </c>
      <c r="ATT11">
        <v>0.24692529999999999</v>
      </c>
      <c r="ATU11">
        <v>132359</v>
      </c>
      <c r="ATV11">
        <v>0.114605</v>
      </c>
      <c r="ATW11">
        <v>15169</v>
      </c>
      <c r="ATX11">
        <v>5.68923E-2</v>
      </c>
      <c r="ATY11">
        <v>15169</v>
      </c>
      <c r="ATZ11">
        <v>0.26587119999999997</v>
      </c>
      <c r="AUA11">
        <v>4033</v>
      </c>
      <c r="AUB11">
        <v>0.44334240000000003</v>
      </c>
      <c r="AUC11">
        <v>4033</v>
      </c>
      <c r="AUD11">
        <v>0.55665759999999997</v>
      </c>
      <c r="AUE11">
        <v>15169</v>
      </c>
      <c r="AUF11">
        <v>0.20733070000000001</v>
      </c>
      <c r="AUG11">
        <v>15169</v>
      </c>
      <c r="AUH11">
        <v>0.4180895</v>
      </c>
      <c r="AUI11">
        <v>15169</v>
      </c>
      <c r="AUJ11">
        <v>5.18162E-2</v>
      </c>
      <c r="AUK11">
        <v>132359</v>
      </c>
      <c r="AUL11">
        <v>0.18171789999999999</v>
      </c>
      <c r="AUM11">
        <v>24052</v>
      </c>
      <c r="AUN11">
        <v>0.62872110000000003</v>
      </c>
      <c r="AUO11">
        <v>24052</v>
      </c>
      <c r="AUP11">
        <v>0.37127890000000002</v>
      </c>
      <c r="AUQ11">
        <v>132359</v>
      </c>
      <c r="AUR11">
        <v>0.13136239999999999</v>
      </c>
      <c r="AUS11">
        <v>17387</v>
      </c>
      <c r="AUT11">
        <v>1.0467600000000001E-2</v>
      </c>
      <c r="AUU11">
        <v>17387</v>
      </c>
      <c r="AUV11">
        <v>0.39374239999999999</v>
      </c>
      <c r="AUW11">
        <v>17387</v>
      </c>
      <c r="AUX11">
        <v>0.59579000000000004</v>
      </c>
      <c r="AUY11">
        <v>132359</v>
      </c>
      <c r="AUZ11">
        <v>0.21975839999999999</v>
      </c>
      <c r="AVA11">
        <v>29087</v>
      </c>
      <c r="AVB11">
        <v>0.43421460000000001</v>
      </c>
      <c r="AVC11">
        <v>29087</v>
      </c>
      <c r="AVD11">
        <v>0.35992020000000002</v>
      </c>
      <c r="AVE11">
        <v>29087</v>
      </c>
      <c r="AVF11">
        <v>0.2058652</v>
      </c>
      <c r="AVG11">
        <v>229686</v>
      </c>
      <c r="AVH11">
        <v>0.42373939999999999</v>
      </c>
      <c r="AVI11">
        <v>97327</v>
      </c>
      <c r="AVJ11">
        <v>0.4726129</v>
      </c>
      <c r="AVK11">
        <v>45998</v>
      </c>
      <c r="AVL11">
        <v>0.37760339999999998</v>
      </c>
      <c r="AVM11">
        <v>17369</v>
      </c>
      <c r="AVN11">
        <v>0.58339569999999996</v>
      </c>
      <c r="AVO11">
        <v>17369</v>
      </c>
      <c r="AVP11">
        <v>0.41660429999999998</v>
      </c>
      <c r="AVQ11">
        <v>45998</v>
      </c>
      <c r="AVR11">
        <v>6.3698400000000002E-2</v>
      </c>
      <c r="AVS11">
        <v>2930</v>
      </c>
      <c r="AVT11">
        <v>0.50989759999999995</v>
      </c>
      <c r="AVU11">
        <v>2930</v>
      </c>
      <c r="AVV11">
        <v>0.20648459999999999</v>
      </c>
      <c r="AVW11">
        <v>2930</v>
      </c>
      <c r="AVX11">
        <v>0.28361769999999997</v>
      </c>
      <c r="AVY11">
        <v>45998</v>
      </c>
      <c r="AVZ11">
        <v>0.34388449999999998</v>
      </c>
      <c r="AWA11">
        <v>15818</v>
      </c>
      <c r="AWB11">
        <v>0.15419140000000001</v>
      </c>
      <c r="AWC11">
        <v>15818</v>
      </c>
      <c r="AWD11">
        <v>7.6937699999999998E-2</v>
      </c>
      <c r="AWE11">
        <v>15818</v>
      </c>
      <c r="AWF11">
        <v>0.68693890000000002</v>
      </c>
      <c r="AWG11">
        <v>15818</v>
      </c>
      <c r="AWH11">
        <v>8.1932000000000005E-2</v>
      </c>
      <c r="AWI11">
        <v>45998</v>
      </c>
      <c r="AWJ11">
        <v>0.2148137</v>
      </c>
      <c r="AWK11">
        <v>9881</v>
      </c>
      <c r="AWL11">
        <v>0.78038660000000004</v>
      </c>
      <c r="AWM11">
        <v>9881</v>
      </c>
      <c r="AWN11">
        <v>0.21961339999999999</v>
      </c>
      <c r="AWO11">
        <v>97327</v>
      </c>
      <c r="AWP11">
        <v>0.12098390000000001</v>
      </c>
      <c r="AWQ11">
        <v>11775</v>
      </c>
      <c r="AWR11">
        <v>0.30683650000000001</v>
      </c>
      <c r="AWS11">
        <v>11775</v>
      </c>
      <c r="AWT11">
        <v>6.4883200000000002E-2</v>
      </c>
      <c r="AWU11">
        <v>764</v>
      </c>
      <c r="AWV11">
        <v>0.52356020000000003</v>
      </c>
      <c r="AWW11">
        <v>764</v>
      </c>
      <c r="AWX11">
        <v>0.47643980000000002</v>
      </c>
      <c r="AWY11">
        <v>11775</v>
      </c>
      <c r="AWZ11">
        <v>0.18683649999999999</v>
      </c>
      <c r="AXA11">
        <v>11775</v>
      </c>
      <c r="AXB11">
        <v>0.16450110000000001</v>
      </c>
      <c r="AXC11">
        <v>11775</v>
      </c>
      <c r="AXD11">
        <v>0.27694269999999999</v>
      </c>
      <c r="AXE11">
        <v>97327</v>
      </c>
      <c r="AXF11">
        <v>0.33786100000000002</v>
      </c>
      <c r="AXG11">
        <v>32883</v>
      </c>
      <c r="AXH11">
        <v>0.27457959999999998</v>
      </c>
      <c r="AXI11">
        <v>32883</v>
      </c>
      <c r="AXJ11">
        <v>0.72542039999999997</v>
      </c>
      <c r="AXK11">
        <v>97327</v>
      </c>
      <c r="AXL11">
        <v>1.2607E-2</v>
      </c>
      <c r="AXM11">
        <v>1227</v>
      </c>
      <c r="AXN11">
        <v>8.5574600000000001E-2</v>
      </c>
      <c r="AXO11">
        <v>1227</v>
      </c>
      <c r="AXP11">
        <v>0.2746536</v>
      </c>
      <c r="AXQ11">
        <v>1227</v>
      </c>
      <c r="AXR11">
        <v>0.6397718</v>
      </c>
      <c r="AXS11">
        <v>97327</v>
      </c>
      <c r="AXT11">
        <v>5.5935100000000001E-2</v>
      </c>
      <c r="AXU11">
        <v>5444</v>
      </c>
      <c r="AXV11">
        <v>0.69232179999999999</v>
      </c>
      <c r="AXW11">
        <v>5444</v>
      </c>
      <c r="AXX11">
        <v>7.9537099999999999E-2</v>
      </c>
      <c r="AXY11">
        <v>5444</v>
      </c>
      <c r="AXZ11">
        <v>0.22814110000000001</v>
      </c>
      <c r="AYA11">
        <v>31104</v>
      </c>
      <c r="AYB11">
        <v>2.99E-3</v>
      </c>
      <c r="AYC11">
        <v>31104</v>
      </c>
      <c r="AYD11">
        <v>0.14338989999999999</v>
      </c>
      <c r="AYE11">
        <v>31104</v>
      </c>
      <c r="AYF11">
        <v>0.366448</v>
      </c>
      <c r="AYG11">
        <v>31104</v>
      </c>
      <c r="AYH11">
        <v>0.35397380000000001</v>
      </c>
      <c r="AYI11">
        <v>31104</v>
      </c>
      <c r="AYJ11">
        <v>5.4333800000000002E-2</v>
      </c>
      <c r="AYK11">
        <v>31104</v>
      </c>
      <c r="AYL11">
        <v>7.3816900000000005E-2</v>
      </c>
      <c r="AYM11">
        <v>31104</v>
      </c>
      <c r="AYN11">
        <v>5.0476000000000002E-3</v>
      </c>
      <c r="AYO11">
        <v>39871</v>
      </c>
      <c r="AYP11">
        <v>2.8968399999999998E-2</v>
      </c>
      <c r="AYQ11">
        <v>39871</v>
      </c>
      <c r="AYR11">
        <v>7.2533899999999998E-2</v>
      </c>
      <c r="AYS11">
        <v>39871</v>
      </c>
      <c r="AYT11">
        <v>0.25304110000000002</v>
      </c>
      <c r="AYU11">
        <v>39871</v>
      </c>
      <c r="AYV11">
        <v>0.2441373</v>
      </c>
      <c r="AYW11">
        <v>39871</v>
      </c>
      <c r="AYX11">
        <v>7.9581600000000002E-2</v>
      </c>
      <c r="AYY11">
        <v>39871</v>
      </c>
      <c r="AYZ11">
        <v>0.22194079999999999</v>
      </c>
      <c r="AZA11">
        <v>39871</v>
      </c>
      <c r="AZB11">
        <v>9.9796800000000005E-2</v>
      </c>
      <c r="AZC11">
        <v>50788</v>
      </c>
      <c r="AZD11">
        <v>3.2251700000000001E-2</v>
      </c>
      <c r="AZE11">
        <v>50788</v>
      </c>
      <c r="AZF11">
        <v>5.5406799999999999E-2</v>
      </c>
      <c r="AZG11">
        <v>50788</v>
      </c>
      <c r="AZH11">
        <v>0.26208949999999998</v>
      </c>
      <c r="AZI11">
        <v>50788</v>
      </c>
      <c r="AZJ11">
        <v>0.20833660000000001</v>
      </c>
      <c r="AZK11">
        <v>50788</v>
      </c>
      <c r="AZL11">
        <v>6.3873399999999997E-2</v>
      </c>
      <c r="AZM11">
        <v>50788</v>
      </c>
      <c r="AZN11">
        <v>0.25673390000000001</v>
      </c>
      <c r="AZO11">
        <v>50788</v>
      </c>
      <c r="AZP11">
        <v>0.1213082</v>
      </c>
      <c r="AZQ11">
        <v>88924</v>
      </c>
      <c r="AZR11">
        <v>3.4400199999999999E-2</v>
      </c>
      <c r="AZS11">
        <v>88924</v>
      </c>
      <c r="AZT11">
        <v>5.7532300000000001E-2</v>
      </c>
      <c r="AZU11">
        <v>88924</v>
      </c>
      <c r="AZV11">
        <v>0.27026450000000002</v>
      </c>
      <c r="AZW11">
        <v>88924</v>
      </c>
      <c r="AZX11">
        <v>0.25007869999999999</v>
      </c>
      <c r="AZY11">
        <v>88924</v>
      </c>
      <c r="AZZ11">
        <v>8.58149E-2</v>
      </c>
      <c r="BAA11">
        <v>88924</v>
      </c>
      <c r="BAB11">
        <v>0.1896226</v>
      </c>
      <c r="BAC11">
        <v>88924</v>
      </c>
      <c r="BAD11">
        <v>0.1122869</v>
      </c>
      <c r="BAE11">
        <v>30744</v>
      </c>
      <c r="BAF11">
        <v>6.2906599999999993E-2</v>
      </c>
      <c r="BAG11">
        <v>30744</v>
      </c>
      <c r="BAH11">
        <v>7.09732E-2</v>
      </c>
      <c r="BAI11">
        <v>30744</v>
      </c>
      <c r="BAJ11">
        <v>0.3367812</v>
      </c>
      <c r="BAK11">
        <v>30744</v>
      </c>
      <c r="BAL11">
        <v>0.2203357</v>
      </c>
      <c r="BAM11">
        <v>30744</v>
      </c>
      <c r="BAN11">
        <v>4.78793E-2</v>
      </c>
      <c r="BAO11">
        <v>30744</v>
      </c>
      <c r="BAP11">
        <v>0.14959020000000001</v>
      </c>
      <c r="BAQ11">
        <v>30744</v>
      </c>
      <c r="BAR11">
        <v>0.11153399999999999</v>
      </c>
      <c r="BAS11">
        <v>28233</v>
      </c>
      <c r="BAT11">
        <v>3.4711E-3</v>
      </c>
      <c r="BAU11">
        <v>28233</v>
      </c>
      <c r="BAV11">
        <v>0.1286438</v>
      </c>
      <c r="BAW11">
        <v>28233</v>
      </c>
      <c r="BAX11">
        <v>0.30786669999999999</v>
      </c>
      <c r="BAY11">
        <v>28233</v>
      </c>
      <c r="BAZ11">
        <v>0.37126769999999998</v>
      </c>
      <c r="BBA11">
        <v>28233</v>
      </c>
      <c r="BBB11">
        <v>5.5750399999999999E-2</v>
      </c>
      <c r="BBC11">
        <v>28233</v>
      </c>
      <c r="BBD11">
        <v>0.1236496</v>
      </c>
      <c r="BBE11">
        <v>28233</v>
      </c>
      <c r="BBF11">
        <v>9.3507999999999994E-3</v>
      </c>
      <c r="BBG11">
        <v>40253</v>
      </c>
      <c r="BBH11">
        <v>2.1613299999999998E-2</v>
      </c>
      <c r="BBI11">
        <v>40253</v>
      </c>
      <c r="BBJ11">
        <v>4.3326000000000003E-2</v>
      </c>
      <c r="BBK11">
        <v>40253</v>
      </c>
      <c r="BBL11">
        <v>0.1816014</v>
      </c>
      <c r="BBM11">
        <v>40253</v>
      </c>
      <c r="BBN11">
        <v>0.2238839</v>
      </c>
      <c r="BBO11">
        <v>40253</v>
      </c>
      <c r="BBP11">
        <v>9.1794399999999998E-2</v>
      </c>
      <c r="BBQ11">
        <v>40253</v>
      </c>
      <c r="BBR11">
        <v>0.30516979999999999</v>
      </c>
      <c r="BBS11">
        <v>40253</v>
      </c>
      <c r="BBT11">
        <v>0.13261120000000001</v>
      </c>
      <c r="BBU11">
        <v>52973</v>
      </c>
      <c r="BBV11">
        <v>3.0732599999999999E-2</v>
      </c>
      <c r="BBW11">
        <v>52973</v>
      </c>
      <c r="BBX11">
        <v>4.7760200000000003E-2</v>
      </c>
      <c r="BBY11">
        <v>52973</v>
      </c>
      <c r="BBZ11">
        <v>0.19315499999999999</v>
      </c>
      <c r="BCA11">
        <v>52973</v>
      </c>
      <c r="BCB11">
        <v>0.2009514</v>
      </c>
      <c r="BCC11">
        <v>52973</v>
      </c>
      <c r="BCD11">
        <v>0.11730500000000001</v>
      </c>
      <c r="BCE11">
        <v>52973</v>
      </c>
      <c r="BCF11">
        <v>0.26411570000000001</v>
      </c>
      <c r="BCG11">
        <v>52973</v>
      </c>
      <c r="BCH11">
        <v>0.14598</v>
      </c>
      <c r="BCI11">
        <v>90322</v>
      </c>
      <c r="BCJ11">
        <v>2.08033E-2</v>
      </c>
      <c r="BCK11">
        <v>90322</v>
      </c>
      <c r="BCL11">
        <v>3.8827800000000003E-2</v>
      </c>
      <c r="BCM11">
        <v>90322</v>
      </c>
      <c r="BCN11">
        <v>0.28160360000000001</v>
      </c>
      <c r="BCO11">
        <v>90322</v>
      </c>
      <c r="BCP11">
        <v>0.23547969999999999</v>
      </c>
      <c r="BCQ11">
        <v>90322</v>
      </c>
      <c r="BCR11">
        <v>0.1034853</v>
      </c>
      <c r="BCS11">
        <v>90322</v>
      </c>
      <c r="BCT11">
        <v>0.2080999</v>
      </c>
      <c r="BCU11">
        <v>90322</v>
      </c>
      <c r="BCV11">
        <v>0.11170040000000001</v>
      </c>
      <c r="BCW11">
        <v>38994</v>
      </c>
      <c r="BCX11">
        <v>7.2754799999999994E-2</v>
      </c>
      <c r="BCY11">
        <v>38994</v>
      </c>
      <c r="BCZ11">
        <v>0.1006822</v>
      </c>
      <c r="BDA11">
        <v>38994</v>
      </c>
      <c r="BDB11">
        <v>0.4080628</v>
      </c>
      <c r="BDC11">
        <v>38994</v>
      </c>
      <c r="BDD11">
        <v>0.2160589</v>
      </c>
      <c r="BDE11">
        <v>38994</v>
      </c>
      <c r="BDF11">
        <v>3.1748499999999999E-2</v>
      </c>
      <c r="BDG11">
        <v>38994</v>
      </c>
      <c r="BDH11">
        <v>0.1046315</v>
      </c>
      <c r="BDI11">
        <v>38994</v>
      </c>
      <c r="BDJ11">
        <v>6.6061400000000006E-2</v>
      </c>
      <c r="BDK11">
        <v>164723</v>
      </c>
      <c r="BDL11">
        <v>5.8073199999999998E-2</v>
      </c>
      <c r="BDM11">
        <v>9566</v>
      </c>
      <c r="BDN11">
        <v>0.73102650000000002</v>
      </c>
      <c r="BDO11">
        <v>6993</v>
      </c>
      <c r="BDP11">
        <v>0.5655656</v>
      </c>
      <c r="BDQ11">
        <v>6993</v>
      </c>
      <c r="BDR11">
        <v>0.4344344</v>
      </c>
      <c r="BDS11">
        <v>9566</v>
      </c>
      <c r="BDT11">
        <v>0.26897339999999997</v>
      </c>
      <c r="BDU11">
        <v>2573</v>
      </c>
      <c r="BDV11">
        <v>0.52778860000000005</v>
      </c>
      <c r="BDW11">
        <v>2573</v>
      </c>
      <c r="BDX11">
        <v>0.4722114</v>
      </c>
      <c r="BDY11">
        <v>164723</v>
      </c>
      <c r="BDZ11">
        <v>0.94192679999999995</v>
      </c>
      <c r="BEA11">
        <v>155157</v>
      </c>
      <c r="BEB11">
        <v>0.51347350000000003</v>
      </c>
      <c r="BEC11">
        <v>79669</v>
      </c>
      <c r="BED11">
        <v>0.76160119999999998</v>
      </c>
      <c r="BEE11">
        <v>79669</v>
      </c>
      <c r="BEF11">
        <v>0.2383989</v>
      </c>
      <c r="BEG11">
        <v>155157</v>
      </c>
      <c r="BEH11">
        <v>0.48652649999999997</v>
      </c>
      <c r="BEI11">
        <v>75488</v>
      </c>
      <c r="BEJ11">
        <v>0.74647620000000003</v>
      </c>
      <c r="BEK11">
        <v>75488</v>
      </c>
      <c r="BEL11">
        <v>0.25352370000000002</v>
      </c>
      <c r="BEM11">
        <v>320281</v>
      </c>
      <c r="BEN11">
        <v>0.53220449999999997</v>
      </c>
      <c r="BEO11">
        <v>170455</v>
      </c>
      <c r="BEP11">
        <v>0.88316570000000005</v>
      </c>
      <c r="BEQ11">
        <v>150540</v>
      </c>
      <c r="BER11">
        <v>0.19820650000000001</v>
      </c>
      <c r="BES11">
        <v>150540</v>
      </c>
      <c r="BET11">
        <v>0.80179350000000005</v>
      </c>
      <c r="BEU11">
        <v>170455</v>
      </c>
      <c r="BEV11">
        <v>0.1168344</v>
      </c>
      <c r="BEW11">
        <v>320281</v>
      </c>
      <c r="BEX11">
        <v>0.46779549999999998</v>
      </c>
      <c r="BEY11">
        <v>149826</v>
      </c>
      <c r="BEZ11">
        <v>0.88044800000000001</v>
      </c>
      <c r="BFA11">
        <v>131914</v>
      </c>
      <c r="BFB11">
        <v>0.24463670000000001</v>
      </c>
      <c r="BFC11">
        <v>131914</v>
      </c>
      <c r="BFD11">
        <v>0.75536329999999996</v>
      </c>
      <c r="BFE11">
        <v>149826</v>
      </c>
      <c r="BFF11">
        <v>0.11955200000000001</v>
      </c>
      <c r="BFG11">
        <v>338972</v>
      </c>
      <c r="BFH11">
        <v>0.28775529999999999</v>
      </c>
      <c r="BFI11">
        <v>97541</v>
      </c>
      <c r="BFJ11">
        <v>0.97875769999999995</v>
      </c>
      <c r="BFK11">
        <v>97541</v>
      </c>
      <c r="BFL11">
        <v>2.1242299999999999E-2</v>
      </c>
      <c r="BFM11">
        <v>2072</v>
      </c>
      <c r="BFN11">
        <v>0.17374519999999999</v>
      </c>
      <c r="BFO11">
        <v>2072</v>
      </c>
      <c r="BFP11">
        <v>0.82625479999999996</v>
      </c>
      <c r="BFQ11">
        <v>338972</v>
      </c>
      <c r="BFR11">
        <v>0.71224469999999995</v>
      </c>
      <c r="BFS11">
        <v>241431</v>
      </c>
      <c r="BFT11">
        <v>0.85217719999999997</v>
      </c>
      <c r="BFU11">
        <v>241431</v>
      </c>
      <c r="BFV11">
        <v>0.1478228</v>
      </c>
      <c r="BFW11">
        <v>35689</v>
      </c>
      <c r="BFX11">
        <v>0.54097899999999999</v>
      </c>
      <c r="BFY11">
        <v>35689</v>
      </c>
      <c r="BFZ11">
        <v>0.45902100000000001</v>
      </c>
      <c r="BGA11">
        <v>343546</v>
      </c>
      <c r="BGB11">
        <v>0.27003949999999999</v>
      </c>
      <c r="BGC11">
        <v>92771</v>
      </c>
      <c r="BGD11">
        <v>0.97520770000000001</v>
      </c>
      <c r="BGE11">
        <v>92771</v>
      </c>
      <c r="BGF11">
        <v>2.47922E-2</v>
      </c>
      <c r="BGG11">
        <v>2300</v>
      </c>
      <c r="BGH11">
        <v>0.34391300000000002</v>
      </c>
      <c r="BGI11">
        <v>2300</v>
      </c>
      <c r="BGJ11">
        <v>0.65608699999999998</v>
      </c>
      <c r="BGK11">
        <v>343546</v>
      </c>
      <c r="BGL11">
        <v>0.72996039999999995</v>
      </c>
      <c r="BGM11">
        <v>250775</v>
      </c>
      <c r="BGN11">
        <v>0.85077860000000005</v>
      </c>
      <c r="BGO11">
        <v>250775</v>
      </c>
      <c r="BGP11">
        <v>0.1492214</v>
      </c>
      <c r="BGQ11">
        <v>37421</v>
      </c>
      <c r="BGR11">
        <v>0.51230589999999998</v>
      </c>
      <c r="BGS11">
        <v>37421</v>
      </c>
      <c r="BGT11">
        <v>0.48769410000000002</v>
      </c>
    </row>
    <row r="12" spans="1:1554" x14ac:dyDescent="0.25">
      <c r="A12" t="s">
        <v>133</v>
      </c>
      <c r="B12">
        <v>2008</v>
      </c>
      <c r="C12">
        <v>1</v>
      </c>
      <c r="D12" t="s">
        <v>538</v>
      </c>
      <c r="E12">
        <v>54088</v>
      </c>
      <c r="F12">
        <v>0.45006289999999999</v>
      </c>
      <c r="G12">
        <v>24343</v>
      </c>
      <c r="H12">
        <v>0.11604979999999999</v>
      </c>
      <c r="I12">
        <v>24343</v>
      </c>
      <c r="J12">
        <v>3.17956E-2</v>
      </c>
      <c r="K12">
        <v>24343</v>
      </c>
      <c r="L12">
        <v>0.1725342</v>
      </c>
      <c r="M12">
        <v>24343</v>
      </c>
      <c r="N12">
        <v>6.6056000000000004E-2</v>
      </c>
      <c r="O12">
        <v>24343</v>
      </c>
      <c r="P12">
        <v>3.1466899999999999E-2</v>
      </c>
      <c r="Q12">
        <v>24343</v>
      </c>
      <c r="R12">
        <v>3.24529E-2</v>
      </c>
      <c r="S12">
        <v>24343</v>
      </c>
      <c r="T12">
        <v>0.1186378</v>
      </c>
      <c r="U12">
        <v>24343</v>
      </c>
      <c r="V12">
        <v>0.15856709999999999</v>
      </c>
      <c r="W12">
        <v>24343</v>
      </c>
      <c r="X12">
        <v>0.1179805</v>
      </c>
      <c r="Y12">
        <v>24343</v>
      </c>
      <c r="Z12">
        <v>6.0551300000000002E-2</v>
      </c>
      <c r="AA12">
        <v>24343</v>
      </c>
      <c r="AB12">
        <v>3.9600700000000003E-2</v>
      </c>
      <c r="AC12">
        <v>24343</v>
      </c>
      <c r="AD12">
        <v>3.2001000000000002E-2</v>
      </c>
      <c r="AE12">
        <v>24343</v>
      </c>
      <c r="AF12">
        <v>2.2306200000000002E-2</v>
      </c>
      <c r="AG12">
        <v>54088</v>
      </c>
      <c r="AH12">
        <v>0.54993709999999996</v>
      </c>
      <c r="AI12">
        <v>29745</v>
      </c>
      <c r="AJ12">
        <v>0.13215669999999999</v>
      </c>
      <c r="AK12">
        <v>29745</v>
      </c>
      <c r="AL12">
        <v>3.7518900000000001E-2</v>
      </c>
      <c r="AM12">
        <v>29745</v>
      </c>
      <c r="AN12">
        <v>9.6049800000000005E-2</v>
      </c>
      <c r="AO12">
        <v>29745</v>
      </c>
      <c r="AP12">
        <v>6.2027199999999998E-2</v>
      </c>
      <c r="AQ12">
        <v>29745</v>
      </c>
      <c r="AR12">
        <v>1.70785E-2</v>
      </c>
      <c r="AS12">
        <v>29745</v>
      </c>
      <c r="AT12">
        <v>3.7115500000000003E-2</v>
      </c>
      <c r="AU12">
        <v>29745</v>
      </c>
      <c r="AV12">
        <v>7.9979800000000004E-2</v>
      </c>
      <c r="AW12">
        <v>29745</v>
      </c>
      <c r="AX12">
        <v>0.1673559</v>
      </c>
      <c r="AY12">
        <v>29745</v>
      </c>
      <c r="AZ12">
        <v>0.145369</v>
      </c>
      <c r="BA12">
        <v>29745</v>
      </c>
      <c r="BB12">
        <v>7.5844700000000001E-2</v>
      </c>
      <c r="BC12">
        <v>29745</v>
      </c>
      <c r="BD12">
        <v>7.1138000000000007E-2</v>
      </c>
      <c r="BE12">
        <v>29745</v>
      </c>
      <c r="BF12">
        <v>3.1064000000000001E-2</v>
      </c>
      <c r="BG12">
        <v>29745</v>
      </c>
      <c r="BH12">
        <v>4.73021E-2</v>
      </c>
      <c r="BI12">
        <v>644957</v>
      </c>
      <c r="BJ12">
        <v>0.50251100000000004</v>
      </c>
      <c r="BK12">
        <v>324098</v>
      </c>
      <c r="BL12">
        <v>7.0339799999999994E-2</v>
      </c>
      <c r="BM12">
        <v>324098</v>
      </c>
      <c r="BN12">
        <v>1.44339E-2</v>
      </c>
      <c r="BO12">
        <v>324098</v>
      </c>
      <c r="BP12">
        <v>9.1191599999999998E-2</v>
      </c>
      <c r="BQ12">
        <v>324098</v>
      </c>
      <c r="BR12">
        <v>4.77232E-2</v>
      </c>
      <c r="BS12">
        <v>324098</v>
      </c>
      <c r="BT12">
        <v>1.7525599999999999E-2</v>
      </c>
      <c r="BU12">
        <v>324098</v>
      </c>
      <c r="BV12">
        <v>3.1956400000000003E-2</v>
      </c>
      <c r="BW12">
        <v>324098</v>
      </c>
      <c r="BX12">
        <v>9.0503500000000001E-2</v>
      </c>
      <c r="BY12">
        <v>324098</v>
      </c>
      <c r="BZ12">
        <v>0.12555150000000001</v>
      </c>
      <c r="CA12">
        <v>324098</v>
      </c>
      <c r="CB12">
        <v>0.14596200000000001</v>
      </c>
      <c r="CC12">
        <v>324098</v>
      </c>
      <c r="CD12">
        <v>0.16553019999999999</v>
      </c>
      <c r="CE12">
        <v>324098</v>
      </c>
      <c r="CF12">
        <v>0.1115403</v>
      </c>
      <c r="CG12">
        <v>324098</v>
      </c>
      <c r="CH12">
        <v>5.4872299999999999E-2</v>
      </c>
      <c r="CI12">
        <v>324098</v>
      </c>
      <c r="CJ12">
        <v>3.2869700000000002E-2</v>
      </c>
      <c r="CK12">
        <v>644957</v>
      </c>
      <c r="CL12">
        <v>0.49748900000000001</v>
      </c>
      <c r="CM12">
        <v>320859</v>
      </c>
      <c r="CN12">
        <v>6.4003199999999996E-2</v>
      </c>
      <c r="CO12">
        <v>320859</v>
      </c>
      <c r="CP12">
        <v>1.3264400000000001E-2</v>
      </c>
      <c r="CQ12">
        <v>320859</v>
      </c>
      <c r="CR12">
        <v>9.4377900000000001E-2</v>
      </c>
      <c r="CS12">
        <v>320859</v>
      </c>
      <c r="CT12">
        <v>4.1582099999999997E-2</v>
      </c>
      <c r="CU12">
        <v>320859</v>
      </c>
      <c r="CV12">
        <v>1.5555100000000001E-2</v>
      </c>
      <c r="CW12">
        <v>320859</v>
      </c>
      <c r="CX12">
        <v>3.1138300000000001E-2</v>
      </c>
      <c r="CY12">
        <v>320859</v>
      </c>
      <c r="CZ12">
        <v>8.6050299999999996E-2</v>
      </c>
      <c r="DA12">
        <v>320859</v>
      </c>
      <c r="DB12">
        <v>0.12314749999999999</v>
      </c>
      <c r="DC12">
        <v>320859</v>
      </c>
      <c r="DD12">
        <v>0.1450668</v>
      </c>
      <c r="DE12">
        <v>320859</v>
      </c>
      <c r="DF12">
        <v>0.16929240000000001</v>
      </c>
      <c r="DG12">
        <v>320859</v>
      </c>
      <c r="DH12">
        <v>0.1104067</v>
      </c>
      <c r="DI12">
        <v>320859</v>
      </c>
      <c r="DJ12">
        <v>5.9979600000000001E-2</v>
      </c>
      <c r="DK12">
        <v>320859</v>
      </c>
      <c r="DL12">
        <v>4.6135500000000003E-2</v>
      </c>
      <c r="DM12">
        <v>442580</v>
      </c>
      <c r="DN12">
        <v>5.9869400000000003E-2</v>
      </c>
      <c r="DO12">
        <v>26497</v>
      </c>
      <c r="DP12">
        <v>0.39596940000000003</v>
      </c>
      <c r="DQ12">
        <v>216724</v>
      </c>
      <c r="DR12">
        <v>4.8411799999999998E-2</v>
      </c>
      <c r="DS12">
        <v>10492</v>
      </c>
      <c r="DT12">
        <v>0.38515060000000001</v>
      </c>
      <c r="DU12">
        <v>30621</v>
      </c>
      <c r="DV12">
        <v>0.13196830000000001</v>
      </c>
      <c r="DW12">
        <v>10492</v>
      </c>
      <c r="DX12">
        <v>0.2988944</v>
      </c>
      <c r="DY12">
        <v>42653</v>
      </c>
      <c r="DZ12">
        <v>7.3523599999999995E-2</v>
      </c>
      <c r="EA12">
        <v>10492</v>
      </c>
      <c r="EB12">
        <v>0.21606939999999999</v>
      </c>
      <c r="EC12">
        <v>52865</v>
      </c>
      <c r="ED12">
        <v>4.2882799999999999E-2</v>
      </c>
      <c r="EE12">
        <v>10492</v>
      </c>
      <c r="EF12">
        <v>9.9885600000000005E-2</v>
      </c>
      <c r="EG12">
        <v>90585</v>
      </c>
      <c r="EH12">
        <v>1.15692E-2</v>
      </c>
      <c r="EI12">
        <v>26497</v>
      </c>
      <c r="EJ12">
        <v>0.60403070000000003</v>
      </c>
      <c r="EK12">
        <v>225856</v>
      </c>
      <c r="EL12">
        <v>7.0863700000000002E-2</v>
      </c>
      <c r="EM12">
        <v>16005</v>
      </c>
      <c r="EN12">
        <v>0.3142143</v>
      </c>
      <c r="EO12">
        <v>25636</v>
      </c>
      <c r="EP12">
        <v>0.1961695</v>
      </c>
      <c r="EQ12">
        <v>16005</v>
      </c>
      <c r="ER12">
        <v>0.35645110000000002</v>
      </c>
      <c r="ES12">
        <v>46488</v>
      </c>
      <c r="ET12">
        <v>0.1227198</v>
      </c>
      <c r="EU12">
        <v>16005</v>
      </c>
      <c r="EV12">
        <v>0.21630740000000001</v>
      </c>
      <c r="EW12">
        <v>61595</v>
      </c>
      <c r="EX12">
        <v>5.6205900000000003E-2</v>
      </c>
      <c r="EY12">
        <v>16005</v>
      </c>
      <c r="EZ12">
        <v>0.11302719999999999</v>
      </c>
      <c r="FA12">
        <v>92137</v>
      </c>
      <c r="FB12">
        <v>1.96338E-2</v>
      </c>
      <c r="FC12">
        <v>442580</v>
      </c>
      <c r="FD12">
        <v>0.94013060000000004</v>
      </c>
      <c r="FE12">
        <v>416083</v>
      </c>
      <c r="FF12">
        <v>0.49565110000000001</v>
      </c>
      <c r="FG12">
        <v>216724</v>
      </c>
      <c r="FH12">
        <v>0.9515882</v>
      </c>
      <c r="FI12">
        <v>206232</v>
      </c>
      <c r="FJ12">
        <v>0.128884</v>
      </c>
      <c r="FK12">
        <v>30621</v>
      </c>
      <c r="FL12">
        <v>0.86803169999999996</v>
      </c>
      <c r="FM12">
        <v>206232</v>
      </c>
      <c r="FN12">
        <v>0.19161429999999999</v>
      </c>
      <c r="FO12">
        <v>42653</v>
      </c>
      <c r="FP12">
        <v>0.92647650000000004</v>
      </c>
      <c r="FQ12">
        <v>206232</v>
      </c>
      <c r="FR12">
        <v>0.24534500000000001</v>
      </c>
      <c r="FS12">
        <v>52865</v>
      </c>
      <c r="FT12">
        <v>0.9571172</v>
      </c>
      <c r="FU12">
        <v>206232</v>
      </c>
      <c r="FV12">
        <v>0.43415670000000001</v>
      </c>
      <c r="FW12">
        <v>90585</v>
      </c>
      <c r="FX12">
        <v>0.9884307</v>
      </c>
      <c r="FY12">
        <v>416083</v>
      </c>
      <c r="FZ12">
        <v>0.50434889999999999</v>
      </c>
      <c r="GA12">
        <v>225856</v>
      </c>
      <c r="GB12">
        <v>0.92913630000000003</v>
      </c>
      <c r="GC12">
        <v>209851</v>
      </c>
      <c r="GD12">
        <v>9.8198199999999999E-2</v>
      </c>
      <c r="GE12">
        <v>25636</v>
      </c>
      <c r="GF12">
        <v>0.80383059999999995</v>
      </c>
      <c r="GG12">
        <v>209851</v>
      </c>
      <c r="GH12">
        <v>0.19434270000000001</v>
      </c>
      <c r="GI12">
        <v>46488</v>
      </c>
      <c r="GJ12">
        <v>0.87728019999999995</v>
      </c>
      <c r="GK12">
        <v>209851</v>
      </c>
      <c r="GL12">
        <v>0.2770204</v>
      </c>
      <c r="GM12">
        <v>61595</v>
      </c>
      <c r="GN12">
        <v>0.94379409999999997</v>
      </c>
      <c r="GO12">
        <v>209851</v>
      </c>
      <c r="GP12">
        <v>0.43043870000000001</v>
      </c>
      <c r="GQ12">
        <v>92137</v>
      </c>
      <c r="GR12">
        <v>0.98036619999999997</v>
      </c>
      <c r="GS12">
        <v>527031</v>
      </c>
      <c r="GT12">
        <v>6.3863400000000001E-2</v>
      </c>
      <c r="GU12">
        <v>33658</v>
      </c>
      <c r="GV12">
        <v>0.42099950000000003</v>
      </c>
      <c r="GW12">
        <v>14170</v>
      </c>
      <c r="GX12">
        <v>0.19082569999999999</v>
      </c>
      <c r="GY12">
        <v>14170</v>
      </c>
      <c r="GZ12">
        <v>0.44728299999999999</v>
      </c>
      <c r="HA12">
        <v>14170</v>
      </c>
      <c r="HB12">
        <v>0.36189130000000003</v>
      </c>
      <c r="HC12">
        <v>14170</v>
      </c>
      <c r="HD12">
        <v>0.68630910000000001</v>
      </c>
      <c r="HE12">
        <v>14170</v>
      </c>
      <c r="HF12">
        <v>0.31369089999999999</v>
      </c>
      <c r="HG12">
        <v>9725</v>
      </c>
      <c r="HH12">
        <v>0.70889460000000004</v>
      </c>
      <c r="HI12">
        <v>9725</v>
      </c>
      <c r="HJ12">
        <v>0.29110540000000001</v>
      </c>
      <c r="HK12">
        <v>33658</v>
      </c>
      <c r="HL12">
        <v>0.57900050000000003</v>
      </c>
      <c r="HM12">
        <v>19488</v>
      </c>
      <c r="HN12">
        <v>6.09093E-2</v>
      </c>
      <c r="HO12">
        <v>19488</v>
      </c>
      <c r="HP12">
        <v>0.34605910000000001</v>
      </c>
      <c r="HQ12">
        <v>19488</v>
      </c>
      <c r="HR12">
        <v>0.59303159999999999</v>
      </c>
      <c r="HS12">
        <v>19488</v>
      </c>
      <c r="HT12">
        <v>0.43288179999999998</v>
      </c>
      <c r="HU12">
        <v>19488</v>
      </c>
      <c r="HV12">
        <v>0.56711820000000002</v>
      </c>
      <c r="HW12">
        <v>8436</v>
      </c>
      <c r="HX12">
        <v>0.69938359999999999</v>
      </c>
      <c r="HY12">
        <v>8436</v>
      </c>
      <c r="HZ12">
        <v>0.30061640000000001</v>
      </c>
      <c r="IA12">
        <v>527031</v>
      </c>
      <c r="IB12">
        <v>0.93613659999999999</v>
      </c>
      <c r="IC12">
        <v>493373</v>
      </c>
      <c r="ID12">
        <v>0.49844840000000001</v>
      </c>
      <c r="IE12">
        <v>245921</v>
      </c>
      <c r="IF12">
        <v>0.60732920000000001</v>
      </c>
      <c r="IG12">
        <v>245921</v>
      </c>
      <c r="IH12">
        <v>0.23174919999999999</v>
      </c>
      <c r="II12">
        <v>245921</v>
      </c>
      <c r="IJ12">
        <v>0.1609216</v>
      </c>
      <c r="IK12">
        <v>244536</v>
      </c>
      <c r="IL12">
        <v>0.81645239999999997</v>
      </c>
      <c r="IM12">
        <v>244536</v>
      </c>
      <c r="IN12">
        <v>0.18354760000000001</v>
      </c>
      <c r="IO12">
        <v>199652</v>
      </c>
      <c r="IP12">
        <v>0.94643180000000005</v>
      </c>
      <c r="IQ12">
        <v>199652</v>
      </c>
      <c r="IR12">
        <v>5.3568200000000003E-2</v>
      </c>
      <c r="IS12">
        <v>493373</v>
      </c>
      <c r="IT12">
        <v>0.50155159999999999</v>
      </c>
      <c r="IU12">
        <v>247452</v>
      </c>
      <c r="IV12">
        <v>0.41010380000000002</v>
      </c>
      <c r="IW12">
        <v>247452</v>
      </c>
      <c r="IX12">
        <v>0.30263649999999997</v>
      </c>
      <c r="IY12">
        <v>247452</v>
      </c>
      <c r="IZ12">
        <v>0.28725980000000001</v>
      </c>
      <c r="JA12">
        <v>246837</v>
      </c>
      <c r="JB12">
        <v>0.67382929999999996</v>
      </c>
      <c r="JC12">
        <v>246837</v>
      </c>
      <c r="JD12">
        <v>0.32617069999999998</v>
      </c>
      <c r="JE12">
        <v>166326</v>
      </c>
      <c r="JF12">
        <v>0.94829430000000003</v>
      </c>
      <c r="JG12">
        <v>166326</v>
      </c>
      <c r="JH12">
        <v>5.17057E-2</v>
      </c>
      <c r="JI12">
        <v>176026</v>
      </c>
      <c r="JJ12">
        <v>7.4721899999999994E-2</v>
      </c>
      <c r="JK12">
        <v>13153</v>
      </c>
      <c r="JL12">
        <v>0.53721580000000002</v>
      </c>
      <c r="JM12">
        <v>7066</v>
      </c>
      <c r="JN12">
        <v>0.85876019999999997</v>
      </c>
      <c r="JO12">
        <v>7066</v>
      </c>
      <c r="JP12">
        <v>0.85876019999999997</v>
      </c>
      <c r="JQ12">
        <v>7066</v>
      </c>
      <c r="JR12">
        <v>0.85876019999999997</v>
      </c>
      <c r="JS12">
        <v>7066</v>
      </c>
      <c r="JT12">
        <v>0.85876019999999997</v>
      </c>
      <c r="JU12">
        <v>7066</v>
      </c>
      <c r="JV12">
        <v>0.1412397</v>
      </c>
      <c r="JW12">
        <v>13153</v>
      </c>
      <c r="JX12">
        <v>0.46278409999999998</v>
      </c>
      <c r="JY12">
        <v>6087</v>
      </c>
      <c r="JZ12">
        <v>0.1698702</v>
      </c>
      <c r="KA12">
        <v>1034</v>
      </c>
      <c r="KB12">
        <v>0.82688589999999995</v>
      </c>
      <c r="KC12">
        <v>855</v>
      </c>
      <c r="KD12">
        <v>0</v>
      </c>
      <c r="KE12">
        <v>855</v>
      </c>
      <c r="KF12">
        <v>0.34035090000000001</v>
      </c>
      <c r="KG12">
        <v>855</v>
      </c>
      <c r="KH12">
        <v>0.65964909999999999</v>
      </c>
      <c r="KI12">
        <v>1034</v>
      </c>
      <c r="KJ12">
        <v>0.17311409999999999</v>
      </c>
      <c r="KK12">
        <v>6087</v>
      </c>
      <c r="KL12">
        <v>0.83012980000000003</v>
      </c>
      <c r="KM12">
        <v>5053</v>
      </c>
      <c r="KN12">
        <v>0.90342370000000005</v>
      </c>
      <c r="KO12">
        <v>4565</v>
      </c>
      <c r="KP12">
        <v>0.1483023</v>
      </c>
      <c r="KQ12">
        <v>4565</v>
      </c>
      <c r="KR12">
        <v>0.2685652</v>
      </c>
      <c r="KS12">
        <v>4565</v>
      </c>
      <c r="KT12">
        <v>0.58313250000000005</v>
      </c>
      <c r="KU12">
        <v>5053</v>
      </c>
      <c r="KV12">
        <v>9.6576300000000004E-2</v>
      </c>
      <c r="KW12">
        <v>176026</v>
      </c>
      <c r="KX12">
        <v>1.5895400000000001E-2</v>
      </c>
      <c r="KY12">
        <v>2798</v>
      </c>
      <c r="KZ12">
        <v>0.40243030000000002</v>
      </c>
      <c r="LA12">
        <v>1126</v>
      </c>
      <c r="LB12">
        <v>0.78508</v>
      </c>
      <c r="LC12">
        <v>1126</v>
      </c>
      <c r="LD12">
        <v>0.78508</v>
      </c>
      <c r="LE12">
        <v>1126</v>
      </c>
      <c r="LF12">
        <v>0.78508</v>
      </c>
      <c r="LG12">
        <v>1126</v>
      </c>
      <c r="LH12">
        <v>0.78508</v>
      </c>
      <c r="LI12">
        <v>1126</v>
      </c>
      <c r="LJ12">
        <v>0.2149201</v>
      </c>
      <c r="LK12">
        <v>2798</v>
      </c>
      <c r="LL12">
        <v>0.59756969999999998</v>
      </c>
      <c r="LM12">
        <v>1672</v>
      </c>
      <c r="LN12">
        <v>0.1812201</v>
      </c>
      <c r="LO12">
        <v>303</v>
      </c>
      <c r="LP12">
        <v>0.69967000000000001</v>
      </c>
      <c r="LQ12">
        <v>212</v>
      </c>
      <c r="LR12">
        <v>0</v>
      </c>
      <c r="LS12">
        <v>212</v>
      </c>
      <c r="LT12">
        <v>0.259434</v>
      </c>
      <c r="LU12">
        <v>212</v>
      </c>
      <c r="LV12">
        <v>0.74056599999999995</v>
      </c>
      <c r="LW12">
        <v>303</v>
      </c>
      <c r="LX12">
        <v>0.30032999999999999</v>
      </c>
      <c r="LY12">
        <v>1672</v>
      </c>
      <c r="LZ12">
        <v>0.8187799</v>
      </c>
      <c r="MA12">
        <v>1369</v>
      </c>
      <c r="MB12">
        <v>0.85098609999999997</v>
      </c>
      <c r="MC12">
        <v>1165</v>
      </c>
      <c r="MD12">
        <v>5.4935600000000001E-2</v>
      </c>
      <c r="ME12">
        <v>1165</v>
      </c>
      <c r="MF12">
        <v>0.36738199999999999</v>
      </c>
      <c r="MG12">
        <v>1165</v>
      </c>
      <c r="MH12">
        <v>0.57768240000000004</v>
      </c>
      <c r="MI12">
        <v>1369</v>
      </c>
      <c r="MJ12">
        <v>0.1490139</v>
      </c>
      <c r="MK12">
        <v>176026</v>
      </c>
      <c r="ML12">
        <v>3.3546199999999998E-2</v>
      </c>
      <c r="MM12">
        <v>5905</v>
      </c>
      <c r="MN12">
        <v>0.59305669999999999</v>
      </c>
      <c r="MO12">
        <v>3502</v>
      </c>
      <c r="MP12">
        <v>0.76956029999999997</v>
      </c>
      <c r="MQ12">
        <v>3502</v>
      </c>
      <c r="MR12">
        <v>0.76956029999999997</v>
      </c>
      <c r="MS12">
        <v>3502</v>
      </c>
      <c r="MT12">
        <v>0.76956029999999997</v>
      </c>
      <c r="MU12">
        <v>3502</v>
      </c>
      <c r="MV12">
        <v>0.76956029999999997</v>
      </c>
      <c r="MW12">
        <v>3502</v>
      </c>
      <c r="MX12">
        <v>0.2304398</v>
      </c>
      <c r="MY12">
        <v>5905</v>
      </c>
      <c r="MZ12">
        <v>0.40694330000000001</v>
      </c>
      <c r="NA12">
        <v>2403</v>
      </c>
      <c r="NB12">
        <v>0.38035790000000003</v>
      </c>
      <c r="NC12">
        <v>914</v>
      </c>
      <c r="ND12">
        <v>0.52844639999999998</v>
      </c>
      <c r="NE12">
        <v>483</v>
      </c>
      <c r="NF12">
        <v>0.20289850000000001</v>
      </c>
      <c r="NG12">
        <v>483</v>
      </c>
      <c r="NH12">
        <v>0.46169769999999999</v>
      </c>
      <c r="NI12">
        <v>483</v>
      </c>
      <c r="NJ12">
        <v>0.33540370000000003</v>
      </c>
      <c r="NK12">
        <v>914</v>
      </c>
      <c r="NL12">
        <v>0.47155360000000002</v>
      </c>
      <c r="NM12">
        <v>2403</v>
      </c>
      <c r="NN12">
        <v>0.61964209999999997</v>
      </c>
      <c r="NO12">
        <v>1489</v>
      </c>
      <c r="NP12">
        <v>0.81128279999999997</v>
      </c>
      <c r="NQ12">
        <v>1208</v>
      </c>
      <c r="NR12">
        <v>0</v>
      </c>
      <c r="NS12">
        <v>1208</v>
      </c>
      <c r="NT12">
        <v>0.15562909999999999</v>
      </c>
      <c r="NU12">
        <v>1208</v>
      </c>
      <c r="NV12">
        <v>0.84437079999999998</v>
      </c>
      <c r="NW12">
        <v>1489</v>
      </c>
      <c r="NX12">
        <v>0.1887173</v>
      </c>
      <c r="NY12">
        <v>176026</v>
      </c>
      <c r="NZ12">
        <v>0.87583659999999997</v>
      </c>
      <c r="OA12">
        <v>154170</v>
      </c>
      <c r="OB12">
        <v>0.84851140000000003</v>
      </c>
      <c r="OC12">
        <v>130815</v>
      </c>
      <c r="OD12">
        <v>0.50738070000000002</v>
      </c>
      <c r="OE12">
        <v>130815</v>
      </c>
      <c r="OF12">
        <v>0.50738070000000002</v>
      </c>
      <c r="OG12">
        <v>130815</v>
      </c>
      <c r="OH12">
        <v>0.50738070000000002</v>
      </c>
      <c r="OI12">
        <v>130815</v>
      </c>
      <c r="OJ12">
        <v>0.50738070000000002</v>
      </c>
      <c r="OK12">
        <v>130815</v>
      </c>
      <c r="OL12">
        <v>0.49261929999999998</v>
      </c>
      <c r="OM12">
        <v>154170</v>
      </c>
      <c r="ON12">
        <v>0.1514886</v>
      </c>
      <c r="OO12">
        <v>23355</v>
      </c>
      <c r="OP12">
        <v>0.34938989999999998</v>
      </c>
      <c r="OQ12">
        <v>8160</v>
      </c>
      <c r="OR12">
        <v>0.58431379999999999</v>
      </c>
      <c r="OS12">
        <v>4768</v>
      </c>
      <c r="OT12">
        <v>0.24391779999999999</v>
      </c>
      <c r="OU12">
        <v>4768</v>
      </c>
      <c r="OV12">
        <v>0.12919459999999999</v>
      </c>
      <c r="OW12">
        <v>4768</v>
      </c>
      <c r="OX12">
        <v>0.62688759999999999</v>
      </c>
      <c r="OY12">
        <v>8160</v>
      </c>
      <c r="OZ12">
        <v>0.41568630000000001</v>
      </c>
      <c r="PA12">
        <v>23355</v>
      </c>
      <c r="PB12">
        <v>0.65061009999999997</v>
      </c>
      <c r="PC12">
        <v>15195</v>
      </c>
      <c r="PD12">
        <v>0.65409669999999998</v>
      </c>
      <c r="PE12">
        <v>9939</v>
      </c>
      <c r="PF12">
        <v>0.19327900000000001</v>
      </c>
      <c r="PG12">
        <v>9939</v>
      </c>
      <c r="PH12">
        <v>6.2581700000000004E-2</v>
      </c>
      <c r="PI12">
        <v>9939</v>
      </c>
      <c r="PJ12">
        <v>0.74413929999999995</v>
      </c>
      <c r="PK12">
        <v>15195</v>
      </c>
      <c r="PL12">
        <v>0.34590320000000002</v>
      </c>
      <c r="PM12">
        <v>712453</v>
      </c>
      <c r="PN12">
        <v>0.50247810000000004</v>
      </c>
      <c r="PO12">
        <v>357992</v>
      </c>
      <c r="PP12">
        <v>7.2051900000000002E-2</v>
      </c>
      <c r="PQ12">
        <v>357992</v>
      </c>
      <c r="PR12">
        <v>8.1345399999999998E-2</v>
      </c>
      <c r="PS12">
        <v>357992</v>
      </c>
      <c r="PT12">
        <v>7.7607899999999994E-2</v>
      </c>
      <c r="PU12">
        <v>357992</v>
      </c>
      <c r="PV12">
        <v>4.9392199999999997E-2</v>
      </c>
      <c r="PW12">
        <v>357992</v>
      </c>
      <c r="PX12">
        <v>3.6280100000000003E-2</v>
      </c>
      <c r="PY12">
        <v>357992</v>
      </c>
      <c r="PZ12">
        <v>1.42629E-2</v>
      </c>
      <c r="QA12">
        <v>357992</v>
      </c>
      <c r="QB12">
        <v>1.30394E-2</v>
      </c>
      <c r="QC12">
        <v>357992</v>
      </c>
      <c r="QD12">
        <v>4.1417099999999998E-2</v>
      </c>
      <c r="QE12">
        <v>357992</v>
      </c>
      <c r="QF12">
        <v>6.5071299999999999E-2</v>
      </c>
      <c r="QG12">
        <v>357992</v>
      </c>
      <c r="QH12">
        <v>6.1465100000000002E-2</v>
      </c>
      <c r="QI12">
        <v>357992</v>
      </c>
      <c r="QJ12">
        <v>6.6618800000000006E-2</v>
      </c>
      <c r="QK12">
        <v>357992</v>
      </c>
      <c r="QL12">
        <v>7.5230699999999998E-2</v>
      </c>
      <c r="QM12">
        <v>357992</v>
      </c>
      <c r="QN12">
        <v>8.0501799999999998E-2</v>
      </c>
      <c r="QO12">
        <v>357992</v>
      </c>
      <c r="QP12">
        <v>7.4342400000000003E-2</v>
      </c>
      <c r="QQ12">
        <v>357992</v>
      </c>
      <c r="QR12">
        <v>6.3674599999999998E-2</v>
      </c>
      <c r="QS12">
        <v>357992</v>
      </c>
      <c r="QT12">
        <v>1.9709899999999999E-2</v>
      </c>
      <c r="QU12">
        <v>357992</v>
      </c>
      <c r="QV12">
        <v>2.2461399999999999E-2</v>
      </c>
      <c r="QW12">
        <v>357992</v>
      </c>
      <c r="QX12">
        <v>1.3740499999999999E-2</v>
      </c>
      <c r="QY12">
        <v>357992</v>
      </c>
      <c r="QZ12">
        <v>1.7357899999999999E-2</v>
      </c>
      <c r="RA12">
        <v>357992</v>
      </c>
      <c r="RB12">
        <v>2.1668099999999999E-2</v>
      </c>
      <c r="RC12">
        <v>357992</v>
      </c>
      <c r="RD12">
        <v>1.50394E-2</v>
      </c>
      <c r="RE12">
        <v>357992</v>
      </c>
      <c r="RF12">
        <v>1.0818700000000001E-2</v>
      </c>
      <c r="RG12">
        <v>357992</v>
      </c>
      <c r="RH12">
        <v>6.9024000000000004E-3</v>
      </c>
      <c r="RI12">
        <v>712453</v>
      </c>
      <c r="RJ12">
        <v>0.49752190000000002</v>
      </c>
      <c r="RK12">
        <v>354461</v>
      </c>
      <c r="RL12">
        <v>6.9550699999999993E-2</v>
      </c>
      <c r="RM12">
        <v>354461</v>
      </c>
      <c r="RN12">
        <v>7.9075000000000006E-2</v>
      </c>
      <c r="RO12">
        <v>354461</v>
      </c>
      <c r="RP12">
        <v>7.35426E-2</v>
      </c>
      <c r="RQ12">
        <v>354461</v>
      </c>
      <c r="RR12">
        <v>4.6814700000000001E-2</v>
      </c>
      <c r="RS12">
        <v>354461</v>
      </c>
      <c r="RT12">
        <v>2.6499399999999999E-2</v>
      </c>
      <c r="RU12">
        <v>354461</v>
      </c>
      <c r="RV12">
        <v>1.4057999999999999E-2</v>
      </c>
      <c r="RW12">
        <v>354461</v>
      </c>
      <c r="RX12">
        <v>9.7528000000000007E-3</v>
      </c>
      <c r="RY12">
        <v>354461</v>
      </c>
      <c r="RZ12">
        <v>3.7129599999999999E-2</v>
      </c>
      <c r="SA12">
        <v>354461</v>
      </c>
      <c r="SB12">
        <v>6.5364000000000005E-2</v>
      </c>
      <c r="SC12">
        <v>354461</v>
      </c>
      <c r="SD12">
        <v>6.0455200000000001E-2</v>
      </c>
      <c r="SE12">
        <v>354461</v>
      </c>
      <c r="SF12">
        <v>6.6252699999999998E-2</v>
      </c>
      <c r="SG12">
        <v>354461</v>
      </c>
      <c r="SH12">
        <v>7.7548699999999998E-2</v>
      </c>
      <c r="SI12">
        <v>354461</v>
      </c>
      <c r="SJ12">
        <v>8.4155900000000006E-2</v>
      </c>
      <c r="SK12">
        <v>354461</v>
      </c>
      <c r="SL12">
        <v>7.5935000000000002E-2</v>
      </c>
      <c r="SM12">
        <v>354461</v>
      </c>
      <c r="SN12">
        <v>6.3806699999999994E-2</v>
      </c>
      <c r="SO12">
        <v>354461</v>
      </c>
      <c r="SP12">
        <v>2.1903700000000002E-2</v>
      </c>
      <c r="SQ12">
        <v>354461</v>
      </c>
      <c r="SR12">
        <v>2.0603099999999999E-2</v>
      </c>
      <c r="SS12">
        <v>354461</v>
      </c>
      <c r="ST12">
        <v>1.55786E-2</v>
      </c>
      <c r="SU12">
        <v>354461</v>
      </c>
      <c r="SV12">
        <v>1.8696000000000001E-2</v>
      </c>
      <c r="SW12">
        <v>354461</v>
      </c>
      <c r="SX12">
        <v>2.3136500000000001E-2</v>
      </c>
      <c r="SY12">
        <v>354461</v>
      </c>
      <c r="SZ12">
        <v>2.02956E-2</v>
      </c>
      <c r="TA12">
        <v>354461</v>
      </c>
      <c r="TB12">
        <v>1.28082E-2</v>
      </c>
      <c r="TC12">
        <v>354461</v>
      </c>
      <c r="TD12">
        <v>1.7037099999999999E-2</v>
      </c>
      <c r="TE12">
        <v>542827</v>
      </c>
      <c r="TF12">
        <v>0.50203660000000006</v>
      </c>
      <c r="TG12">
        <v>44964</v>
      </c>
      <c r="TH12">
        <v>0.49937730000000002</v>
      </c>
      <c r="TI12"/>
      <c r="TJ12"/>
      <c r="TK12">
        <v>42143</v>
      </c>
      <c r="TL12">
        <v>0.48378139999999997</v>
      </c>
      <c r="TM12"/>
      <c r="TN12"/>
      <c r="TO12">
        <v>68035</v>
      </c>
      <c r="TP12">
        <v>0.53102079999999996</v>
      </c>
      <c r="TQ12">
        <v>13182</v>
      </c>
      <c r="TR12">
        <v>0.43779400000000002</v>
      </c>
      <c r="TS12">
        <v>472123</v>
      </c>
      <c r="TT12">
        <v>0.4968091</v>
      </c>
      <c r="TU12">
        <v>139958</v>
      </c>
      <c r="TV12">
        <v>0.5364466</v>
      </c>
      <c r="TW12">
        <v>542827</v>
      </c>
      <c r="TX12">
        <v>0.4979634</v>
      </c>
      <c r="TY12">
        <v>44964</v>
      </c>
      <c r="TZ12">
        <v>0.50062269999999998</v>
      </c>
      <c r="UA12"/>
      <c r="UB12"/>
      <c r="UC12">
        <v>42143</v>
      </c>
      <c r="UD12">
        <v>0.51621859999999997</v>
      </c>
      <c r="UE12"/>
      <c r="UF12"/>
      <c r="UG12">
        <v>68035</v>
      </c>
      <c r="UH12">
        <v>0.46897919999999998</v>
      </c>
      <c r="UI12">
        <v>13182</v>
      </c>
      <c r="UJ12">
        <v>0.56220599999999998</v>
      </c>
      <c r="UK12">
        <v>472123</v>
      </c>
      <c r="UL12">
        <v>0.5031909</v>
      </c>
      <c r="UM12">
        <v>139958</v>
      </c>
      <c r="UN12">
        <v>0.4635533</v>
      </c>
      <c r="UO12">
        <v>175581</v>
      </c>
      <c r="UP12">
        <v>175581</v>
      </c>
      <c r="UQ12">
        <v>175581</v>
      </c>
      <c r="UR12">
        <v>144507</v>
      </c>
      <c r="US12">
        <v>144507</v>
      </c>
      <c r="UT12">
        <v>144507</v>
      </c>
      <c r="UU12">
        <v>1.35949E-2</v>
      </c>
      <c r="UV12">
        <v>0.92823259999999996</v>
      </c>
      <c r="UW12">
        <v>5.8172599999999998E-2</v>
      </c>
      <c r="UX12">
        <v>9.1068E-3</v>
      </c>
      <c r="UY12">
        <v>0.93417620000000001</v>
      </c>
      <c r="UZ12">
        <v>5.6716999999999997E-2</v>
      </c>
      <c r="VA12">
        <v>12855</v>
      </c>
      <c r="VB12">
        <v>2.3726199999999999E-2</v>
      </c>
      <c r="VC12">
        <v>12855</v>
      </c>
      <c r="VD12">
        <v>0.81641379999999997</v>
      </c>
      <c r="VE12">
        <v>12855</v>
      </c>
      <c r="VF12">
        <v>0.15986</v>
      </c>
      <c r="VG12">
        <v>21614</v>
      </c>
      <c r="VH12">
        <v>2.8870199999999999E-2</v>
      </c>
      <c r="VI12">
        <v>21614</v>
      </c>
      <c r="VJ12">
        <v>0.92412320000000003</v>
      </c>
      <c r="VK12">
        <v>21614</v>
      </c>
      <c r="VL12">
        <v>4.7006600000000003E-2</v>
      </c>
      <c r="VM12">
        <v>21448</v>
      </c>
      <c r="VN12">
        <v>2.2752700000000001E-2</v>
      </c>
      <c r="VO12">
        <v>21448</v>
      </c>
      <c r="VP12">
        <v>0.93729019999999996</v>
      </c>
      <c r="VQ12">
        <v>21448</v>
      </c>
      <c r="VR12">
        <v>3.9957100000000002E-2</v>
      </c>
      <c r="VS12">
        <v>48670</v>
      </c>
      <c r="VT12">
        <v>1.5450999999999999E-2</v>
      </c>
      <c r="VU12">
        <v>48670</v>
      </c>
      <c r="VV12">
        <v>0.93513460000000004</v>
      </c>
      <c r="VW12">
        <v>48670</v>
      </c>
      <c r="VX12">
        <v>4.9414399999999997E-2</v>
      </c>
      <c r="VY12">
        <v>51971</v>
      </c>
      <c r="VZ12">
        <v>4.1945999999999997E-3</v>
      </c>
      <c r="WA12">
        <v>51971</v>
      </c>
      <c r="WB12">
        <v>0.944546</v>
      </c>
      <c r="WC12">
        <v>51971</v>
      </c>
      <c r="WD12">
        <v>5.1259399999999997E-2</v>
      </c>
      <c r="WE12">
        <v>19023</v>
      </c>
      <c r="WF12">
        <v>0</v>
      </c>
      <c r="WG12">
        <v>19023</v>
      </c>
      <c r="WH12">
        <v>0.93602479999999999</v>
      </c>
      <c r="WI12">
        <v>19023</v>
      </c>
      <c r="WJ12">
        <v>6.3975199999999996E-2</v>
      </c>
      <c r="WK12">
        <v>10718</v>
      </c>
      <c r="WL12">
        <v>4.68371E-2</v>
      </c>
      <c r="WM12">
        <v>10718</v>
      </c>
      <c r="WN12">
        <v>0.92601230000000001</v>
      </c>
      <c r="WO12">
        <v>10718</v>
      </c>
      <c r="WP12">
        <v>2.71506E-2</v>
      </c>
      <c r="WQ12">
        <v>19895</v>
      </c>
      <c r="WR12">
        <v>1.92511E-2</v>
      </c>
      <c r="WS12">
        <v>19895</v>
      </c>
      <c r="WT12">
        <v>0.89655689999999999</v>
      </c>
      <c r="WU12">
        <v>19895</v>
      </c>
      <c r="WV12">
        <v>8.4192000000000003E-2</v>
      </c>
      <c r="WW12">
        <v>15862</v>
      </c>
      <c r="WX12">
        <v>5.4847999999999997E-3</v>
      </c>
      <c r="WY12">
        <v>15862</v>
      </c>
      <c r="WZ12">
        <v>0.95208669999999995</v>
      </c>
      <c r="XA12">
        <v>15862</v>
      </c>
      <c r="XB12">
        <v>4.2428399999999998E-2</v>
      </c>
      <c r="XC12">
        <v>36539</v>
      </c>
      <c r="XD12">
        <v>4.5978E-3</v>
      </c>
      <c r="XE12">
        <v>36539</v>
      </c>
      <c r="XF12">
        <v>0.92845999999999995</v>
      </c>
      <c r="XG12">
        <v>36539</v>
      </c>
      <c r="XH12">
        <v>6.6942199999999993E-2</v>
      </c>
      <c r="XI12">
        <v>45050</v>
      </c>
      <c r="XJ12">
        <v>3.9068000000000002E-3</v>
      </c>
      <c r="XK12">
        <v>45050</v>
      </c>
      <c r="XL12">
        <v>0.95644839999999998</v>
      </c>
      <c r="XM12">
        <v>45050</v>
      </c>
      <c r="XN12">
        <v>3.9644800000000001E-2</v>
      </c>
      <c r="XO12">
        <v>16443</v>
      </c>
      <c r="XP12">
        <v>0</v>
      </c>
      <c r="XQ12">
        <v>16443</v>
      </c>
      <c r="XR12">
        <v>0.91941859999999997</v>
      </c>
      <c r="XS12">
        <v>16443</v>
      </c>
      <c r="XT12">
        <v>8.0581399999999997E-2</v>
      </c>
      <c r="XU12">
        <v>470319</v>
      </c>
      <c r="XV12">
        <v>0.5065286</v>
      </c>
      <c r="XW12">
        <v>238230</v>
      </c>
      <c r="XX12">
        <v>0.89180199999999998</v>
      </c>
      <c r="XY12">
        <v>238230</v>
      </c>
      <c r="XZ12">
        <v>0.108198</v>
      </c>
      <c r="YA12">
        <v>212454</v>
      </c>
      <c r="YB12">
        <v>0.85857170000000005</v>
      </c>
      <c r="YC12">
        <v>182407</v>
      </c>
      <c r="YD12">
        <v>0.82439819999999997</v>
      </c>
      <c r="YE12">
        <v>182407</v>
      </c>
      <c r="YF12">
        <v>2.5596600000000001E-2</v>
      </c>
      <c r="YG12">
        <v>182407</v>
      </c>
      <c r="YH12">
        <v>2.9796E-2</v>
      </c>
      <c r="YI12">
        <v>182407</v>
      </c>
      <c r="YJ12">
        <v>6.4838499999999993E-2</v>
      </c>
      <c r="YK12">
        <v>182407</v>
      </c>
      <c r="YL12">
        <v>3.6259600000000003E-2</v>
      </c>
      <c r="YM12">
        <v>182407</v>
      </c>
      <c r="YN12">
        <v>1.9111099999999999E-2</v>
      </c>
      <c r="YO12">
        <v>212454</v>
      </c>
      <c r="YP12">
        <v>0.10554760000000001</v>
      </c>
      <c r="YQ12">
        <v>22424</v>
      </c>
      <c r="YR12">
        <v>0.36229040000000001</v>
      </c>
      <c r="YS12">
        <v>22424</v>
      </c>
      <c r="YT12">
        <v>3.9065299999999997E-2</v>
      </c>
      <c r="YU12">
        <v>22424</v>
      </c>
      <c r="YV12">
        <v>0.16839100000000001</v>
      </c>
      <c r="YW12">
        <v>22424</v>
      </c>
      <c r="YX12">
        <v>0.1585355</v>
      </c>
      <c r="YY12">
        <v>22424</v>
      </c>
      <c r="YZ12">
        <v>0.11006059999999999</v>
      </c>
      <c r="ZA12">
        <v>22424</v>
      </c>
      <c r="ZB12">
        <v>0.1616572</v>
      </c>
      <c r="ZC12">
        <v>212454</v>
      </c>
      <c r="ZD12">
        <v>3.5880700000000001E-2</v>
      </c>
      <c r="ZE12">
        <v>7623</v>
      </c>
      <c r="ZF12">
        <v>0.15177750000000001</v>
      </c>
      <c r="ZG12">
        <v>7623</v>
      </c>
      <c r="ZH12">
        <v>2.0464400000000001E-2</v>
      </c>
      <c r="ZI12">
        <v>7623</v>
      </c>
      <c r="ZJ12">
        <v>6.8345799999999998E-2</v>
      </c>
      <c r="ZK12">
        <v>7623</v>
      </c>
      <c r="ZL12">
        <v>0.12173680000000001</v>
      </c>
      <c r="ZM12">
        <v>7623</v>
      </c>
      <c r="ZN12">
        <v>0.1610914</v>
      </c>
      <c r="ZO12">
        <v>7623</v>
      </c>
      <c r="ZP12">
        <v>0.47658400000000001</v>
      </c>
      <c r="ZQ12">
        <v>470319</v>
      </c>
      <c r="ZR12">
        <v>0.4934714</v>
      </c>
      <c r="ZS12">
        <v>232089</v>
      </c>
      <c r="ZT12">
        <v>0.7669127</v>
      </c>
      <c r="ZU12">
        <v>232089</v>
      </c>
      <c r="ZV12">
        <v>0.2330873</v>
      </c>
      <c r="ZW12">
        <v>177992</v>
      </c>
      <c r="ZX12">
        <v>0.6956099</v>
      </c>
      <c r="ZY12">
        <v>123813</v>
      </c>
      <c r="ZZ12">
        <v>0.81544749999999999</v>
      </c>
      <c r="AAA12">
        <v>123813</v>
      </c>
      <c r="AAB12">
        <v>1.8842899999999999E-2</v>
      </c>
      <c r="AAC12">
        <v>123813</v>
      </c>
      <c r="AAD12">
        <v>5.8443000000000002E-2</v>
      </c>
      <c r="AAE12">
        <v>123813</v>
      </c>
      <c r="AAF12">
        <v>4.6061400000000002E-2</v>
      </c>
      <c r="AAG12">
        <v>123813</v>
      </c>
      <c r="AAH12">
        <v>3.1394100000000001E-2</v>
      </c>
      <c r="AAI12">
        <v>123813</v>
      </c>
      <c r="AAJ12">
        <v>2.98111E-2</v>
      </c>
      <c r="AAK12">
        <v>177992</v>
      </c>
      <c r="AAL12">
        <v>0.24212320000000001</v>
      </c>
      <c r="AAM12">
        <v>43096</v>
      </c>
      <c r="AAN12">
        <v>0.4884676</v>
      </c>
      <c r="AAO12">
        <v>43096</v>
      </c>
      <c r="AAP12">
        <v>3.3808199999999997E-2</v>
      </c>
      <c r="AAQ12">
        <v>43096</v>
      </c>
      <c r="AAR12">
        <v>0.1022137</v>
      </c>
      <c r="AAS12">
        <v>43096</v>
      </c>
      <c r="AAT12">
        <v>0.1232365</v>
      </c>
      <c r="AAU12">
        <v>43096</v>
      </c>
      <c r="AAV12">
        <v>0.10743460000000001</v>
      </c>
      <c r="AAW12">
        <v>43096</v>
      </c>
      <c r="AAX12">
        <v>0.14483940000000001</v>
      </c>
      <c r="AAY12">
        <v>177992</v>
      </c>
      <c r="AAZ12">
        <v>6.2266799999999997E-2</v>
      </c>
      <c r="ABA12">
        <v>11083</v>
      </c>
      <c r="ABB12">
        <v>0.2945953</v>
      </c>
      <c r="ABC12">
        <v>11083</v>
      </c>
      <c r="ABD12">
        <v>3.5730400000000002E-2</v>
      </c>
      <c r="ABE12">
        <v>11083</v>
      </c>
      <c r="ABF12">
        <v>0.1056573</v>
      </c>
      <c r="ABG12">
        <v>11083</v>
      </c>
      <c r="ABH12">
        <v>0.1270414</v>
      </c>
      <c r="ABI12">
        <v>11083</v>
      </c>
      <c r="ABJ12">
        <v>0.13065060000000001</v>
      </c>
      <c r="ABK12">
        <v>11083</v>
      </c>
      <c r="ABL12">
        <v>0.30632500000000001</v>
      </c>
      <c r="ABM12">
        <v>237799</v>
      </c>
      <c r="ABN12">
        <v>0.74023019999999995</v>
      </c>
      <c r="ABO12">
        <v>176026</v>
      </c>
      <c r="ABP12">
        <v>0.80959060000000005</v>
      </c>
      <c r="ABQ12">
        <v>176026</v>
      </c>
      <c r="ABR12">
        <v>0.19040940000000001</v>
      </c>
      <c r="ABS12">
        <v>33517</v>
      </c>
      <c r="ABT12">
        <v>0.31061850000000002</v>
      </c>
      <c r="ABU12">
        <v>33517</v>
      </c>
      <c r="ABV12">
        <v>0.68938149999999998</v>
      </c>
      <c r="ABW12">
        <v>237799</v>
      </c>
      <c r="ABX12">
        <v>0.2597698</v>
      </c>
      <c r="ABY12">
        <v>61773</v>
      </c>
      <c r="ABZ12">
        <v>0.84443040000000003</v>
      </c>
      <c r="ACA12">
        <v>61773</v>
      </c>
      <c r="ACB12">
        <v>0.1555696</v>
      </c>
      <c r="ACC12">
        <v>551005</v>
      </c>
      <c r="ACD12">
        <v>0.4996216</v>
      </c>
      <c r="ACE12">
        <v>275294</v>
      </c>
      <c r="ACF12">
        <v>0.3219939</v>
      </c>
      <c r="ACG12">
        <v>88643</v>
      </c>
      <c r="ACH12">
        <v>0.19616890000000001</v>
      </c>
      <c r="ACI12">
        <v>88643</v>
      </c>
      <c r="ACJ12">
        <v>0.14595620000000001</v>
      </c>
      <c r="ACK12">
        <v>88643</v>
      </c>
      <c r="ACL12">
        <v>0.24629129999999999</v>
      </c>
      <c r="ACM12">
        <v>88643</v>
      </c>
      <c r="ACN12">
        <v>0.15760969999999999</v>
      </c>
      <c r="ACO12">
        <v>88643</v>
      </c>
      <c r="ACP12">
        <v>7.2662199999999996E-2</v>
      </c>
      <c r="ACQ12">
        <v>88643</v>
      </c>
      <c r="ACR12">
        <v>5.9090999999999998E-2</v>
      </c>
      <c r="ACS12">
        <v>88643</v>
      </c>
      <c r="ACT12">
        <v>3.49041E-2</v>
      </c>
      <c r="ACU12">
        <v>88643</v>
      </c>
      <c r="ACV12">
        <v>2.6556E-2</v>
      </c>
      <c r="ACW12">
        <v>88643</v>
      </c>
      <c r="ACX12">
        <v>2.0723599999999998E-2</v>
      </c>
      <c r="ACY12">
        <v>88643</v>
      </c>
      <c r="ACZ12">
        <v>1.6583400000000002E-2</v>
      </c>
      <c r="ADA12">
        <v>88643</v>
      </c>
      <c r="ADB12">
        <v>6.1595E-3</v>
      </c>
      <c r="ADC12">
        <v>88643</v>
      </c>
      <c r="ADD12">
        <v>1.18227E-2</v>
      </c>
      <c r="ADE12">
        <v>88643</v>
      </c>
      <c r="ADF12">
        <v>5.4714000000000004E-3</v>
      </c>
      <c r="ADG12">
        <v>88643</v>
      </c>
      <c r="ADH12">
        <v>0</v>
      </c>
      <c r="ADI12">
        <v>275294</v>
      </c>
      <c r="ADJ12">
        <v>0.58429529999999996</v>
      </c>
      <c r="ADK12">
        <v>160853</v>
      </c>
      <c r="ADL12">
        <v>0.91932389999999997</v>
      </c>
      <c r="ADM12">
        <v>147876</v>
      </c>
      <c r="ADN12">
        <v>4.26E-4</v>
      </c>
      <c r="ADO12">
        <v>147876</v>
      </c>
      <c r="ADP12">
        <v>3.3809999999999998E-4</v>
      </c>
      <c r="ADQ12">
        <v>147876</v>
      </c>
      <c r="ADR12">
        <v>1.4343099999999999E-2</v>
      </c>
      <c r="ADS12">
        <v>147876</v>
      </c>
      <c r="ADT12">
        <v>4.9101899999999997E-2</v>
      </c>
      <c r="ADU12">
        <v>147876</v>
      </c>
      <c r="ADV12">
        <v>8.5193000000000005E-2</v>
      </c>
      <c r="ADW12">
        <v>147876</v>
      </c>
      <c r="ADX12">
        <v>0.10348540000000001</v>
      </c>
      <c r="ADY12">
        <v>147876</v>
      </c>
      <c r="ADZ12">
        <v>0.13175899999999999</v>
      </c>
      <c r="AEA12">
        <v>147876</v>
      </c>
      <c r="AEB12">
        <v>0.14414099999999999</v>
      </c>
      <c r="AEC12">
        <v>147876</v>
      </c>
      <c r="AED12">
        <v>0.13744619999999999</v>
      </c>
      <c r="AEE12">
        <v>147876</v>
      </c>
      <c r="AEF12">
        <v>0.1158809</v>
      </c>
      <c r="AEG12">
        <v>147876</v>
      </c>
      <c r="AEH12">
        <v>7.6638499999999998E-2</v>
      </c>
      <c r="AEI12">
        <v>147876</v>
      </c>
      <c r="AEJ12">
        <v>9.3470200000000003E-2</v>
      </c>
      <c r="AEK12">
        <v>147876</v>
      </c>
      <c r="AEL12">
        <v>3.9120599999999998E-2</v>
      </c>
      <c r="AEM12">
        <v>147876</v>
      </c>
      <c r="AEN12">
        <v>8.6558999999999994E-3</v>
      </c>
      <c r="AEO12">
        <v>160853</v>
      </c>
      <c r="AEP12">
        <v>8.0676100000000001E-2</v>
      </c>
      <c r="AEQ12">
        <v>12977</v>
      </c>
      <c r="AER12">
        <v>0.20266629999999999</v>
      </c>
      <c r="AES12">
        <v>2630</v>
      </c>
      <c r="AET12">
        <v>0</v>
      </c>
      <c r="AEU12">
        <v>2630</v>
      </c>
      <c r="AEV12">
        <v>0</v>
      </c>
      <c r="AEW12">
        <v>2630</v>
      </c>
      <c r="AEX12">
        <v>0</v>
      </c>
      <c r="AEY12">
        <v>2630</v>
      </c>
      <c r="AEZ12">
        <v>6.0836500000000002E-2</v>
      </c>
      <c r="AFA12">
        <v>2630</v>
      </c>
      <c r="AFB12">
        <v>7.1482900000000002E-2</v>
      </c>
      <c r="AFC12">
        <v>2630</v>
      </c>
      <c r="AFD12">
        <v>0.108365</v>
      </c>
      <c r="AFE12">
        <v>2630</v>
      </c>
      <c r="AFF12">
        <v>8.9353600000000005E-2</v>
      </c>
      <c r="AFG12">
        <v>2630</v>
      </c>
      <c r="AFH12">
        <v>0.13460079999999999</v>
      </c>
      <c r="AFI12">
        <v>2630</v>
      </c>
      <c r="AFJ12">
        <v>0.1543726</v>
      </c>
      <c r="AFK12">
        <v>2630</v>
      </c>
      <c r="AFL12">
        <v>0.1380228</v>
      </c>
      <c r="AFM12">
        <v>2630</v>
      </c>
      <c r="AFN12">
        <v>0.12889729999999999</v>
      </c>
      <c r="AFO12">
        <v>2630</v>
      </c>
      <c r="AFP12">
        <v>9.84791E-2</v>
      </c>
      <c r="AFQ12">
        <v>2630</v>
      </c>
      <c r="AFR12">
        <v>0</v>
      </c>
      <c r="AFS12">
        <v>2630</v>
      </c>
      <c r="AFT12">
        <v>1.55894E-2</v>
      </c>
      <c r="AFU12">
        <v>12977</v>
      </c>
      <c r="AFV12">
        <v>0.79733370000000003</v>
      </c>
      <c r="AFW12">
        <v>10347</v>
      </c>
      <c r="AFX12">
        <v>2.2228700000000001E-2</v>
      </c>
      <c r="AFY12">
        <v>10347</v>
      </c>
      <c r="AFZ12">
        <v>0</v>
      </c>
      <c r="AGA12">
        <v>10347</v>
      </c>
      <c r="AGB12">
        <v>5.8084499999999997E-2</v>
      </c>
      <c r="AGC12">
        <v>10347</v>
      </c>
      <c r="AGD12">
        <v>0.13424179999999999</v>
      </c>
      <c r="AGE12">
        <v>10347</v>
      </c>
      <c r="AGF12">
        <v>0.16043299999999999</v>
      </c>
      <c r="AGG12">
        <v>10347</v>
      </c>
      <c r="AGH12">
        <v>0.1307625</v>
      </c>
      <c r="AGI12">
        <v>10347</v>
      </c>
      <c r="AGJ12">
        <v>0.10341160000000001</v>
      </c>
      <c r="AGK12">
        <v>10347</v>
      </c>
      <c r="AGL12">
        <v>0.13172900000000001</v>
      </c>
      <c r="AGM12">
        <v>10347</v>
      </c>
      <c r="AGN12">
        <v>6.57195E-2</v>
      </c>
      <c r="AGO12">
        <v>10347</v>
      </c>
      <c r="AGP12">
        <v>3.6435700000000001E-2</v>
      </c>
      <c r="AGQ12">
        <v>10347</v>
      </c>
      <c r="AGR12">
        <v>5.9534200000000002E-2</v>
      </c>
      <c r="AGS12">
        <v>10347</v>
      </c>
      <c r="AGT12">
        <v>5.72147E-2</v>
      </c>
      <c r="AGU12">
        <v>10347</v>
      </c>
      <c r="AGV12">
        <v>6.1853999999999998E-3</v>
      </c>
      <c r="AGW12">
        <v>10347</v>
      </c>
      <c r="AGX12">
        <v>3.4019500000000001E-2</v>
      </c>
      <c r="AGY12">
        <v>275294</v>
      </c>
      <c r="AGZ12">
        <v>2.1017500000000001E-2</v>
      </c>
      <c r="AHA12">
        <v>5786</v>
      </c>
      <c r="AHB12">
        <v>0</v>
      </c>
      <c r="AHC12">
        <v>5786</v>
      </c>
      <c r="AHD12">
        <v>0</v>
      </c>
      <c r="AHE12">
        <v>5786</v>
      </c>
      <c r="AHF12">
        <v>0</v>
      </c>
      <c r="AHG12">
        <v>5786</v>
      </c>
      <c r="AHH12">
        <v>0</v>
      </c>
      <c r="AHI12">
        <v>5786</v>
      </c>
      <c r="AHJ12">
        <v>0</v>
      </c>
      <c r="AHK12">
        <v>5786</v>
      </c>
      <c r="AHL12">
        <v>1.65918E-2</v>
      </c>
      <c r="AHM12">
        <v>5786</v>
      </c>
      <c r="AHN12">
        <v>5.3404800000000002E-2</v>
      </c>
      <c r="AHO12">
        <v>5786</v>
      </c>
      <c r="AHP12">
        <v>1.20982E-2</v>
      </c>
      <c r="AHQ12">
        <v>5786</v>
      </c>
      <c r="AHR12">
        <v>7.6564099999999996E-2</v>
      </c>
      <c r="AHS12">
        <v>5786</v>
      </c>
      <c r="AHT12">
        <v>8.6242700000000005E-2</v>
      </c>
      <c r="AHU12">
        <v>5786</v>
      </c>
      <c r="AHV12">
        <v>6.7404099999999995E-2</v>
      </c>
      <c r="AHW12">
        <v>5786</v>
      </c>
      <c r="AHX12">
        <v>0.18268229999999999</v>
      </c>
      <c r="AHY12">
        <v>5786</v>
      </c>
      <c r="AHZ12">
        <v>0.38886969999999998</v>
      </c>
      <c r="AIA12">
        <v>5786</v>
      </c>
      <c r="AIB12">
        <v>0.11614240000000001</v>
      </c>
      <c r="AIC12">
        <v>275294</v>
      </c>
      <c r="AID12">
        <v>7.2693199999999999E-2</v>
      </c>
      <c r="AIE12">
        <v>20012</v>
      </c>
      <c r="AIF12">
        <v>0</v>
      </c>
      <c r="AIG12">
        <v>20012</v>
      </c>
      <c r="AIH12">
        <v>0</v>
      </c>
      <c r="AII12">
        <v>20012</v>
      </c>
      <c r="AIJ12">
        <v>2.3486000000000002E-3</v>
      </c>
      <c r="AIK12">
        <v>20012</v>
      </c>
      <c r="AIL12">
        <v>2.5684599999999998E-2</v>
      </c>
      <c r="AIM12">
        <v>20012</v>
      </c>
      <c r="AIN12">
        <v>5.5816499999999998E-2</v>
      </c>
      <c r="AIO12">
        <v>20012</v>
      </c>
      <c r="AIP12">
        <v>7.8652799999999995E-2</v>
      </c>
      <c r="AIQ12">
        <v>20012</v>
      </c>
      <c r="AIR12">
        <v>0.13691780000000001</v>
      </c>
      <c r="AIS12">
        <v>20012</v>
      </c>
      <c r="AIT12">
        <v>0.16804920000000001</v>
      </c>
      <c r="AIU12">
        <v>20012</v>
      </c>
      <c r="AIV12">
        <v>0.14606240000000001</v>
      </c>
      <c r="AIW12">
        <v>20012</v>
      </c>
      <c r="AIX12">
        <v>0.1474116</v>
      </c>
      <c r="AIY12">
        <v>20012</v>
      </c>
      <c r="AIZ12">
        <v>9.3593800000000005E-2</v>
      </c>
      <c r="AJA12">
        <v>20012</v>
      </c>
      <c r="AJB12">
        <v>0.1055367</v>
      </c>
      <c r="AJC12">
        <v>20012</v>
      </c>
      <c r="AJD12">
        <v>3.3629800000000001E-2</v>
      </c>
      <c r="AJE12">
        <v>20012</v>
      </c>
      <c r="AJF12">
        <v>6.2962000000000001E-3</v>
      </c>
      <c r="AJG12">
        <v>551005</v>
      </c>
      <c r="AJH12">
        <v>0.5003784</v>
      </c>
      <c r="AJI12">
        <v>275711</v>
      </c>
      <c r="AJJ12">
        <v>0.26106689999999999</v>
      </c>
      <c r="AJK12">
        <v>71979</v>
      </c>
      <c r="AJL12">
        <v>0.23053950000000001</v>
      </c>
      <c r="AJM12">
        <v>71979</v>
      </c>
      <c r="AJN12">
        <v>0.12000719999999999</v>
      </c>
      <c r="AJO12">
        <v>71979</v>
      </c>
      <c r="AJP12">
        <v>0.25494939999999999</v>
      </c>
      <c r="AJQ12">
        <v>71979</v>
      </c>
      <c r="AJR12">
        <v>0.15417</v>
      </c>
      <c r="AJS12">
        <v>71979</v>
      </c>
      <c r="AJT12">
        <v>6.4352099999999995E-2</v>
      </c>
      <c r="AJU12">
        <v>71979</v>
      </c>
      <c r="AJV12">
        <v>4.3665500000000003E-2</v>
      </c>
      <c r="AJW12">
        <v>71979</v>
      </c>
      <c r="AJX12">
        <v>3.8650200000000003E-2</v>
      </c>
      <c r="AJY12">
        <v>71979</v>
      </c>
      <c r="AJZ12">
        <v>2.4145900000000001E-2</v>
      </c>
      <c r="AKA12">
        <v>71979</v>
      </c>
      <c r="AKB12">
        <v>2.9272400000000001E-2</v>
      </c>
      <c r="AKC12">
        <v>71979</v>
      </c>
      <c r="AKD12">
        <v>1.8686000000000001E-2</v>
      </c>
      <c r="AKE12">
        <v>71979</v>
      </c>
      <c r="AKF12">
        <v>4.5291000000000003E-3</v>
      </c>
      <c r="AKG12">
        <v>71979</v>
      </c>
      <c r="AKH12">
        <v>9.0998999999999993E-3</v>
      </c>
      <c r="AKI12">
        <v>71979</v>
      </c>
      <c r="AKJ12">
        <v>5.8767000000000003E-3</v>
      </c>
      <c r="AKK12">
        <v>71979</v>
      </c>
      <c r="AKL12">
        <v>2.0562000000000002E-3</v>
      </c>
      <c r="AKM12">
        <v>275711</v>
      </c>
      <c r="AKN12">
        <v>0.56890370000000001</v>
      </c>
      <c r="AKO12">
        <v>156853</v>
      </c>
      <c r="AKP12">
        <v>0.91119070000000002</v>
      </c>
      <c r="AKQ12">
        <v>142923</v>
      </c>
      <c r="AKR12">
        <v>0</v>
      </c>
      <c r="AKS12">
        <v>142923</v>
      </c>
      <c r="AKT12">
        <v>2.7847000000000002E-3</v>
      </c>
      <c r="AKU12">
        <v>142923</v>
      </c>
      <c r="AKV12">
        <v>1.6960200000000002E-2</v>
      </c>
      <c r="AKW12">
        <v>142923</v>
      </c>
      <c r="AKX12">
        <v>6.4307400000000001E-2</v>
      </c>
      <c r="AKY12">
        <v>142923</v>
      </c>
      <c r="AKZ12">
        <v>9.5317100000000002E-2</v>
      </c>
      <c r="ALA12">
        <v>142923</v>
      </c>
      <c r="ALB12">
        <v>0.1177627</v>
      </c>
      <c r="ALC12">
        <v>142923</v>
      </c>
      <c r="ALD12">
        <v>0.1463585</v>
      </c>
      <c r="ALE12">
        <v>142923</v>
      </c>
      <c r="ALF12">
        <v>0.1493951</v>
      </c>
      <c r="ALG12">
        <v>142923</v>
      </c>
      <c r="ALH12">
        <v>0.12516530000000001</v>
      </c>
      <c r="ALI12">
        <v>142923</v>
      </c>
      <c r="ALJ12">
        <v>0.10472770000000001</v>
      </c>
      <c r="ALK12">
        <v>142923</v>
      </c>
      <c r="ALL12">
        <v>6.9694900000000004E-2</v>
      </c>
      <c r="ALM12">
        <v>142923</v>
      </c>
      <c r="ALN12">
        <v>7.2178699999999998E-2</v>
      </c>
      <c r="ALO12">
        <v>142923</v>
      </c>
      <c r="ALP12">
        <v>2.97223E-2</v>
      </c>
      <c r="ALQ12">
        <v>142923</v>
      </c>
      <c r="ALR12">
        <v>5.6254E-3</v>
      </c>
      <c r="ALS12">
        <v>156853</v>
      </c>
      <c r="ALT12">
        <v>8.8809299999999994E-2</v>
      </c>
      <c r="ALU12">
        <v>13930</v>
      </c>
      <c r="ALV12">
        <v>0.46870060000000002</v>
      </c>
      <c r="ALW12">
        <v>6529</v>
      </c>
      <c r="ALX12">
        <v>0</v>
      </c>
      <c r="ALY12">
        <v>6529</v>
      </c>
      <c r="ALZ12">
        <v>0</v>
      </c>
      <c r="AMA12">
        <v>6529</v>
      </c>
      <c r="AMB12">
        <v>1.2865700000000001E-2</v>
      </c>
      <c r="AMC12">
        <v>6529</v>
      </c>
      <c r="AMD12">
        <v>0.14642369999999999</v>
      </c>
      <c r="AME12">
        <v>6529</v>
      </c>
      <c r="AMF12">
        <v>0.16664109999999999</v>
      </c>
      <c r="AMG12">
        <v>6529</v>
      </c>
      <c r="AMH12">
        <v>0.1471895</v>
      </c>
      <c r="AMI12">
        <v>6529</v>
      </c>
      <c r="AMJ12">
        <v>3.0938899999999998E-2</v>
      </c>
      <c r="AMK12">
        <v>6529</v>
      </c>
      <c r="AML12">
        <v>6.9076399999999996E-2</v>
      </c>
      <c r="AMM12">
        <v>6529</v>
      </c>
      <c r="AMN12">
        <v>0.17858779999999999</v>
      </c>
      <c r="AMO12">
        <v>6529</v>
      </c>
      <c r="AMP12">
        <v>0.14014399999999999</v>
      </c>
      <c r="AMQ12">
        <v>6529</v>
      </c>
      <c r="AMR12">
        <v>3.8750199999999999E-2</v>
      </c>
      <c r="AMS12">
        <v>6529</v>
      </c>
      <c r="AMT12">
        <v>3.2317400000000003E-2</v>
      </c>
      <c r="AMU12">
        <v>6529</v>
      </c>
      <c r="AMV12">
        <v>3.7065399999999998E-2</v>
      </c>
      <c r="AMW12">
        <v>6529</v>
      </c>
      <c r="AMX12">
        <v>0</v>
      </c>
      <c r="AMY12">
        <v>13930</v>
      </c>
      <c r="AMZ12">
        <v>0.53129939999999998</v>
      </c>
      <c r="ANA12">
        <v>7401</v>
      </c>
      <c r="ANB12">
        <v>0</v>
      </c>
      <c r="ANC12">
        <v>7401</v>
      </c>
      <c r="AND12">
        <v>4.82367E-2</v>
      </c>
      <c r="ANE12">
        <v>7401</v>
      </c>
      <c r="ANF12">
        <v>8.4312899999999996E-2</v>
      </c>
      <c r="ANG12">
        <v>7401</v>
      </c>
      <c r="ANH12">
        <v>0.1591677</v>
      </c>
      <c r="ANI12">
        <v>7401</v>
      </c>
      <c r="ANJ12">
        <v>4.0264800000000003E-2</v>
      </c>
      <c r="ANK12">
        <v>7401</v>
      </c>
      <c r="ANL12">
        <v>6.4585900000000002E-2</v>
      </c>
      <c r="ANM12">
        <v>7401</v>
      </c>
      <c r="ANN12">
        <v>5.58033E-2</v>
      </c>
      <c r="ANO12">
        <v>7401</v>
      </c>
      <c r="ANP12">
        <v>0.1751115</v>
      </c>
      <c r="ANQ12">
        <v>7401</v>
      </c>
      <c r="ANR12">
        <v>0.1209296</v>
      </c>
      <c r="ANS12">
        <v>7401</v>
      </c>
      <c r="ANT12">
        <v>4.1886199999999998E-2</v>
      </c>
      <c r="ANU12">
        <v>7401</v>
      </c>
      <c r="ANV12">
        <v>4.82367E-2</v>
      </c>
      <c r="ANW12">
        <v>7401</v>
      </c>
      <c r="ANX12">
        <v>8.4583199999999997E-2</v>
      </c>
      <c r="ANY12">
        <v>7401</v>
      </c>
      <c r="ANZ12">
        <v>5.0398600000000002E-2</v>
      </c>
      <c r="AOA12">
        <v>7401</v>
      </c>
      <c r="AOB12">
        <v>2.64829E-2</v>
      </c>
      <c r="AOC12">
        <v>275711</v>
      </c>
      <c r="AOD12">
        <v>7.0802400000000001E-2</v>
      </c>
      <c r="AOE12">
        <v>19521</v>
      </c>
      <c r="AOF12">
        <v>0</v>
      </c>
      <c r="AOG12">
        <v>19521</v>
      </c>
      <c r="AOH12">
        <v>0</v>
      </c>
      <c r="AOI12">
        <v>19521</v>
      </c>
      <c r="AOJ12">
        <v>0</v>
      </c>
      <c r="AOK12">
        <v>19521</v>
      </c>
      <c r="AOL12">
        <v>0</v>
      </c>
      <c r="AOM12">
        <v>19521</v>
      </c>
      <c r="AON12">
        <v>2.715E-3</v>
      </c>
      <c r="AOO12">
        <v>19521</v>
      </c>
      <c r="AOP12">
        <v>7.4279000000000003E-3</v>
      </c>
      <c r="AOQ12">
        <v>19521</v>
      </c>
      <c r="AOR12">
        <v>2.3820500000000001E-2</v>
      </c>
      <c r="AOS12">
        <v>19521</v>
      </c>
      <c r="AOT12">
        <v>2.0542000000000001E-2</v>
      </c>
      <c r="AOU12">
        <v>19521</v>
      </c>
      <c r="AOV12">
        <v>4.0622900000000003E-2</v>
      </c>
      <c r="AOW12">
        <v>19521</v>
      </c>
      <c r="AOX12">
        <v>7.2383600000000006E-2</v>
      </c>
      <c r="AOY12">
        <v>19521</v>
      </c>
      <c r="AOZ12">
        <v>8.5548899999999997E-2</v>
      </c>
      <c r="APA12">
        <v>19521</v>
      </c>
      <c r="APB12">
        <v>0.25183139999999998</v>
      </c>
      <c r="APC12">
        <v>19521</v>
      </c>
      <c r="APD12">
        <v>0.25490499999999999</v>
      </c>
      <c r="APE12">
        <v>19521</v>
      </c>
      <c r="APF12">
        <v>0.2402029</v>
      </c>
      <c r="APG12">
        <v>275711</v>
      </c>
      <c r="APH12">
        <v>9.9227099999999999E-2</v>
      </c>
      <c r="API12">
        <v>27358</v>
      </c>
      <c r="APJ12">
        <v>0</v>
      </c>
      <c r="APK12">
        <v>27358</v>
      </c>
      <c r="APL12">
        <v>0</v>
      </c>
      <c r="APM12">
        <v>27358</v>
      </c>
      <c r="APN12">
        <v>4.3131999999999997E-3</v>
      </c>
      <c r="APO12">
        <v>27358</v>
      </c>
      <c r="APP12">
        <v>2.7304599999999998E-2</v>
      </c>
      <c r="APQ12">
        <v>27358</v>
      </c>
      <c r="APR12">
        <v>6.34184E-2</v>
      </c>
      <c r="APS12">
        <v>27358</v>
      </c>
      <c r="APT12">
        <v>7.0399900000000001E-2</v>
      </c>
      <c r="APU12">
        <v>27358</v>
      </c>
      <c r="APV12">
        <v>9.8983799999999997E-2</v>
      </c>
      <c r="APW12">
        <v>27358</v>
      </c>
      <c r="APX12">
        <v>0.16784850000000001</v>
      </c>
      <c r="APY12">
        <v>27358</v>
      </c>
      <c r="APZ12">
        <v>0.148622</v>
      </c>
      <c r="AQA12">
        <v>27358</v>
      </c>
      <c r="AQB12">
        <v>0.13400100000000001</v>
      </c>
      <c r="AQC12">
        <v>27358</v>
      </c>
      <c r="AQD12">
        <v>9.1380900000000001E-2</v>
      </c>
      <c r="AQE12">
        <v>27358</v>
      </c>
      <c r="AQF12">
        <v>0.13253889999999999</v>
      </c>
      <c r="AQG12">
        <v>27358</v>
      </c>
      <c r="AQH12">
        <v>5.3805100000000002E-2</v>
      </c>
      <c r="AQI12">
        <v>27358</v>
      </c>
      <c r="AQJ12">
        <v>7.3835999999999997E-3</v>
      </c>
      <c r="AQK12">
        <v>92854</v>
      </c>
      <c r="AQL12">
        <v>0.15326210000000001</v>
      </c>
      <c r="AQM12">
        <v>237799</v>
      </c>
      <c r="AQN12">
        <v>0.78368709999999997</v>
      </c>
      <c r="AQO12">
        <v>186360</v>
      </c>
      <c r="AQP12">
        <v>0.79188130000000001</v>
      </c>
      <c r="AQQ12">
        <v>147575</v>
      </c>
      <c r="AQR12">
        <v>0.86054549999999996</v>
      </c>
      <c r="AQS12">
        <v>126995</v>
      </c>
      <c r="AQT12">
        <v>0.49610609999999999</v>
      </c>
      <c r="AQU12">
        <v>126995</v>
      </c>
      <c r="AQV12">
        <v>0.50389390000000001</v>
      </c>
      <c r="AQW12">
        <v>147575</v>
      </c>
      <c r="AQX12">
        <v>0.13945450000000001</v>
      </c>
      <c r="AQY12">
        <v>20580</v>
      </c>
      <c r="AQZ12">
        <v>0.35145769999999998</v>
      </c>
      <c r="ARA12">
        <v>7233</v>
      </c>
      <c r="ARB12">
        <v>0.49080600000000002</v>
      </c>
      <c r="ARC12">
        <v>7233</v>
      </c>
      <c r="ARD12">
        <v>0.50919400000000004</v>
      </c>
      <c r="ARE12">
        <v>20580</v>
      </c>
      <c r="ARF12">
        <v>0.64854230000000002</v>
      </c>
      <c r="ARG12">
        <v>13347</v>
      </c>
      <c r="ARH12">
        <v>0.51404810000000001</v>
      </c>
      <c r="ARI12">
        <v>13347</v>
      </c>
      <c r="ARJ12">
        <v>0.48595189999999999</v>
      </c>
      <c r="ARK12">
        <v>186360</v>
      </c>
      <c r="ARL12">
        <v>0.20811869999999999</v>
      </c>
      <c r="ARM12">
        <v>237799</v>
      </c>
      <c r="ARN12">
        <v>0.2163129</v>
      </c>
      <c r="ARO12">
        <v>51439</v>
      </c>
      <c r="ARP12">
        <v>0.55310170000000003</v>
      </c>
      <c r="ARQ12">
        <v>28451</v>
      </c>
      <c r="ARR12">
        <v>0.54528840000000001</v>
      </c>
      <c r="ARS12">
        <v>15514</v>
      </c>
      <c r="ART12">
        <v>0.67087790000000003</v>
      </c>
      <c r="ARU12">
        <v>15514</v>
      </c>
      <c r="ARV12">
        <v>0.32912209999999997</v>
      </c>
      <c r="ARW12">
        <v>28451</v>
      </c>
      <c r="ARX12">
        <v>0.45471159999999999</v>
      </c>
      <c r="ARY12">
        <v>12937</v>
      </c>
      <c r="ARZ12">
        <v>0.24565200000000001</v>
      </c>
      <c r="ASA12">
        <v>3178</v>
      </c>
      <c r="ASB12">
        <v>0.52297039999999995</v>
      </c>
      <c r="ASC12">
        <v>3178</v>
      </c>
      <c r="ASD12">
        <v>0.4770296</v>
      </c>
      <c r="ASE12">
        <v>12937</v>
      </c>
      <c r="ASF12">
        <v>0.75434800000000002</v>
      </c>
      <c r="ASG12">
        <v>9759</v>
      </c>
      <c r="ASH12">
        <v>0.75520030000000005</v>
      </c>
      <c r="ASI12">
        <v>9759</v>
      </c>
      <c r="ASJ12">
        <v>0.24479970000000001</v>
      </c>
      <c r="ASK12">
        <v>51439</v>
      </c>
      <c r="ASL12">
        <v>0.44689830000000003</v>
      </c>
      <c r="ASM12">
        <v>251496</v>
      </c>
      <c r="ASN12">
        <v>0.59779879999999996</v>
      </c>
      <c r="ASO12">
        <v>150344</v>
      </c>
      <c r="ASP12">
        <v>0.43175649999999999</v>
      </c>
      <c r="ASQ12">
        <v>64912</v>
      </c>
      <c r="ASR12">
        <v>0.56444110000000003</v>
      </c>
      <c r="ASS12">
        <v>36639</v>
      </c>
      <c r="AST12">
        <v>0.73571880000000001</v>
      </c>
      <c r="ASU12">
        <v>36639</v>
      </c>
      <c r="ASV12">
        <v>0.26428119999999999</v>
      </c>
      <c r="ASW12">
        <v>64912</v>
      </c>
      <c r="ASX12">
        <v>0.43555890000000003</v>
      </c>
      <c r="ASY12">
        <v>28273</v>
      </c>
      <c r="ASZ12">
        <v>0.30159520000000001</v>
      </c>
      <c r="ATA12">
        <v>28273</v>
      </c>
      <c r="ATB12">
        <v>0.1863969</v>
      </c>
      <c r="ATC12">
        <v>28273</v>
      </c>
      <c r="ATD12">
        <v>9.0510400000000005E-2</v>
      </c>
      <c r="ATE12">
        <v>64912</v>
      </c>
      <c r="ATF12">
        <v>2.3539600000000001E-2</v>
      </c>
      <c r="ATG12">
        <v>1528</v>
      </c>
      <c r="ATH12">
        <v>1.6492150000000001</v>
      </c>
      <c r="ATI12">
        <v>1528</v>
      </c>
      <c r="ATJ12">
        <v>1.901832</v>
      </c>
      <c r="ATK12">
        <v>1528</v>
      </c>
      <c r="ATL12">
        <v>1.1590309999999999</v>
      </c>
      <c r="ATM12">
        <v>1528</v>
      </c>
      <c r="ATN12">
        <v>2.0890049999999998</v>
      </c>
      <c r="ATO12">
        <v>64912</v>
      </c>
      <c r="ATP12">
        <v>4.0008000000000002E-2</v>
      </c>
      <c r="ATQ12">
        <v>2597</v>
      </c>
      <c r="ATR12">
        <v>0.22911049999999999</v>
      </c>
      <c r="ATS12">
        <v>2597</v>
      </c>
      <c r="ATT12">
        <v>5.6041590000000001</v>
      </c>
      <c r="ATU12">
        <v>150344</v>
      </c>
      <c r="ATV12">
        <v>3.6849000000000001E-3</v>
      </c>
      <c r="ATW12">
        <v>554</v>
      </c>
      <c r="ATX12">
        <v>4.8935019999999998</v>
      </c>
      <c r="ATY12">
        <v>554</v>
      </c>
      <c r="ATZ12">
        <v>2.5740069999999999</v>
      </c>
      <c r="AUA12">
        <v>1426</v>
      </c>
      <c r="AUB12">
        <v>0.90112199999999998</v>
      </c>
      <c r="AUC12">
        <v>1426</v>
      </c>
      <c r="AUD12">
        <v>2.64446</v>
      </c>
      <c r="AUE12">
        <v>554</v>
      </c>
      <c r="AUF12">
        <v>12.409750000000001</v>
      </c>
      <c r="AUG12">
        <v>554</v>
      </c>
      <c r="AUH12">
        <v>1.16065</v>
      </c>
      <c r="AUI12">
        <v>554</v>
      </c>
      <c r="AUJ12">
        <v>51.602890000000002</v>
      </c>
      <c r="AUK12">
        <v>150344</v>
      </c>
      <c r="AUL12">
        <v>0.124847</v>
      </c>
      <c r="AUM12">
        <v>18770</v>
      </c>
      <c r="AUN12">
        <v>0.52306870000000005</v>
      </c>
      <c r="AUO12">
        <v>18770</v>
      </c>
      <c r="AUP12">
        <v>3.1966E-3</v>
      </c>
      <c r="AUQ12">
        <v>150344</v>
      </c>
      <c r="AUR12">
        <v>0.117005</v>
      </c>
      <c r="AUS12">
        <v>17591</v>
      </c>
      <c r="AUT12">
        <v>0.54550620000000005</v>
      </c>
      <c r="AUU12">
        <v>17591</v>
      </c>
      <c r="AUV12">
        <v>0.4544938</v>
      </c>
      <c r="AUW12">
        <v>17591</v>
      </c>
      <c r="AUX12">
        <v>1.4006590000000001</v>
      </c>
      <c r="AUY12">
        <v>150344</v>
      </c>
      <c r="AUZ12">
        <v>9.4483300000000006E-2</v>
      </c>
      <c r="AVA12">
        <v>14205</v>
      </c>
      <c r="AVB12">
        <v>0.73453009999999996</v>
      </c>
      <c r="AVC12">
        <v>14205</v>
      </c>
      <c r="AVD12">
        <v>5.2094300000000003E-2</v>
      </c>
      <c r="AVE12">
        <v>14205</v>
      </c>
      <c r="AVF12">
        <v>0.3172123</v>
      </c>
      <c r="AVG12">
        <v>251496</v>
      </c>
      <c r="AVH12">
        <v>2.06286E-2</v>
      </c>
      <c r="AVI12">
        <v>5188</v>
      </c>
      <c r="AVJ12">
        <v>19.497299999999999</v>
      </c>
      <c r="AVK12">
        <v>101152</v>
      </c>
      <c r="AVL12">
        <v>0.46798879999999998</v>
      </c>
      <c r="AVM12">
        <v>47338</v>
      </c>
      <c r="AVN12">
        <v>0.43573869999999998</v>
      </c>
      <c r="AVO12">
        <v>47338</v>
      </c>
      <c r="AVP12">
        <v>0.27438839999999998</v>
      </c>
      <c r="AVQ12">
        <v>101152</v>
      </c>
      <c r="AVR12">
        <v>7.5510099999999997E-2</v>
      </c>
      <c r="AVS12">
        <v>7638</v>
      </c>
      <c r="AVT12">
        <v>3.4971199999999998</v>
      </c>
      <c r="AVU12">
        <v>7638</v>
      </c>
      <c r="AVV12">
        <v>0.46255560000000001</v>
      </c>
      <c r="AVW12">
        <v>7638</v>
      </c>
      <c r="AVX12">
        <v>6.8473400000000004E-2</v>
      </c>
      <c r="AVY12">
        <v>101152</v>
      </c>
      <c r="AVZ12">
        <v>1.7142500000000001E-2</v>
      </c>
      <c r="AWA12">
        <v>1734</v>
      </c>
      <c r="AWB12">
        <v>1.00519</v>
      </c>
      <c r="AWC12">
        <v>1734</v>
      </c>
      <c r="AWD12">
        <v>0.99711649999999996</v>
      </c>
      <c r="AWE12">
        <v>1734</v>
      </c>
      <c r="AWF12">
        <v>4.6937720000000001</v>
      </c>
      <c r="AWG12">
        <v>1734</v>
      </c>
      <c r="AWH12">
        <v>0.89561710000000005</v>
      </c>
      <c r="AWI12">
        <v>101152</v>
      </c>
      <c r="AWJ12">
        <v>7.6686599999999994E-2</v>
      </c>
      <c r="AWK12">
        <v>7757</v>
      </c>
      <c r="AWL12">
        <v>0.73830090000000004</v>
      </c>
      <c r="AWM12">
        <v>7757</v>
      </c>
      <c r="AWN12">
        <v>0.26169910000000002</v>
      </c>
      <c r="AWO12">
        <v>5188</v>
      </c>
      <c r="AWP12">
        <v>2.2521200000000001</v>
      </c>
      <c r="AWQ12">
        <v>11684</v>
      </c>
      <c r="AWR12">
        <v>0.23741870000000001</v>
      </c>
      <c r="AWS12">
        <v>11684</v>
      </c>
      <c r="AWT12">
        <v>4.35638E-2</v>
      </c>
      <c r="AWU12">
        <v>509</v>
      </c>
      <c r="AWV12">
        <v>0.44400780000000001</v>
      </c>
      <c r="AWW12">
        <v>509</v>
      </c>
      <c r="AWX12">
        <v>0.55599209999999999</v>
      </c>
      <c r="AWY12">
        <v>11684</v>
      </c>
      <c r="AWZ12">
        <v>0.17802119999999999</v>
      </c>
      <c r="AXA12">
        <v>11684</v>
      </c>
      <c r="AXB12">
        <v>0.20309830000000001</v>
      </c>
      <c r="AXC12">
        <v>11684</v>
      </c>
      <c r="AXD12">
        <v>0.33789799999999998</v>
      </c>
      <c r="AXE12">
        <v>5188</v>
      </c>
      <c r="AXF12">
        <v>6.5499229999999997</v>
      </c>
      <c r="AXG12">
        <v>33981</v>
      </c>
      <c r="AXH12">
        <v>0.32238600000000001</v>
      </c>
      <c r="AXI12">
        <v>33981</v>
      </c>
      <c r="AXJ12">
        <v>0.67761400000000005</v>
      </c>
      <c r="AXK12">
        <v>5188</v>
      </c>
      <c r="AXL12">
        <v>0</v>
      </c>
      <c r="AXM12">
        <v>0</v>
      </c>
      <c r="AXN12"/>
      <c r="AXO12">
        <v>0</v>
      </c>
      <c r="AXP12"/>
      <c r="AXQ12">
        <v>0</v>
      </c>
      <c r="AXR12"/>
      <c r="AXS12">
        <v>5188</v>
      </c>
      <c r="AXT12">
        <v>1.4653039999999999</v>
      </c>
      <c r="AXU12">
        <v>7602</v>
      </c>
      <c r="AXV12">
        <v>0.72573010000000004</v>
      </c>
      <c r="AXW12">
        <v>7602</v>
      </c>
      <c r="AXX12">
        <v>0.27426990000000001</v>
      </c>
      <c r="AXY12">
        <v>7602</v>
      </c>
      <c r="AXZ12">
        <v>1.46014E-2</v>
      </c>
      <c r="AYA12">
        <v>37589</v>
      </c>
      <c r="AYB12">
        <v>2.8093300000000002E-2</v>
      </c>
      <c r="AYC12">
        <v>37589</v>
      </c>
      <c r="AYD12">
        <v>0.143127</v>
      </c>
      <c r="AYE12">
        <v>37589</v>
      </c>
      <c r="AYF12">
        <v>0.35877520000000002</v>
      </c>
      <c r="AYG12">
        <v>37589</v>
      </c>
      <c r="AYH12">
        <v>0.3236851</v>
      </c>
      <c r="AYI12">
        <v>37589</v>
      </c>
      <c r="AYJ12">
        <v>4.7088199999999997E-2</v>
      </c>
      <c r="AYK12">
        <v>37589</v>
      </c>
      <c r="AYL12">
        <v>9.8167000000000004E-2</v>
      </c>
      <c r="AYM12">
        <v>37589</v>
      </c>
      <c r="AYN12">
        <v>1.0640999999999999E-3</v>
      </c>
      <c r="AYO12">
        <v>45299</v>
      </c>
      <c r="AYP12">
        <v>0.1153006</v>
      </c>
      <c r="AYQ12">
        <v>45299</v>
      </c>
      <c r="AYR12">
        <v>0.1103556</v>
      </c>
      <c r="AYS12">
        <v>45299</v>
      </c>
      <c r="AYT12">
        <v>0.22896749999999999</v>
      </c>
      <c r="AYU12">
        <v>45299</v>
      </c>
      <c r="AYV12">
        <v>0.19567760000000001</v>
      </c>
      <c r="AYW12">
        <v>45299</v>
      </c>
      <c r="AYX12">
        <v>6.6248699999999994E-2</v>
      </c>
      <c r="AYY12">
        <v>45299</v>
      </c>
      <c r="AYZ12">
        <v>0.20541290000000001</v>
      </c>
      <c r="AZA12">
        <v>45299</v>
      </c>
      <c r="AZB12">
        <v>7.8036999999999995E-2</v>
      </c>
      <c r="AZC12">
        <v>50781</v>
      </c>
      <c r="AZD12">
        <v>8.1053899999999998E-2</v>
      </c>
      <c r="AZE12">
        <v>50781</v>
      </c>
      <c r="AZF12">
        <v>7.3944999999999997E-2</v>
      </c>
      <c r="AZG12">
        <v>50781</v>
      </c>
      <c r="AZH12">
        <v>0.1933203</v>
      </c>
      <c r="AZI12">
        <v>50781</v>
      </c>
      <c r="AZJ12">
        <v>0.16466790000000001</v>
      </c>
      <c r="AZK12">
        <v>50781</v>
      </c>
      <c r="AZL12">
        <v>5.2854400000000003E-2</v>
      </c>
      <c r="AZM12">
        <v>50781</v>
      </c>
      <c r="AZN12">
        <v>0.27407890000000001</v>
      </c>
      <c r="AZO12">
        <v>50781</v>
      </c>
      <c r="AZP12">
        <v>0.16007959999999999</v>
      </c>
      <c r="AZQ12">
        <v>93325</v>
      </c>
      <c r="AZR12">
        <v>4.9975899999999997E-2</v>
      </c>
      <c r="AZS12">
        <v>93325</v>
      </c>
      <c r="AZT12">
        <v>4.0535799999999997E-2</v>
      </c>
      <c r="AZU12">
        <v>93325</v>
      </c>
      <c r="AZV12">
        <v>0.17210819999999999</v>
      </c>
      <c r="AZW12">
        <v>93325</v>
      </c>
      <c r="AZX12">
        <v>0.20382529999999999</v>
      </c>
      <c r="AZY12">
        <v>93325</v>
      </c>
      <c r="AZZ12">
        <v>6.43986E-2</v>
      </c>
      <c r="BAA12">
        <v>93325</v>
      </c>
      <c r="BAB12">
        <v>0.22748460000000001</v>
      </c>
      <c r="BAC12">
        <v>93325</v>
      </c>
      <c r="BAD12">
        <v>0.24167159999999999</v>
      </c>
      <c r="BAE12">
        <v>30618</v>
      </c>
      <c r="BAF12">
        <v>8.6419800000000005E-2</v>
      </c>
      <c r="BAG12">
        <v>30618</v>
      </c>
      <c r="BAH12">
        <v>6.1271100000000002E-2</v>
      </c>
      <c r="BAI12">
        <v>30618</v>
      </c>
      <c r="BAJ12">
        <v>0.2443987</v>
      </c>
      <c r="BAK12">
        <v>30618</v>
      </c>
      <c r="BAL12">
        <v>0.16271469999999999</v>
      </c>
      <c r="BAM12">
        <v>30618</v>
      </c>
      <c r="BAN12">
        <v>3.9323299999999999E-2</v>
      </c>
      <c r="BAO12">
        <v>30618</v>
      </c>
      <c r="BAP12">
        <v>0.2044222</v>
      </c>
      <c r="BAQ12">
        <v>30618</v>
      </c>
      <c r="BAR12">
        <v>0.20145009999999999</v>
      </c>
      <c r="BAS12">
        <v>30994</v>
      </c>
      <c r="BAT12">
        <v>4.8880399999999997E-2</v>
      </c>
      <c r="BAU12">
        <v>30994</v>
      </c>
      <c r="BAV12">
        <v>0.1106343</v>
      </c>
      <c r="BAW12">
        <v>30994</v>
      </c>
      <c r="BAX12">
        <v>0.30070340000000001</v>
      </c>
      <c r="BAY12">
        <v>30994</v>
      </c>
      <c r="BAZ12">
        <v>0.36116670000000001</v>
      </c>
      <c r="BBA12">
        <v>30994</v>
      </c>
      <c r="BBB12">
        <v>5.6785200000000001E-2</v>
      </c>
      <c r="BBC12">
        <v>30994</v>
      </c>
      <c r="BBD12">
        <v>0.1175711</v>
      </c>
      <c r="BBE12">
        <v>30994</v>
      </c>
      <c r="BBF12">
        <v>4.2589000000000004E-3</v>
      </c>
      <c r="BBG12">
        <v>44598</v>
      </c>
      <c r="BBH12">
        <v>5.3365599999999999E-2</v>
      </c>
      <c r="BBI12">
        <v>44598</v>
      </c>
      <c r="BBJ12">
        <v>8.2335500000000006E-2</v>
      </c>
      <c r="BBK12">
        <v>44598</v>
      </c>
      <c r="BBL12">
        <v>0.16825870000000001</v>
      </c>
      <c r="BBM12">
        <v>44598</v>
      </c>
      <c r="BBN12">
        <v>0.25335220000000003</v>
      </c>
      <c r="BBO12">
        <v>44598</v>
      </c>
      <c r="BBP12">
        <v>5.78725E-2</v>
      </c>
      <c r="BBQ12">
        <v>44598</v>
      </c>
      <c r="BBR12">
        <v>0.24384500000000001</v>
      </c>
      <c r="BBS12">
        <v>44598</v>
      </c>
      <c r="BBT12">
        <v>0.1409705</v>
      </c>
      <c r="BBU12">
        <v>50972</v>
      </c>
      <c r="BBV12">
        <v>5.66978E-2</v>
      </c>
      <c r="BBW12">
        <v>50972</v>
      </c>
      <c r="BBX12">
        <v>4.1807299999999999E-2</v>
      </c>
      <c r="BBY12">
        <v>50972</v>
      </c>
      <c r="BBZ12">
        <v>0.1614023</v>
      </c>
      <c r="BCA12">
        <v>50972</v>
      </c>
      <c r="BCB12">
        <v>0.1906929</v>
      </c>
      <c r="BCC12">
        <v>50972</v>
      </c>
      <c r="BCD12">
        <v>5.5324499999999999E-2</v>
      </c>
      <c r="BCE12">
        <v>50972</v>
      </c>
      <c r="BCF12">
        <v>0.29300399999999999</v>
      </c>
      <c r="BCG12">
        <v>50972</v>
      </c>
      <c r="BCH12">
        <v>0.20107120000000001</v>
      </c>
      <c r="BCI12">
        <v>94430</v>
      </c>
      <c r="BCJ12">
        <v>4.6118800000000001E-2</v>
      </c>
      <c r="BCK12">
        <v>94430</v>
      </c>
      <c r="BCL12">
        <v>4.4350300000000002E-2</v>
      </c>
      <c r="BCM12">
        <v>94430</v>
      </c>
      <c r="BCN12">
        <v>0.1986339</v>
      </c>
      <c r="BCO12">
        <v>94430</v>
      </c>
      <c r="BCP12">
        <v>0.20985909999999999</v>
      </c>
      <c r="BCQ12">
        <v>94430</v>
      </c>
      <c r="BCR12">
        <v>7.0539000000000004E-2</v>
      </c>
      <c r="BCS12">
        <v>94430</v>
      </c>
      <c r="BCT12">
        <v>0.27715770000000001</v>
      </c>
      <c r="BCU12">
        <v>94430</v>
      </c>
      <c r="BCV12">
        <v>0.15334110000000001</v>
      </c>
      <c r="BCW12">
        <v>38123</v>
      </c>
      <c r="BCX12">
        <v>0.1109829</v>
      </c>
      <c r="BCY12">
        <v>38123</v>
      </c>
      <c r="BCZ12">
        <v>6.6285399999999994E-2</v>
      </c>
      <c r="BDA12">
        <v>38123</v>
      </c>
      <c r="BDB12">
        <v>0.33777509999999999</v>
      </c>
      <c r="BDC12">
        <v>38123</v>
      </c>
      <c r="BDD12">
        <v>0.2005613</v>
      </c>
      <c r="BDE12">
        <v>38123</v>
      </c>
      <c r="BDF12">
        <v>3.4021500000000003E-2</v>
      </c>
      <c r="BDG12">
        <v>38123</v>
      </c>
      <c r="BDH12">
        <v>0.15790989999999999</v>
      </c>
      <c r="BDI12">
        <v>38123</v>
      </c>
      <c r="BDJ12">
        <v>9.2463900000000002E-2</v>
      </c>
      <c r="BDK12">
        <v>174568</v>
      </c>
      <c r="BDL12">
        <v>5.7278500000000003E-2</v>
      </c>
      <c r="BDM12">
        <v>9999</v>
      </c>
      <c r="BDN12">
        <v>0.77437750000000005</v>
      </c>
      <c r="BDO12">
        <v>7743</v>
      </c>
      <c r="BDP12">
        <v>0.62701799999999996</v>
      </c>
      <c r="BDQ12">
        <v>7743</v>
      </c>
      <c r="BDR12">
        <v>0.37298209999999998</v>
      </c>
      <c r="BDS12">
        <v>9999</v>
      </c>
      <c r="BDT12">
        <v>0.22562260000000001</v>
      </c>
      <c r="BDU12">
        <v>2256</v>
      </c>
      <c r="BDV12">
        <v>0.78058510000000003</v>
      </c>
      <c r="BDW12">
        <v>2256</v>
      </c>
      <c r="BDX12">
        <v>0.2194149</v>
      </c>
      <c r="BDY12">
        <v>174568</v>
      </c>
      <c r="BDZ12">
        <v>0.94272149999999999</v>
      </c>
      <c r="BEA12">
        <v>164569</v>
      </c>
      <c r="BEB12">
        <v>0.55043779999999998</v>
      </c>
      <c r="BEC12">
        <v>90585</v>
      </c>
      <c r="BED12">
        <v>0.73406199999999999</v>
      </c>
      <c r="BEE12">
        <v>90585</v>
      </c>
      <c r="BEF12">
        <v>0.26593810000000001</v>
      </c>
      <c r="BEG12">
        <v>164569</v>
      </c>
      <c r="BEH12">
        <v>0.44956220000000002</v>
      </c>
      <c r="BEI12">
        <v>73984</v>
      </c>
      <c r="BEJ12">
        <v>0.75685279999999999</v>
      </c>
      <c r="BEK12">
        <v>73984</v>
      </c>
      <c r="BEL12">
        <v>0.24314720000000001</v>
      </c>
      <c r="BEM12">
        <v>357812</v>
      </c>
      <c r="BEN12">
        <v>0.55225930000000001</v>
      </c>
      <c r="BEO12">
        <v>197605</v>
      </c>
      <c r="BEP12">
        <v>0.92157080000000002</v>
      </c>
      <c r="BEQ12">
        <v>182107</v>
      </c>
      <c r="BER12">
        <v>0.1896138</v>
      </c>
      <c r="BES12">
        <v>182107</v>
      </c>
      <c r="BET12">
        <v>0.81038619999999995</v>
      </c>
      <c r="BEU12">
        <v>197605</v>
      </c>
      <c r="BEV12">
        <v>7.8429200000000004E-2</v>
      </c>
      <c r="BEW12">
        <v>357812</v>
      </c>
      <c r="BEX12">
        <v>0.44774069999999999</v>
      </c>
      <c r="BEY12">
        <v>160207</v>
      </c>
      <c r="BEZ12">
        <v>0.91924819999999996</v>
      </c>
      <c r="BFA12">
        <v>147270</v>
      </c>
      <c r="BFB12">
        <v>0.21404899999999999</v>
      </c>
      <c r="BFC12">
        <v>147270</v>
      </c>
      <c r="BFD12">
        <v>0.78595099999999996</v>
      </c>
      <c r="BFE12">
        <v>160207</v>
      </c>
      <c r="BFF12">
        <v>8.0751799999999999E-2</v>
      </c>
      <c r="BFG12">
        <v>357992</v>
      </c>
      <c r="BFH12">
        <v>0.28039730000000002</v>
      </c>
      <c r="BFI12">
        <v>100380</v>
      </c>
      <c r="BFJ12">
        <v>0.94612470000000004</v>
      </c>
      <c r="BFK12">
        <v>100380</v>
      </c>
      <c r="BFL12">
        <v>5.3875300000000001E-2</v>
      </c>
      <c r="BFM12">
        <v>5408</v>
      </c>
      <c r="BFN12">
        <v>0.17326179999999999</v>
      </c>
      <c r="BFO12">
        <v>5408</v>
      </c>
      <c r="BFP12">
        <v>0.82673819999999998</v>
      </c>
      <c r="BFQ12">
        <v>357992</v>
      </c>
      <c r="BFR12">
        <v>0.71960259999999998</v>
      </c>
      <c r="BFS12">
        <v>257612</v>
      </c>
      <c r="BFT12">
        <v>0.74019460000000004</v>
      </c>
      <c r="BFU12">
        <v>257612</v>
      </c>
      <c r="BFV12">
        <v>0.25980540000000002</v>
      </c>
      <c r="BFW12">
        <v>66929</v>
      </c>
      <c r="BFX12">
        <v>0.4165758</v>
      </c>
      <c r="BFY12">
        <v>66929</v>
      </c>
      <c r="BFZ12">
        <v>0.58342419999999995</v>
      </c>
      <c r="BGA12">
        <v>354461</v>
      </c>
      <c r="BGB12">
        <v>0.26898300000000003</v>
      </c>
      <c r="BGC12">
        <v>95344</v>
      </c>
      <c r="BGD12">
        <v>0.94584869999999999</v>
      </c>
      <c r="BGE12">
        <v>95344</v>
      </c>
      <c r="BGF12">
        <v>5.4151299999999999E-2</v>
      </c>
      <c r="BGG12">
        <v>5163</v>
      </c>
      <c r="BGH12">
        <v>0.21479760000000001</v>
      </c>
      <c r="BGI12">
        <v>5163</v>
      </c>
      <c r="BGJ12">
        <v>0.78520239999999997</v>
      </c>
      <c r="BGK12">
        <v>354461</v>
      </c>
      <c r="BGL12">
        <v>0.73101689999999997</v>
      </c>
      <c r="BGM12">
        <v>259117</v>
      </c>
      <c r="BGN12">
        <v>0.75871129999999998</v>
      </c>
      <c r="BGO12">
        <v>259117</v>
      </c>
      <c r="BGP12">
        <v>0.24128869999999999</v>
      </c>
      <c r="BGQ12">
        <v>62522</v>
      </c>
      <c r="BGR12">
        <v>0.44958569999999998</v>
      </c>
      <c r="BGS12">
        <v>62522</v>
      </c>
      <c r="BGT12">
        <v>0.55041430000000002</v>
      </c>
    </row>
    <row r="13" spans="1:1554" x14ac:dyDescent="0.25">
      <c r="A13" t="s">
        <v>133</v>
      </c>
      <c r="B13">
        <v>2009</v>
      </c>
      <c r="C13">
        <v>1</v>
      </c>
      <c r="D13" t="s">
        <v>544</v>
      </c>
      <c r="E13">
        <v>50475</v>
      </c>
      <c r="F13">
        <v>0.4457256</v>
      </c>
      <c r="G13">
        <v>22498</v>
      </c>
      <c r="H13">
        <v>0.12601119999999999</v>
      </c>
      <c r="I13">
        <v>22498</v>
      </c>
      <c r="J13">
        <v>1.84461E-2</v>
      </c>
      <c r="K13">
        <v>22498</v>
      </c>
      <c r="L13">
        <v>0.19712859999999999</v>
      </c>
      <c r="M13">
        <v>22498</v>
      </c>
      <c r="N13">
        <v>7.0984099999999994E-2</v>
      </c>
      <c r="O13">
        <v>22498</v>
      </c>
      <c r="P13">
        <v>1.73349E-2</v>
      </c>
      <c r="Q13">
        <v>22498</v>
      </c>
      <c r="R13">
        <v>3.3914100000000003E-2</v>
      </c>
      <c r="S13">
        <v>22498</v>
      </c>
      <c r="T13">
        <v>0.1254778</v>
      </c>
      <c r="U13">
        <v>22498</v>
      </c>
      <c r="V13">
        <v>9.5786300000000005E-2</v>
      </c>
      <c r="W13">
        <v>22498</v>
      </c>
      <c r="X13">
        <v>9.6808599999999995E-2</v>
      </c>
      <c r="Y13">
        <v>22498</v>
      </c>
      <c r="Z13">
        <v>0.11632149999999999</v>
      </c>
      <c r="AA13">
        <v>22498</v>
      </c>
      <c r="AB13">
        <v>5.7071700000000003E-2</v>
      </c>
      <c r="AC13">
        <v>22498</v>
      </c>
      <c r="AD13">
        <v>2.5202200000000001E-2</v>
      </c>
      <c r="AE13">
        <v>22498</v>
      </c>
      <c r="AF13">
        <v>1.95128E-2</v>
      </c>
      <c r="AG13">
        <v>50475</v>
      </c>
      <c r="AH13">
        <v>0.55427439999999994</v>
      </c>
      <c r="AI13">
        <v>27977</v>
      </c>
      <c r="AJ13">
        <v>9.17182E-2</v>
      </c>
      <c r="AK13">
        <v>27977</v>
      </c>
      <c r="AL13">
        <v>2.7915800000000001E-2</v>
      </c>
      <c r="AM13">
        <v>27977</v>
      </c>
      <c r="AN13">
        <v>0.1144869</v>
      </c>
      <c r="AO13">
        <v>27977</v>
      </c>
      <c r="AP13">
        <v>3.53862E-2</v>
      </c>
      <c r="AQ13">
        <v>27977</v>
      </c>
      <c r="AR13">
        <v>5.0219800000000002E-2</v>
      </c>
      <c r="AS13">
        <v>27977</v>
      </c>
      <c r="AT13">
        <v>2.54852E-2</v>
      </c>
      <c r="AU13">
        <v>27977</v>
      </c>
      <c r="AV13">
        <v>0.1214927</v>
      </c>
      <c r="AW13">
        <v>27977</v>
      </c>
      <c r="AX13">
        <v>0.1280337</v>
      </c>
      <c r="AY13">
        <v>27977</v>
      </c>
      <c r="AZ13">
        <v>0.151696</v>
      </c>
      <c r="BA13">
        <v>27977</v>
      </c>
      <c r="BB13">
        <v>6.9199700000000003E-2</v>
      </c>
      <c r="BC13">
        <v>27977</v>
      </c>
      <c r="BD13">
        <v>8.8822999999999999E-2</v>
      </c>
      <c r="BE13">
        <v>27977</v>
      </c>
      <c r="BF13">
        <v>4.6073599999999999E-2</v>
      </c>
      <c r="BG13">
        <v>27977</v>
      </c>
      <c r="BH13">
        <v>4.9469199999999998E-2</v>
      </c>
      <c r="BI13">
        <v>647567</v>
      </c>
      <c r="BJ13">
        <v>0.50518169999999996</v>
      </c>
      <c r="BK13">
        <v>327139</v>
      </c>
      <c r="BL13">
        <v>6.8004700000000001E-2</v>
      </c>
      <c r="BM13">
        <v>327139</v>
      </c>
      <c r="BN13">
        <v>1.12643E-2</v>
      </c>
      <c r="BO13">
        <v>327139</v>
      </c>
      <c r="BP13">
        <v>9.4910700000000001E-2</v>
      </c>
      <c r="BQ13">
        <v>327139</v>
      </c>
      <c r="BR13">
        <v>4.6671299999999999E-2</v>
      </c>
      <c r="BS13">
        <v>327139</v>
      </c>
      <c r="BT13">
        <v>1.5663099999999999E-2</v>
      </c>
      <c r="BU13">
        <v>327139</v>
      </c>
      <c r="BV13">
        <v>3.4331E-2</v>
      </c>
      <c r="BW13">
        <v>327139</v>
      </c>
      <c r="BX13">
        <v>9.7591499999999998E-2</v>
      </c>
      <c r="BY13">
        <v>327139</v>
      </c>
      <c r="BZ13">
        <v>0.1052916</v>
      </c>
      <c r="CA13">
        <v>327139</v>
      </c>
      <c r="CB13">
        <v>0.1520669</v>
      </c>
      <c r="CC13">
        <v>327139</v>
      </c>
      <c r="CD13">
        <v>0.16717969999999999</v>
      </c>
      <c r="CE13">
        <v>327139</v>
      </c>
      <c r="CF13">
        <v>0.1133127</v>
      </c>
      <c r="CG13">
        <v>327139</v>
      </c>
      <c r="CH13">
        <v>5.8715099999999999E-2</v>
      </c>
      <c r="CI13">
        <v>327139</v>
      </c>
      <c r="CJ13">
        <v>3.4997399999999998E-2</v>
      </c>
      <c r="CK13">
        <v>647567</v>
      </c>
      <c r="CL13">
        <v>0.49481829999999999</v>
      </c>
      <c r="CM13">
        <v>320428</v>
      </c>
      <c r="CN13">
        <v>6.9244899999999998E-2</v>
      </c>
      <c r="CO13">
        <v>320428</v>
      </c>
      <c r="CP13">
        <v>1.5853800000000001E-2</v>
      </c>
      <c r="CQ13">
        <v>320428</v>
      </c>
      <c r="CR13">
        <v>9.2566800000000005E-2</v>
      </c>
      <c r="CS13">
        <v>320428</v>
      </c>
      <c r="CT13">
        <v>4.5092800000000002E-2</v>
      </c>
      <c r="CU13">
        <v>320428</v>
      </c>
      <c r="CV13">
        <v>1.8181900000000001E-2</v>
      </c>
      <c r="CW13">
        <v>320428</v>
      </c>
      <c r="CX13">
        <v>2.5987099999999999E-2</v>
      </c>
      <c r="CY13">
        <v>320428</v>
      </c>
      <c r="CZ13">
        <v>8.5663500000000004E-2</v>
      </c>
      <c r="DA13">
        <v>320428</v>
      </c>
      <c r="DB13">
        <v>0.1021634</v>
      </c>
      <c r="DC13">
        <v>320428</v>
      </c>
      <c r="DD13">
        <v>0.14721870000000001</v>
      </c>
      <c r="DE13">
        <v>320428</v>
      </c>
      <c r="DF13">
        <v>0.1734742</v>
      </c>
      <c r="DG13">
        <v>320428</v>
      </c>
      <c r="DH13">
        <v>0.11387890000000001</v>
      </c>
      <c r="DI13">
        <v>320428</v>
      </c>
      <c r="DJ13">
        <v>5.7235899999999999E-2</v>
      </c>
      <c r="DK13">
        <v>320428</v>
      </c>
      <c r="DL13">
        <v>5.3437900000000003E-2</v>
      </c>
      <c r="DM13">
        <v>438217</v>
      </c>
      <c r="DN13">
        <v>5.5132500000000001E-2</v>
      </c>
      <c r="DO13">
        <v>24160</v>
      </c>
      <c r="DP13">
        <v>0.38245030000000002</v>
      </c>
      <c r="DQ13">
        <v>215849</v>
      </c>
      <c r="DR13">
        <v>4.2807699999999997E-2</v>
      </c>
      <c r="DS13">
        <v>9240</v>
      </c>
      <c r="DT13">
        <v>0.35119050000000002</v>
      </c>
      <c r="DU13">
        <v>25807</v>
      </c>
      <c r="DV13">
        <v>0.12574109999999999</v>
      </c>
      <c r="DW13">
        <v>9240</v>
      </c>
      <c r="DX13">
        <v>0.24805189999999999</v>
      </c>
      <c r="DY13">
        <v>43582</v>
      </c>
      <c r="DZ13">
        <v>5.2590499999999998E-2</v>
      </c>
      <c r="EA13">
        <v>9240</v>
      </c>
      <c r="EB13">
        <v>0.19837659999999999</v>
      </c>
      <c r="EC13">
        <v>54365</v>
      </c>
      <c r="ED13">
        <v>3.3716500000000003E-2</v>
      </c>
      <c r="EE13">
        <v>9240</v>
      </c>
      <c r="EF13">
        <v>0.20238100000000001</v>
      </c>
      <c r="EG13">
        <v>92095</v>
      </c>
      <c r="EH13">
        <v>2.03051E-2</v>
      </c>
      <c r="EI13">
        <v>24160</v>
      </c>
      <c r="EJ13">
        <v>0.61754969999999998</v>
      </c>
      <c r="EK13">
        <v>222368</v>
      </c>
      <c r="EL13">
        <v>6.7096000000000003E-2</v>
      </c>
      <c r="EM13">
        <v>14920</v>
      </c>
      <c r="EN13">
        <v>0.31561660000000002</v>
      </c>
      <c r="EO13">
        <v>23856</v>
      </c>
      <c r="EP13">
        <v>0.1973927</v>
      </c>
      <c r="EQ13">
        <v>14920</v>
      </c>
      <c r="ER13">
        <v>0.28867290000000001</v>
      </c>
      <c r="ES13">
        <v>49153</v>
      </c>
      <c r="ET13">
        <v>8.7624400000000005E-2</v>
      </c>
      <c r="EU13">
        <v>14920</v>
      </c>
      <c r="EV13">
        <v>0.22888739999999999</v>
      </c>
      <c r="EW13">
        <v>62143</v>
      </c>
      <c r="EX13">
        <v>5.49539E-2</v>
      </c>
      <c r="EY13">
        <v>14920</v>
      </c>
      <c r="EZ13">
        <v>0.1668231</v>
      </c>
      <c r="FA13">
        <v>87216</v>
      </c>
      <c r="FB13">
        <v>2.8538299999999999E-2</v>
      </c>
      <c r="FC13">
        <v>438217</v>
      </c>
      <c r="FD13">
        <v>0.94486749999999997</v>
      </c>
      <c r="FE13">
        <v>414057</v>
      </c>
      <c r="FF13">
        <v>0.49898680000000001</v>
      </c>
      <c r="FG13">
        <v>215849</v>
      </c>
      <c r="FH13">
        <v>0.9571923</v>
      </c>
      <c r="FI13">
        <v>206609</v>
      </c>
      <c r="FJ13">
        <v>0.1092014</v>
      </c>
      <c r="FK13">
        <v>25807</v>
      </c>
      <c r="FL13">
        <v>0.87425889999999995</v>
      </c>
      <c r="FM13">
        <v>206609</v>
      </c>
      <c r="FN13">
        <v>0.1998461</v>
      </c>
      <c r="FO13">
        <v>43582</v>
      </c>
      <c r="FP13">
        <v>0.94740950000000002</v>
      </c>
      <c r="FQ13">
        <v>206609</v>
      </c>
      <c r="FR13">
        <v>0.25425799999999998</v>
      </c>
      <c r="FS13">
        <v>54365</v>
      </c>
      <c r="FT13">
        <v>0.96628340000000001</v>
      </c>
      <c r="FU13">
        <v>206609</v>
      </c>
      <c r="FV13">
        <v>0.43669439999999998</v>
      </c>
      <c r="FW13">
        <v>92095</v>
      </c>
      <c r="FX13">
        <v>0.97969490000000004</v>
      </c>
      <c r="FY13">
        <v>414057</v>
      </c>
      <c r="FZ13">
        <v>0.50101320000000005</v>
      </c>
      <c r="GA13">
        <v>222368</v>
      </c>
      <c r="GB13">
        <v>0.93290399999999996</v>
      </c>
      <c r="GC13">
        <v>207448</v>
      </c>
      <c r="GD13">
        <v>9.2297799999999999E-2</v>
      </c>
      <c r="GE13">
        <v>23856</v>
      </c>
      <c r="GF13">
        <v>0.80260730000000002</v>
      </c>
      <c r="GG13">
        <v>207448</v>
      </c>
      <c r="GH13">
        <v>0.2161795</v>
      </c>
      <c r="GI13">
        <v>49153</v>
      </c>
      <c r="GJ13">
        <v>0.91237559999999995</v>
      </c>
      <c r="GK13">
        <v>207448</v>
      </c>
      <c r="GL13">
        <v>0.2830974</v>
      </c>
      <c r="GM13">
        <v>62143</v>
      </c>
      <c r="GN13">
        <v>0.9450461</v>
      </c>
      <c r="GO13">
        <v>207448</v>
      </c>
      <c r="GP13">
        <v>0.40842519999999999</v>
      </c>
      <c r="GQ13">
        <v>87216</v>
      </c>
      <c r="GR13">
        <v>0.97146169999999998</v>
      </c>
      <c r="GS13">
        <v>524848</v>
      </c>
      <c r="GT13">
        <v>6.0699500000000003E-2</v>
      </c>
      <c r="GU13">
        <v>31858</v>
      </c>
      <c r="GV13">
        <v>0.40259899999999998</v>
      </c>
      <c r="GW13">
        <v>12826</v>
      </c>
      <c r="GX13">
        <v>0.10728210000000001</v>
      </c>
      <c r="GY13">
        <v>12826</v>
      </c>
      <c r="GZ13">
        <v>0.43825039999999998</v>
      </c>
      <c r="HA13">
        <v>12826</v>
      </c>
      <c r="HB13">
        <v>0.45446750000000002</v>
      </c>
      <c r="HC13">
        <v>12826</v>
      </c>
      <c r="HD13">
        <v>0.56276320000000002</v>
      </c>
      <c r="HE13">
        <v>12826</v>
      </c>
      <c r="HF13">
        <v>0.43723689999999998</v>
      </c>
      <c r="HG13">
        <v>7218</v>
      </c>
      <c r="HH13">
        <v>0.74854529999999997</v>
      </c>
      <c r="HI13">
        <v>7218</v>
      </c>
      <c r="HJ13">
        <v>0.25145469999999998</v>
      </c>
      <c r="HK13">
        <v>31858</v>
      </c>
      <c r="HL13">
        <v>0.59740099999999996</v>
      </c>
      <c r="HM13">
        <v>19032</v>
      </c>
      <c r="HN13">
        <v>4.4188699999999997E-2</v>
      </c>
      <c r="HO13">
        <v>19032</v>
      </c>
      <c r="HP13">
        <v>0.37363390000000002</v>
      </c>
      <c r="HQ13">
        <v>19032</v>
      </c>
      <c r="HR13">
        <v>0.58217739999999996</v>
      </c>
      <c r="HS13">
        <v>19032</v>
      </c>
      <c r="HT13">
        <v>0.45933170000000001</v>
      </c>
      <c r="HU13">
        <v>19032</v>
      </c>
      <c r="HV13">
        <v>0.54066840000000005</v>
      </c>
      <c r="HW13">
        <v>8742</v>
      </c>
      <c r="HX13">
        <v>0.68188059999999995</v>
      </c>
      <c r="HY13">
        <v>8742</v>
      </c>
      <c r="HZ13">
        <v>0.3181194</v>
      </c>
      <c r="IA13">
        <v>524848</v>
      </c>
      <c r="IB13">
        <v>0.93930049999999998</v>
      </c>
      <c r="IC13">
        <v>492990</v>
      </c>
      <c r="ID13">
        <v>0.50663499999999995</v>
      </c>
      <c r="IE13">
        <v>249766</v>
      </c>
      <c r="IF13">
        <v>0.55705740000000004</v>
      </c>
      <c r="IG13">
        <v>249766</v>
      </c>
      <c r="IH13">
        <v>0.26182509999999998</v>
      </c>
      <c r="II13">
        <v>249766</v>
      </c>
      <c r="IJ13">
        <v>0.18111749999999999</v>
      </c>
      <c r="IK13">
        <v>247262</v>
      </c>
      <c r="IL13">
        <v>0.80037369999999997</v>
      </c>
      <c r="IM13">
        <v>247262</v>
      </c>
      <c r="IN13">
        <v>0.19962630000000001</v>
      </c>
      <c r="IO13">
        <v>197902</v>
      </c>
      <c r="IP13">
        <v>0.91082450000000004</v>
      </c>
      <c r="IQ13">
        <v>197902</v>
      </c>
      <c r="IR13">
        <v>8.9175400000000002E-2</v>
      </c>
      <c r="IS13">
        <v>492990</v>
      </c>
      <c r="IT13">
        <v>0.493365</v>
      </c>
      <c r="IU13">
        <v>243224</v>
      </c>
      <c r="IV13">
        <v>0.3806409</v>
      </c>
      <c r="IW13">
        <v>243224</v>
      </c>
      <c r="IX13">
        <v>0.29655789999999999</v>
      </c>
      <c r="IY13">
        <v>243224</v>
      </c>
      <c r="IZ13">
        <v>0.32280120000000001</v>
      </c>
      <c r="JA13">
        <v>242794</v>
      </c>
      <c r="JB13">
        <v>0.65161820000000004</v>
      </c>
      <c r="JC13">
        <v>242794</v>
      </c>
      <c r="JD13">
        <v>0.34838180000000002</v>
      </c>
      <c r="JE13">
        <v>158209</v>
      </c>
      <c r="JF13">
        <v>0.9314325</v>
      </c>
      <c r="JG13">
        <v>158209</v>
      </c>
      <c r="JH13">
        <v>6.8567500000000003E-2</v>
      </c>
      <c r="JI13">
        <v>172366</v>
      </c>
      <c r="JJ13">
        <v>7.9122300000000007E-2</v>
      </c>
      <c r="JK13">
        <v>13638</v>
      </c>
      <c r="JL13">
        <v>0.44214700000000001</v>
      </c>
      <c r="JM13">
        <v>6030</v>
      </c>
      <c r="JN13">
        <v>0.83681589999999995</v>
      </c>
      <c r="JO13">
        <v>6030</v>
      </c>
      <c r="JP13">
        <v>0.83681589999999995</v>
      </c>
      <c r="JQ13">
        <v>6030</v>
      </c>
      <c r="JR13">
        <v>0.83681589999999995</v>
      </c>
      <c r="JS13">
        <v>6030</v>
      </c>
      <c r="JT13">
        <v>0.83681589999999995</v>
      </c>
      <c r="JU13">
        <v>6030</v>
      </c>
      <c r="JV13">
        <v>0.1631841</v>
      </c>
      <c r="JW13">
        <v>13638</v>
      </c>
      <c r="JX13">
        <v>0.55785300000000004</v>
      </c>
      <c r="JY13">
        <v>7608</v>
      </c>
      <c r="JZ13">
        <v>0.15141959999999999</v>
      </c>
      <c r="KA13">
        <v>1152</v>
      </c>
      <c r="KB13">
        <v>0.84027779999999996</v>
      </c>
      <c r="KC13">
        <v>968</v>
      </c>
      <c r="KD13">
        <v>9.6074400000000004E-2</v>
      </c>
      <c r="KE13">
        <v>968</v>
      </c>
      <c r="KF13">
        <v>0.2716942</v>
      </c>
      <c r="KG13">
        <v>968</v>
      </c>
      <c r="KH13">
        <v>0.6322314</v>
      </c>
      <c r="KI13">
        <v>1152</v>
      </c>
      <c r="KJ13">
        <v>0.15972220000000001</v>
      </c>
      <c r="KK13">
        <v>7608</v>
      </c>
      <c r="KL13">
        <v>0.84858040000000001</v>
      </c>
      <c r="KM13">
        <v>6456</v>
      </c>
      <c r="KN13">
        <v>0.83705079999999998</v>
      </c>
      <c r="KO13">
        <v>5404</v>
      </c>
      <c r="KP13">
        <v>0.1387861</v>
      </c>
      <c r="KQ13">
        <v>5404</v>
      </c>
      <c r="KR13">
        <v>0.38619540000000002</v>
      </c>
      <c r="KS13">
        <v>5404</v>
      </c>
      <c r="KT13">
        <v>0.47501850000000001</v>
      </c>
      <c r="KU13">
        <v>6456</v>
      </c>
      <c r="KV13">
        <v>0.16294919999999999</v>
      </c>
      <c r="KW13">
        <v>172366</v>
      </c>
      <c r="KX13">
        <v>1.7259799999999999E-2</v>
      </c>
      <c r="KY13">
        <v>2975</v>
      </c>
      <c r="KZ13">
        <v>0.67798320000000001</v>
      </c>
      <c r="LA13">
        <v>2017</v>
      </c>
      <c r="LB13">
        <v>0.85820529999999995</v>
      </c>
      <c r="LC13">
        <v>2017</v>
      </c>
      <c r="LD13">
        <v>0.85820529999999995</v>
      </c>
      <c r="LE13">
        <v>2017</v>
      </c>
      <c r="LF13">
        <v>0.85820529999999995</v>
      </c>
      <c r="LG13">
        <v>2017</v>
      </c>
      <c r="LH13">
        <v>0.85820529999999995</v>
      </c>
      <c r="LI13">
        <v>2017</v>
      </c>
      <c r="LJ13">
        <v>0.1417947</v>
      </c>
      <c r="LK13">
        <v>2975</v>
      </c>
      <c r="LL13">
        <v>0.32201679999999999</v>
      </c>
      <c r="LM13">
        <v>958</v>
      </c>
      <c r="LN13">
        <v>0.3590814</v>
      </c>
      <c r="LO13">
        <v>344</v>
      </c>
      <c r="LP13">
        <v>1</v>
      </c>
      <c r="LQ13">
        <v>344</v>
      </c>
      <c r="LR13">
        <v>0.75872090000000003</v>
      </c>
      <c r="LS13">
        <v>344</v>
      </c>
      <c r="LT13">
        <v>0</v>
      </c>
      <c r="LU13">
        <v>344</v>
      </c>
      <c r="LV13">
        <v>0.2412791</v>
      </c>
      <c r="LW13">
        <v>344</v>
      </c>
      <c r="LX13">
        <v>0</v>
      </c>
      <c r="LY13">
        <v>958</v>
      </c>
      <c r="LZ13">
        <v>0.6409186</v>
      </c>
      <c r="MA13">
        <v>614</v>
      </c>
      <c r="MB13">
        <v>0.40390880000000001</v>
      </c>
      <c r="MC13">
        <v>248</v>
      </c>
      <c r="MD13">
        <v>0.21774189999999999</v>
      </c>
      <c r="ME13">
        <v>248</v>
      </c>
      <c r="MF13">
        <v>0</v>
      </c>
      <c r="MG13">
        <v>248</v>
      </c>
      <c r="MH13">
        <v>0.78225809999999996</v>
      </c>
      <c r="MI13">
        <v>614</v>
      </c>
      <c r="MJ13">
        <v>0.59609120000000004</v>
      </c>
      <c r="MK13">
        <v>172366</v>
      </c>
      <c r="ML13">
        <v>3.8952000000000001E-2</v>
      </c>
      <c r="MM13">
        <v>6714</v>
      </c>
      <c r="MN13">
        <v>0.74188259999999995</v>
      </c>
      <c r="MO13">
        <v>4981</v>
      </c>
      <c r="MP13">
        <v>0.77815699999999999</v>
      </c>
      <c r="MQ13">
        <v>4981</v>
      </c>
      <c r="MR13">
        <v>0.77815699999999999</v>
      </c>
      <c r="MS13">
        <v>4981</v>
      </c>
      <c r="MT13">
        <v>0.77815699999999999</v>
      </c>
      <c r="MU13">
        <v>4981</v>
      </c>
      <c r="MV13">
        <v>0.77815699999999999</v>
      </c>
      <c r="MW13">
        <v>4981</v>
      </c>
      <c r="MX13">
        <v>0.22184300000000001</v>
      </c>
      <c r="MY13">
        <v>6714</v>
      </c>
      <c r="MZ13">
        <v>0.2581174</v>
      </c>
      <c r="NA13">
        <v>1733</v>
      </c>
      <c r="NB13">
        <v>0.43162149999999999</v>
      </c>
      <c r="NC13">
        <v>748</v>
      </c>
      <c r="ND13">
        <v>0.53074869999999996</v>
      </c>
      <c r="NE13">
        <v>397</v>
      </c>
      <c r="NF13">
        <v>0.42821160000000003</v>
      </c>
      <c r="NG13">
        <v>397</v>
      </c>
      <c r="NH13">
        <v>0.17884130000000001</v>
      </c>
      <c r="NI13">
        <v>397</v>
      </c>
      <c r="NJ13">
        <v>0.39294709999999999</v>
      </c>
      <c r="NK13">
        <v>748</v>
      </c>
      <c r="NL13">
        <v>0.46925129999999998</v>
      </c>
      <c r="NM13">
        <v>1733</v>
      </c>
      <c r="NN13">
        <v>0.56837850000000001</v>
      </c>
      <c r="NO13">
        <v>985</v>
      </c>
      <c r="NP13">
        <v>0.66294410000000004</v>
      </c>
      <c r="NQ13">
        <v>653</v>
      </c>
      <c r="NR13">
        <v>0.14241960000000001</v>
      </c>
      <c r="NS13">
        <v>653</v>
      </c>
      <c r="NT13">
        <v>0.48238900000000001</v>
      </c>
      <c r="NU13">
        <v>653</v>
      </c>
      <c r="NV13">
        <v>0.37519140000000001</v>
      </c>
      <c r="NW13">
        <v>985</v>
      </c>
      <c r="NX13">
        <v>0.33705580000000002</v>
      </c>
      <c r="NY13">
        <v>172366</v>
      </c>
      <c r="NZ13">
        <v>0.86466589999999999</v>
      </c>
      <c r="OA13">
        <v>149039</v>
      </c>
      <c r="OB13">
        <v>0.85040159999999998</v>
      </c>
      <c r="OC13">
        <v>126743</v>
      </c>
      <c r="OD13">
        <v>0.50499039999999995</v>
      </c>
      <c r="OE13">
        <v>126743</v>
      </c>
      <c r="OF13">
        <v>0.50499039999999995</v>
      </c>
      <c r="OG13">
        <v>126743</v>
      </c>
      <c r="OH13">
        <v>0.50499039999999995</v>
      </c>
      <c r="OI13">
        <v>126743</v>
      </c>
      <c r="OJ13">
        <v>0.50499039999999995</v>
      </c>
      <c r="OK13">
        <v>126743</v>
      </c>
      <c r="OL13">
        <v>0.49500959999999999</v>
      </c>
      <c r="OM13">
        <v>149039</v>
      </c>
      <c r="ON13">
        <v>0.14959839999999999</v>
      </c>
      <c r="OO13">
        <v>22296</v>
      </c>
      <c r="OP13">
        <v>0.36688199999999999</v>
      </c>
      <c r="OQ13">
        <v>8180</v>
      </c>
      <c r="OR13">
        <v>0.52322740000000001</v>
      </c>
      <c r="OS13">
        <v>4280</v>
      </c>
      <c r="OT13">
        <v>0.31495329999999999</v>
      </c>
      <c r="OU13">
        <v>4280</v>
      </c>
      <c r="OV13">
        <v>0.1135514</v>
      </c>
      <c r="OW13">
        <v>4280</v>
      </c>
      <c r="OX13">
        <v>0.57149539999999999</v>
      </c>
      <c r="OY13">
        <v>8180</v>
      </c>
      <c r="OZ13">
        <v>0.47677259999999999</v>
      </c>
      <c r="PA13">
        <v>22296</v>
      </c>
      <c r="PB13">
        <v>0.63311799999999996</v>
      </c>
      <c r="PC13">
        <v>14116</v>
      </c>
      <c r="PD13">
        <v>0.57509209999999999</v>
      </c>
      <c r="PE13">
        <v>8118</v>
      </c>
      <c r="PF13">
        <v>0.14400099999999999</v>
      </c>
      <c r="PG13">
        <v>8118</v>
      </c>
      <c r="PH13">
        <v>7.9945799999999997E-2</v>
      </c>
      <c r="PI13">
        <v>8118</v>
      </c>
      <c r="PJ13">
        <v>0.7760532</v>
      </c>
      <c r="PK13">
        <v>14116</v>
      </c>
      <c r="PL13">
        <v>0.42490790000000001</v>
      </c>
      <c r="PM13">
        <v>712567</v>
      </c>
      <c r="PN13">
        <v>0.5021352</v>
      </c>
      <c r="PO13">
        <v>357805</v>
      </c>
      <c r="PP13">
        <v>7.2198499999999999E-2</v>
      </c>
      <c r="PQ13">
        <v>357805</v>
      </c>
      <c r="PR13">
        <v>7.8716099999999997E-2</v>
      </c>
      <c r="PS13">
        <v>357805</v>
      </c>
      <c r="PT13">
        <v>7.9998899999999998E-2</v>
      </c>
      <c r="PU13">
        <v>357805</v>
      </c>
      <c r="PV13">
        <v>4.9163699999999998E-2</v>
      </c>
      <c r="PW13">
        <v>357805</v>
      </c>
      <c r="PX13">
        <v>3.6751899999999997E-2</v>
      </c>
      <c r="PY13">
        <v>357805</v>
      </c>
      <c r="PZ13">
        <v>1.6894699999999999E-2</v>
      </c>
      <c r="QA13">
        <v>357805</v>
      </c>
      <c r="QB13">
        <v>1.43179E-2</v>
      </c>
      <c r="QC13">
        <v>357805</v>
      </c>
      <c r="QD13">
        <v>4.0603100000000003E-2</v>
      </c>
      <c r="QE13">
        <v>357805</v>
      </c>
      <c r="QF13">
        <v>5.0709200000000003E-2</v>
      </c>
      <c r="QG13">
        <v>357805</v>
      </c>
      <c r="QH13">
        <v>5.4272599999999997E-2</v>
      </c>
      <c r="QI13">
        <v>357805</v>
      </c>
      <c r="QJ13">
        <v>7.4767E-2</v>
      </c>
      <c r="QK13">
        <v>357805</v>
      </c>
      <c r="QL13">
        <v>7.1729000000000001E-2</v>
      </c>
      <c r="QM13">
        <v>357805</v>
      </c>
      <c r="QN13">
        <v>8.3715999999999999E-2</v>
      </c>
      <c r="QO13">
        <v>357805</v>
      </c>
      <c r="QP13">
        <v>7.6921799999999999E-2</v>
      </c>
      <c r="QQ13">
        <v>357805</v>
      </c>
      <c r="QR13">
        <v>5.9370300000000001E-2</v>
      </c>
      <c r="QS13">
        <v>357805</v>
      </c>
      <c r="QT13">
        <v>2.2327799999999998E-2</v>
      </c>
      <c r="QU13">
        <v>357805</v>
      </c>
      <c r="QV13">
        <v>2.6743599999999999E-2</v>
      </c>
      <c r="QW13">
        <v>357805</v>
      </c>
      <c r="QX13">
        <v>1.64587E-2</v>
      </c>
      <c r="QY13">
        <v>357805</v>
      </c>
      <c r="QZ13">
        <v>1.6207200000000001E-2</v>
      </c>
      <c r="RA13">
        <v>357805</v>
      </c>
      <c r="RB13">
        <v>2.31104E-2</v>
      </c>
      <c r="RC13">
        <v>357805</v>
      </c>
      <c r="RD13">
        <v>1.6198799999999999E-2</v>
      </c>
      <c r="RE13">
        <v>357805</v>
      </c>
      <c r="RF13">
        <v>1.0796399999999999E-2</v>
      </c>
      <c r="RG13">
        <v>357805</v>
      </c>
      <c r="RH13">
        <v>8.0266999999999995E-3</v>
      </c>
      <c r="RI13">
        <v>712567</v>
      </c>
      <c r="RJ13">
        <v>0.4978648</v>
      </c>
      <c r="RK13">
        <v>354762</v>
      </c>
      <c r="RL13">
        <v>6.9776400000000002E-2</v>
      </c>
      <c r="RM13">
        <v>354762</v>
      </c>
      <c r="RN13">
        <v>7.9036099999999998E-2</v>
      </c>
      <c r="RO13">
        <v>354762</v>
      </c>
      <c r="RP13">
        <v>7.4604900000000002E-2</v>
      </c>
      <c r="RQ13">
        <v>354762</v>
      </c>
      <c r="RR13">
        <v>4.6281700000000002E-2</v>
      </c>
      <c r="RS13">
        <v>354762</v>
      </c>
      <c r="RT13">
        <v>2.94366E-2</v>
      </c>
      <c r="RU13">
        <v>354762</v>
      </c>
      <c r="RV13">
        <v>1.6540699999999998E-2</v>
      </c>
      <c r="RW13">
        <v>354762</v>
      </c>
      <c r="RX13">
        <v>9.6713000000000007E-3</v>
      </c>
      <c r="RY13">
        <v>354762</v>
      </c>
      <c r="RZ13">
        <v>3.6903600000000002E-2</v>
      </c>
      <c r="SA13">
        <v>354762</v>
      </c>
      <c r="SB13">
        <v>5.1234300000000003E-2</v>
      </c>
      <c r="SC13">
        <v>354762</v>
      </c>
      <c r="SD13">
        <v>5.2545099999999997E-2</v>
      </c>
      <c r="SE13">
        <v>354762</v>
      </c>
      <c r="SF13">
        <v>6.8096400000000001E-2</v>
      </c>
      <c r="SG13">
        <v>354762</v>
      </c>
      <c r="SH13">
        <v>7.8734499999999999E-2</v>
      </c>
      <c r="SI13">
        <v>354762</v>
      </c>
      <c r="SJ13">
        <v>8.5688399999999998E-2</v>
      </c>
      <c r="SK13">
        <v>354762</v>
      </c>
      <c r="SL13">
        <v>7.80777E-2</v>
      </c>
      <c r="SM13">
        <v>354762</v>
      </c>
      <c r="SN13">
        <v>6.4034499999999994E-2</v>
      </c>
      <c r="SO13">
        <v>354762</v>
      </c>
      <c r="SP13">
        <v>1.9627200000000001E-2</v>
      </c>
      <c r="SQ13">
        <v>354762</v>
      </c>
      <c r="SR13">
        <v>2.66348E-2</v>
      </c>
      <c r="SS13">
        <v>354762</v>
      </c>
      <c r="ST13">
        <v>1.4189800000000001E-2</v>
      </c>
      <c r="SU13">
        <v>354762</v>
      </c>
      <c r="SV13">
        <v>1.6551900000000001E-2</v>
      </c>
      <c r="SW13">
        <v>354762</v>
      </c>
      <c r="SX13">
        <v>2.59723E-2</v>
      </c>
      <c r="SY13">
        <v>354762</v>
      </c>
      <c r="SZ13">
        <v>1.9610300000000001E-2</v>
      </c>
      <c r="TA13">
        <v>354762</v>
      </c>
      <c r="TB13">
        <v>2.02671E-2</v>
      </c>
      <c r="TC13">
        <v>354762</v>
      </c>
      <c r="TD13">
        <v>1.64843E-2</v>
      </c>
      <c r="TE13">
        <v>548490</v>
      </c>
      <c r="TF13">
        <v>0.5005579</v>
      </c>
      <c r="TG13">
        <v>45843</v>
      </c>
      <c r="TH13">
        <v>0.49407760000000001</v>
      </c>
      <c r="TI13"/>
      <c r="TJ13"/>
      <c r="TK13">
        <v>42315</v>
      </c>
      <c r="TL13">
        <v>0.49292209999999997</v>
      </c>
      <c r="TM13"/>
      <c r="TN13"/>
      <c r="TO13">
        <v>58733</v>
      </c>
      <c r="TP13">
        <v>0.55142769999999997</v>
      </c>
      <c r="TQ13">
        <v>16323</v>
      </c>
      <c r="TR13">
        <v>0.43723580000000001</v>
      </c>
      <c r="TS13">
        <v>472062</v>
      </c>
      <c r="TT13">
        <v>0.4961467</v>
      </c>
      <c r="TU13">
        <v>139535</v>
      </c>
      <c r="TV13">
        <v>0.53281970000000001</v>
      </c>
      <c r="TW13">
        <v>548490</v>
      </c>
      <c r="TX13">
        <v>0.4994421</v>
      </c>
      <c r="TY13">
        <v>45843</v>
      </c>
      <c r="TZ13">
        <v>0.50592239999999999</v>
      </c>
      <c r="UA13"/>
      <c r="UB13"/>
      <c r="UC13">
        <v>42315</v>
      </c>
      <c r="UD13">
        <v>0.50707789999999997</v>
      </c>
      <c r="UE13"/>
      <c r="UF13"/>
      <c r="UG13">
        <v>58733</v>
      </c>
      <c r="UH13">
        <v>0.44857239999999998</v>
      </c>
      <c r="UI13">
        <v>16323</v>
      </c>
      <c r="UJ13">
        <v>0.56276420000000005</v>
      </c>
      <c r="UK13">
        <v>472062</v>
      </c>
      <c r="UL13">
        <v>0.50385329999999995</v>
      </c>
      <c r="UM13">
        <v>139535</v>
      </c>
      <c r="UN13">
        <v>0.46718029999999999</v>
      </c>
      <c r="UO13">
        <v>168001</v>
      </c>
      <c r="UP13">
        <v>168001</v>
      </c>
      <c r="UQ13">
        <v>168001</v>
      </c>
      <c r="UR13">
        <v>138632</v>
      </c>
      <c r="US13">
        <v>138632</v>
      </c>
      <c r="UT13">
        <v>138632</v>
      </c>
      <c r="UU13">
        <v>2.01963E-2</v>
      </c>
      <c r="UV13">
        <v>0.90474460000000001</v>
      </c>
      <c r="UW13">
        <v>7.5059100000000004E-2</v>
      </c>
      <c r="UX13">
        <v>5.2729999999999999E-3</v>
      </c>
      <c r="UY13">
        <v>0.92167030000000005</v>
      </c>
      <c r="UZ13">
        <v>7.3056700000000002E-2</v>
      </c>
      <c r="VA13">
        <v>11874</v>
      </c>
      <c r="VB13">
        <v>8.2533300000000004E-2</v>
      </c>
      <c r="VC13">
        <v>11874</v>
      </c>
      <c r="VD13">
        <v>0.79332999999999998</v>
      </c>
      <c r="VE13">
        <v>11874</v>
      </c>
      <c r="VF13">
        <v>0.12413680000000001</v>
      </c>
      <c r="VG13">
        <v>15997</v>
      </c>
      <c r="VH13">
        <v>5.3697599999999998E-2</v>
      </c>
      <c r="VI13">
        <v>15997</v>
      </c>
      <c r="VJ13">
        <v>0.87591419999999998</v>
      </c>
      <c r="VK13">
        <v>15997</v>
      </c>
      <c r="VL13">
        <v>7.0388199999999998E-2</v>
      </c>
      <c r="VM13">
        <v>19022</v>
      </c>
      <c r="VN13">
        <v>3.4854400000000001E-2</v>
      </c>
      <c r="VO13">
        <v>19022</v>
      </c>
      <c r="VP13">
        <v>0.9032173</v>
      </c>
      <c r="VQ13">
        <v>19022</v>
      </c>
      <c r="VR13">
        <v>6.1928299999999999E-2</v>
      </c>
      <c r="VS13">
        <v>49850</v>
      </c>
      <c r="VT13">
        <v>1.44834E-2</v>
      </c>
      <c r="VU13">
        <v>49850</v>
      </c>
      <c r="VV13">
        <v>0.91795380000000004</v>
      </c>
      <c r="VW13">
        <v>49850</v>
      </c>
      <c r="VX13">
        <v>6.7562700000000003E-2</v>
      </c>
      <c r="VY13">
        <v>53081</v>
      </c>
      <c r="VZ13">
        <v>2.2607E-3</v>
      </c>
      <c r="WA13">
        <v>53081</v>
      </c>
      <c r="WB13">
        <v>0.92038580000000003</v>
      </c>
      <c r="WC13">
        <v>53081</v>
      </c>
      <c r="WD13">
        <v>7.7353500000000006E-2</v>
      </c>
      <c r="WE13">
        <v>18177</v>
      </c>
      <c r="WF13">
        <v>2.6957000000000001E-3</v>
      </c>
      <c r="WG13">
        <v>18177</v>
      </c>
      <c r="WH13">
        <v>0.92259449999999998</v>
      </c>
      <c r="WI13">
        <v>18177</v>
      </c>
      <c r="WJ13">
        <v>7.4709800000000007E-2</v>
      </c>
      <c r="WK13">
        <v>9850</v>
      </c>
      <c r="WL13">
        <v>9.1371000000000004E-3</v>
      </c>
      <c r="WM13">
        <v>9850</v>
      </c>
      <c r="WN13">
        <v>0.95157360000000002</v>
      </c>
      <c r="WO13">
        <v>9850</v>
      </c>
      <c r="WP13">
        <v>3.9289299999999999E-2</v>
      </c>
      <c r="WQ13">
        <v>14956</v>
      </c>
      <c r="WR13">
        <v>1.5913299999999998E-2</v>
      </c>
      <c r="WS13">
        <v>14956</v>
      </c>
      <c r="WT13">
        <v>0.91702320000000004</v>
      </c>
      <c r="WU13">
        <v>14956</v>
      </c>
      <c r="WV13">
        <v>6.7063399999999995E-2</v>
      </c>
      <c r="WW13">
        <v>14134</v>
      </c>
      <c r="WX13">
        <v>1.24522E-2</v>
      </c>
      <c r="WY13">
        <v>14134</v>
      </c>
      <c r="WZ13">
        <v>0.92556950000000004</v>
      </c>
      <c r="XA13">
        <v>14134</v>
      </c>
      <c r="XB13">
        <v>6.1978199999999997E-2</v>
      </c>
      <c r="XC13">
        <v>36822</v>
      </c>
      <c r="XD13">
        <v>1.7109E-3</v>
      </c>
      <c r="XE13">
        <v>36822</v>
      </c>
      <c r="XF13">
        <v>0.91540379999999999</v>
      </c>
      <c r="XG13">
        <v>36822</v>
      </c>
      <c r="XH13">
        <v>8.2885200000000006E-2</v>
      </c>
      <c r="XI13">
        <v>46611</v>
      </c>
      <c r="XJ13">
        <v>3.5184999999999999E-3</v>
      </c>
      <c r="XK13">
        <v>46611</v>
      </c>
      <c r="XL13">
        <v>0.92383769999999998</v>
      </c>
      <c r="XM13">
        <v>46611</v>
      </c>
      <c r="XN13">
        <v>7.2643799999999994E-2</v>
      </c>
      <c r="XO13">
        <v>16259</v>
      </c>
      <c r="XP13">
        <v>0</v>
      </c>
      <c r="XQ13">
        <v>16259</v>
      </c>
      <c r="XR13">
        <v>0.9124177</v>
      </c>
      <c r="XS13">
        <v>16259</v>
      </c>
      <c r="XT13">
        <v>8.7582300000000002E-2</v>
      </c>
      <c r="XU13">
        <v>465287</v>
      </c>
      <c r="XV13">
        <v>0.50975199999999998</v>
      </c>
      <c r="XW13">
        <v>237181</v>
      </c>
      <c r="XX13">
        <v>0.86703819999999998</v>
      </c>
      <c r="XY13">
        <v>237181</v>
      </c>
      <c r="XZ13">
        <v>0.13296179999999999</v>
      </c>
      <c r="YA13">
        <v>205645</v>
      </c>
      <c r="YB13">
        <v>0.82791700000000001</v>
      </c>
      <c r="YC13">
        <v>170257</v>
      </c>
      <c r="YD13">
        <v>0.81783419999999996</v>
      </c>
      <c r="YE13">
        <v>170257</v>
      </c>
      <c r="YF13">
        <v>2.4668599999999999E-2</v>
      </c>
      <c r="YG13">
        <v>170257</v>
      </c>
      <c r="YH13">
        <v>5.0306299999999998E-2</v>
      </c>
      <c r="YI13">
        <v>170257</v>
      </c>
      <c r="YJ13">
        <v>5.9122399999999999E-2</v>
      </c>
      <c r="YK13">
        <v>170257</v>
      </c>
      <c r="YL13">
        <v>2.19022E-2</v>
      </c>
      <c r="YM13">
        <v>170257</v>
      </c>
      <c r="YN13">
        <v>2.61663E-2</v>
      </c>
      <c r="YO13">
        <v>205645</v>
      </c>
      <c r="YP13">
        <v>0.133711</v>
      </c>
      <c r="YQ13">
        <v>27497</v>
      </c>
      <c r="YR13">
        <v>0.42604649999999999</v>
      </c>
      <c r="YS13">
        <v>27497</v>
      </c>
      <c r="YT13">
        <v>2.1565999999999998E-2</v>
      </c>
      <c r="YU13">
        <v>27497</v>
      </c>
      <c r="YV13">
        <v>9.4846700000000006E-2</v>
      </c>
      <c r="YW13">
        <v>27497</v>
      </c>
      <c r="YX13">
        <v>0.11619450000000001</v>
      </c>
      <c r="YY13">
        <v>27497</v>
      </c>
      <c r="YZ13">
        <v>0.12543190000000001</v>
      </c>
      <c r="ZA13">
        <v>27497</v>
      </c>
      <c r="ZB13">
        <v>0.21591450000000001</v>
      </c>
      <c r="ZC13">
        <v>205645</v>
      </c>
      <c r="ZD13">
        <v>3.8372000000000003E-2</v>
      </c>
      <c r="ZE13">
        <v>7891</v>
      </c>
      <c r="ZF13">
        <v>0.2272209</v>
      </c>
      <c r="ZG13">
        <v>7891</v>
      </c>
      <c r="ZH13">
        <v>2.1797E-2</v>
      </c>
      <c r="ZI13">
        <v>7891</v>
      </c>
      <c r="ZJ13">
        <v>8.0217999999999998E-2</v>
      </c>
      <c r="ZK13">
        <v>7891</v>
      </c>
      <c r="ZL13">
        <v>8.8455199999999998E-2</v>
      </c>
      <c r="ZM13">
        <v>7891</v>
      </c>
      <c r="ZN13">
        <v>0.1501711</v>
      </c>
      <c r="ZO13">
        <v>7891</v>
      </c>
      <c r="ZP13">
        <v>0.43213790000000002</v>
      </c>
      <c r="ZQ13">
        <v>465287</v>
      </c>
      <c r="ZR13">
        <v>0.49024800000000002</v>
      </c>
      <c r="ZS13">
        <v>228106</v>
      </c>
      <c r="ZT13">
        <v>0.73408410000000002</v>
      </c>
      <c r="ZU13">
        <v>228106</v>
      </c>
      <c r="ZV13">
        <v>0.26591579999999998</v>
      </c>
      <c r="ZW13">
        <v>167449</v>
      </c>
      <c r="ZX13">
        <v>0.66659100000000004</v>
      </c>
      <c r="ZY13">
        <v>111620</v>
      </c>
      <c r="ZZ13">
        <v>0.81709370000000003</v>
      </c>
      <c r="AAA13">
        <v>111620</v>
      </c>
      <c r="AAB13">
        <v>1.222E-2</v>
      </c>
      <c r="AAC13">
        <v>111620</v>
      </c>
      <c r="AAD13">
        <v>5.0931700000000003E-2</v>
      </c>
      <c r="AAE13">
        <v>111620</v>
      </c>
      <c r="AAF13">
        <v>5.0922799999999997E-2</v>
      </c>
      <c r="AAG13">
        <v>111620</v>
      </c>
      <c r="AAH13">
        <v>4.18742E-2</v>
      </c>
      <c r="AAI13">
        <v>111620</v>
      </c>
      <c r="AAJ13">
        <v>2.6957499999999999E-2</v>
      </c>
      <c r="AAK13">
        <v>167449</v>
      </c>
      <c r="AAL13">
        <v>0.26411030000000002</v>
      </c>
      <c r="AAM13">
        <v>44225</v>
      </c>
      <c r="AAN13">
        <v>0.50772189999999995</v>
      </c>
      <c r="AAO13">
        <v>44225</v>
      </c>
      <c r="AAP13">
        <v>2.0780099999999999E-2</v>
      </c>
      <c r="AAQ13">
        <v>44225</v>
      </c>
      <c r="AAR13">
        <v>0.13058220000000001</v>
      </c>
      <c r="AAS13">
        <v>44225</v>
      </c>
      <c r="AAT13">
        <v>9.9491200000000002E-2</v>
      </c>
      <c r="AAU13">
        <v>44225</v>
      </c>
      <c r="AAV13">
        <v>9.4516699999999995E-2</v>
      </c>
      <c r="AAW13">
        <v>44225</v>
      </c>
      <c r="AAX13">
        <v>0.14690790000000001</v>
      </c>
      <c r="AAY13">
        <v>167449</v>
      </c>
      <c r="AAZ13">
        <v>6.9298700000000005E-2</v>
      </c>
      <c r="ABA13">
        <v>11604</v>
      </c>
      <c r="ABB13">
        <v>0.21535679999999999</v>
      </c>
      <c r="ABC13">
        <v>11604</v>
      </c>
      <c r="ABD13">
        <v>2.6887299999999999E-2</v>
      </c>
      <c r="ABE13">
        <v>11604</v>
      </c>
      <c r="ABF13">
        <v>8.8073100000000001E-2</v>
      </c>
      <c r="ABG13">
        <v>11604</v>
      </c>
      <c r="ABH13">
        <v>0.15218889999999999</v>
      </c>
      <c r="ABI13">
        <v>11604</v>
      </c>
      <c r="ABJ13">
        <v>0.1666667</v>
      </c>
      <c r="ABK13">
        <v>11604</v>
      </c>
      <c r="ABL13">
        <v>0.35082730000000001</v>
      </c>
      <c r="ABM13">
        <v>233162</v>
      </c>
      <c r="ABN13">
        <v>0.73925419999999997</v>
      </c>
      <c r="ABO13">
        <v>172366</v>
      </c>
      <c r="ABP13">
        <v>0.81089659999999997</v>
      </c>
      <c r="ABQ13">
        <v>172366</v>
      </c>
      <c r="ABR13">
        <v>0.1891034</v>
      </c>
      <c r="ABS13">
        <v>32595</v>
      </c>
      <c r="ABT13">
        <v>0.31980370000000002</v>
      </c>
      <c r="ABU13">
        <v>32595</v>
      </c>
      <c r="ABV13">
        <v>0.68019629999999998</v>
      </c>
      <c r="ABW13">
        <v>233162</v>
      </c>
      <c r="ABX13">
        <v>0.26074570000000002</v>
      </c>
      <c r="ABY13">
        <v>60796</v>
      </c>
      <c r="ABZ13">
        <v>0.85329630000000001</v>
      </c>
      <c r="ACA13">
        <v>60796</v>
      </c>
      <c r="ACB13">
        <v>0.14670369999999999</v>
      </c>
      <c r="ACC13">
        <v>550685</v>
      </c>
      <c r="ACD13">
        <v>0.4997104</v>
      </c>
      <c r="ACE13">
        <v>275183</v>
      </c>
      <c r="ACF13">
        <v>0.3278219</v>
      </c>
      <c r="ACG13">
        <v>90211</v>
      </c>
      <c r="ACH13">
        <v>0.19499839999999999</v>
      </c>
      <c r="ACI13">
        <v>90211</v>
      </c>
      <c r="ACJ13">
        <v>0.143375</v>
      </c>
      <c r="ACK13">
        <v>90211</v>
      </c>
      <c r="ACL13">
        <v>0.25919229999999999</v>
      </c>
      <c r="ACM13">
        <v>90211</v>
      </c>
      <c r="ACN13">
        <v>0.12590480000000001</v>
      </c>
      <c r="ACO13">
        <v>90211</v>
      </c>
      <c r="ACP13">
        <v>6.8262199999999995E-2</v>
      </c>
      <c r="ACQ13">
        <v>90211</v>
      </c>
      <c r="ACR13">
        <v>5.5503200000000003E-2</v>
      </c>
      <c r="ACS13">
        <v>90211</v>
      </c>
      <c r="ACT13">
        <v>3.9662599999999999E-2</v>
      </c>
      <c r="ACU13">
        <v>90211</v>
      </c>
      <c r="ACV13">
        <v>4.3675400000000003E-2</v>
      </c>
      <c r="ACW13">
        <v>90211</v>
      </c>
      <c r="ACX13">
        <v>2.8588499999999999E-2</v>
      </c>
      <c r="ACY13">
        <v>90211</v>
      </c>
      <c r="ACZ13">
        <v>2.4043599999999998E-2</v>
      </c>
      <c r="ADA13">
        <v>90211</v>
      </c>
      <c r="ADB13">
        <v>6.8174000000000004E-3</v>
      </c>
      <c r="ADC13">
        <v>90211</v>
      </c>
      <c r="ADD13">
        <v>4.1679999999999998E-3</v>
      </c>
      <c r="ADE13">
        <v>90211</v>
      </c>
      <c r="ADF13">
        <v>3.7245999999999998E-3</v>
      </c>
      <c r="ADG13">
        <v>90211</v>
      </c>
      <c r="ADH13">
        <v>2.0839999999999999E-3</v>
      </c>
      <c r="ADI13">
        <v>275183</v>
      </c>
      <c r="ADJ13">
        <v>0.56749870000000002</v>
      </c>
      <c r="ADK13">
        <v>156166</v>
      </c>
      <c r="ADL13">
        <v>0.93772650000000002</v>
      </c>
      <c r="ADM13">
        <v>146441</v>
      </c>
      <c r="ADN13">
        <v>0</v>
      </c>
      <c r="ADO13">
        <v>146441</v>
      </c>
      <c r="ADP13">
        <v>3.5510000000000001E-4</v>
      </c>
      <c r="ADQ13">
        <v>146441</v>
      </c>
      <c r="ADR13">
        <v>1.1561E-2</v>
      </c>
      <c r="ADS13">
        <v>146441</v>
      </c>
      <c r="ADT13">
        <v>3.7332400000000002E-2</v>
      </c>
      <c r="ADU13">
        <v>146441</v>
      </c>
      <c r="ADV13">
        <v>7.5976000000000002E-2</v>
      </c>
      <c r="ADW13">
        <v>146441</v>
      </c>
      <c r="ADX13">
        <v>0.1249923</v>
      </c>
      <c r="ADY13">
        <v>146441</v>
      </c>
      <c r="ADZ13">
        <v>0.12640589999999999</v>
      </c>
      <c r="AEA13">
        <v>146441</v>
      </c>
      <c r="AEB13">
        <v>0.14064370000000001</v>
      </c>
      <c r="AEC13">
        <v>146441</v>
      </c>
      <c r="AED13">
        <v>0.13574069999999999</v>
      </c>
      <c r="AEE13">
        <v>146441</v>
      </c>
      <c r="AEF13">
        <v>0.1048409</v>
      </c>
      <c r="AEG13">
        <v>146441</v>
      </c>
      <c r="AEH13">
        <v>8.9182700000000004E-2</v>
      </c>
      <c r="AEI13">
        <v>146441</v>
      </c>
      <c r="AEJ13">
        <v>9.8988699999999999E-2</v>
      </c>
      <c r="AEK13">
        <v>146441</v>
      </c>
      <c r="AEL13">
        <v>4.5636099999999999E-2</v>
      </c>
      <c r="AEM13">
        <v>146441</v>
      </c>
      <c r="AEN13">
        <v>8.3447E-3</v>
      </c>
      <c r="AEO13">
        <v>156166</v>
      </c>
      <c r="AEP13">
        <v>6.2273500000000002E-2</v>
      </c>
      <c r="AEQ13">
        <v>9725</v>
      </c>
      <c r="AER13">
        <v>0.33573259999999999</v>
      </c>
      <c r="AES13">
        <v>3265</v>
      </c>
      <c r="AET13">
        <v>0</v>
      </c>
      <c r="AEU13">
        <v>3265</v>
      </c>
      <c r="AEV13">
        <v>0</v>
      </c>
      <c r="AEW13">
        <v>3265</v>
      </c>
      <c r="AEX13">
        <v>6.0030600000000003E-2</v>
      </c>
      <c r="AEY13">
        <v>3265</v>
      </c>
      <c r="AEZ13">
        <v>5.3598800000000002E-2</v>
      </c>
      <c r="AFA13">
        <v>3265</v>
      </c>
      <c r="AFB13">
        <v>0.1558959</v>
      </c>
      <c r="AFC13">
        <v>3265</v>
      </c>
      <c r="AFD13">
        <v>0.16630929999999999</v>
      </c>
      <c r="AFE13">
        <v>3265</v>
      </c>
      <c r="AFF13">
        <v>0.1255743</v>
      </c>
      <c r="AFG13">
        <v>3265</v>
      </c>
      <c r="AFH13">
        <v>6.5849900000000003E-2</v>
      </c>
      <c r="AFI13">
        <v>3265</v>
      </c>
      <c r="AFJ13">
        <v>0.16202140000000001</v>
      </c>
      <c r="AFK13">
        <v>3265</v>
      </c>
      <c r="AFL13">
        <v>0.12343030000000001</v>
      </c>
      <c r="AFM13">
        <v>3265</v>
      </c>
      <c r="AFN13">
        <v>7.35069E-2</v>
      </c>
      <c r="AFO13">
        <v>3265</v>
      </c>
      <c r="AFP13">
        <v>0</v>
      </c>
      <c r="AFQ13">
        <v>3265</v>
      </c>
      <c r="AFR13">
        <v>1.37825E-2</v>
      </c>
      <c r="AFS13">
        <v>3265</v>
      </c>
      <c r="AFT13">
        <v>0</v>
      </c>
      <c r="AFU13">
        <v>9725</v>
      </c>
      <c r="AFV13">
        <v>0.66426739999999995</v>
      </c>
      <c r="AFW13">
        <v>6460</v>
      </c>
      <c r="AFX13">
        <v>0</v>
      </c>
      <c r="AFY13">
        <v>6460</v>
      </c>
      <c r="AFZ13">
        <v>2.5387E-2</v>
      </c>
      <c r="AGA13">
        <v>6460</v>
      </c>
      <c r="AGB13">
        <v>6.5789500000000001E-2</v>
      </c>
      <c r="AGC13">
        <v>6460</v>
      </c>
      <c r="AGD13">
        <v>9.5510800000000007E-2</v>
      </c>
      <c r="AGE13">
        <v>6460</v>
      </c>
      <c r="AGF13">
        <v>0.13142409999999999</v>
      </c>
      <c r="AGG13">
        <v>6460</v>
      </c>
      <c r="AGH13">
        <v>0.12848300000000001</v>
      </c>
      <c r="AGI13">
        <v>6460</v>
      </c>
      <c r="AGJ13">
        <v>0.15077399999999999</v>
      </c>
      <c r="AGK13">
        <v>6460</v>
      </c>
      <c r="AGL13">
        <v>9.1331300000000004E-2</v>
      </c>
      <c r="AGM13">
        <v>6460</v>
      </c>
      <c r="AGN13">
        <v>1.7956699999999999E-2</v>
      </c>
      <c r="AGO13">
        <v>6460</v>
      </c>
      <c r="AGP13">
        <v>2.3529399999999999E-2</v>
      </c>
      <c r="AGQ13">
        <v>6460</v>
      </c>
      <c r="AGR13">
        <v>0.1139319</v>
      </c>
      <c r="AGS13">
        <v>6460</v>
      </c>
      <c r="AGT13">
        <v>5.0619200000000003E-2</v>
      </c>
      <c r="AGU13">
        <v>6460</v>
      </c>
      <c r="AGV13">
        <v>3.9318899999999997E-2</v>
      </c>
      <c r="AGW13">
        <v>6460</v>
      </c>
      <c r="AGX13">
        <v>6.5944299999999997E-2</v>
      </c>
      <c r="AGY13">
        <v>275183</v>
      </c>
      <c r="AGZ13">
        <v>1.9583300000000001E-2</v>
      </c>
      <c r="AHA13">
        <v>5389</v>
      </c>
      <c r="AHB13">
        <v>0</v>
      </c>
      <c r="AHC13">
        <v>5389</v>
      </c>
      <c r="AHD13">
        <v>0</v>
      </c>
      <c r="AHE13">
        <v>5389</v>
      </c>
      <c r="AHF13">
        <v>0</v>
      </c>
      <c r="AHG13">
        <v>5389</v>
      </c>
      <c r="AHH13">
        <v>0</v>
      </c>
      <c r="AHI13">
        <v>5389</v>
      </c>
      <c r="AHJ13">
        <v>0</v>
      </c>
      <c r="AHK13">
        <v>5389</v>
      </c>
      <c r="AHL13">
        <v>0</v>
      </c>
      <c r="AHM13">
        <v>5389</v>
      </c>
      <c r="AHN13">
        <v>9.2782000000000003E-3</v>
      </c>
      <c r="AHO13">
        <v>5389</v>
      </c>
      <c r="AHP13">
        <v>7.6080999999999996E-3</v>
      </c>
      <c r="AHQ13">
        <v>5389</v>
      </c>
      <c r="AHR13">
        <v>3.5071400000000003E-2</v>
      </c>
      <c r="AHS13">
        <v>5389</v>
      </c>
      <c r="AHT13">
        <v>5.3998900000000002E-2</v>
      </c>
      <c r="AHU13">
        <v>5389</v>
      </c>
      <c r="AHV13">
        <v>0.1003897</v>
      </c>
      <c r="AHW13">
        <v>5389</v>
      </c>
      <c r="AHX13">
        <v>0.2798293</v>
      </c>
      <c r="AHY13">
        <v>5389</v>
      </c>
      <c r="AHZ13">
        <v>0.34310629999999998</v>
      </c>
      <c r="AIA13">
        <v>5389</v>
      </c>
      <c r="AIB13">
        <v>0.17071810000000001</v>
      </c>
      <c r="AIC13">
        <v>275183</v>
      </c>
      <c r="AID13">
        <v>8.5096099999999994E-2</v>
      </c>
      <c r="AIE13">
        <v>23417</v>
      </c>
      <c r="AIF13">
        <v>0</v>
      </c>
      <c r="AIG13">
        <v>23417</v>
      </c>
      <c r="AIH13">
        <v>0</v>
      </c>
      <c r="AII13">
        <v>23417</v>
      </c>
      <c r="AIJ13">
        <v>0</v>
      </c>
      <c r="AIK13">
        <v>23417</v>
      </c>
      <c r="AIL13">
        <v>2.2505000000000001E-2</v>
      </c>
      <c r="AIM13">
        <v>23417</v>
      </c>
      <c r="AIN13">
        <v>3.3181000000000002E-2</v>
      </c>
      <c r="AIO13">
        <v>23417</v>
      </c>
      <c r="AIP13">
        <v>8.8311899999999999E-2</v>
      </c>
      <c r="AIQ13">
        <v>23417</v>
      </c>
      <c r="AIR13">
        <v>9.1471999999999998E-2</v>
      </c>
      <c r="AIS13">
        <v>23417</v>
      </c>
      <c r="AIT13">
        <v>0.19524279999999999</v>
      </c>
      <c r="AIU13">
        <v>23417</v>
      </c>
      <c r="AIV13">
        <v>0.18072340000000001</v>
      </c>
      <c r="AIW13">
        <v>23417</v>
      </c>
      <c r="AIX13">
        <v>0.12277399999999999</v>
      </c>
      <c r="AIY13">
        <v>23417</v>
      </c>
      <c r="AIZ13">
        <v>0.10103769999999999</v>
      </c>
      <c r="AJA13">
        <v>23417</v>
      </c>
      <c r="AJB13">
        <v>0.1387881</v>
      </c>
      <c r="AJC13">
        <v>23417</v>
      </c>
      <c r="AJD13">
        <v>2.1010399999999999E-2</v>
      </c>
      <c r="AJE13">
        <v>23417</v>
      </c>
      <c r="AJF13">
        <v>4.9537000000000001E-3</v>
      </c>
      <c r="AJG13">
        <v>550685</v>
      </c>
      <c r="AJH13">
        <v>0.5002896</v>
      </c>
      <c r="AJI13">
        <v>275502</v>
      </c>
      <c r="AJJ13">
        <v>0.27489819999999998</v>
      </c>
      <c r="AJK13">
        <v>75735</v>
      </c>
      <c r="AJL13">
        <v>0.21476200000000001</v>
      </c>
      <c r="AJM13">
        <v>75735</v>
      </c>
      <c r="AJN13">
        <v>0.1309698</v>
      </c>
      <c r="AJO13">
        <v>75735</v>
      </c>
      <c r="AJP13">
        <v>0.25437379999999998</v>
      </c>
      <c r="AJQ13">
        <v>75735</v>
      </c>
      <c r="AJR13">
        <v>0.13106229999999999</v>
      </c>
      <c r="AJS13">
        <v>75735</v>
      </c>
      <c r="AJT13">
        <v>5.5364099999999999E-2</v>
      </c>
      <c r="AJU13">
        <v>75735</v>
      </c>
      <c r="AJV13">
        <v>4.2186599999999998E-2</v>
      </c>
      <c r="AJW13">
        <v>75735</v>
      </c>
      <c r="AJX13">
        <v>5.0148499999999999E-2</v>
      </c>
      <c r="AJY13">
        <v>75735</v>
      </c>
      <c r="AJZ13">
        <v>2.95372E-2</v>
      </c>
      <c r="AKA13">
        <v>75735</v>
      </c>
      <c r="AKB13">
        <v>3.8674300000000002E-2</v>
      </c>
      <c r="AKC13">
        <v>75735</v>
      </c>
      <c r="AKD13">
        <v>2.1297900000000002E-2</v>
      </c>
      <c r="AKE13">
        <v>75735</v>
      </c>
      <c r="AKF13">
        <v>1.43131E-2</v>
      </c>
      <c r="AKG13">
        <v>75735</v>
      </c>
      <c r="AKH13">
        <v>9.4407999999999992E-3</v>
      </c>
      <c r="AKI13">
        <v>75735</v>
      </c>
      <c r="AKJ13">
        <v>6.4434999999999996E-3</v>
      </c>
      <c r="AKK13">
        <v>75735</v>
      </c>
      <c r="AKL13">
        <v>1.426E-3</v>
      </c>
      <c r="AKM13">
        <v>275502</v>
      </c>
      <c r="AKN13">
        <v>0.5509252</v>
      </c>
      <c r="AKO13">
        <v>151781</v>
      </c>
      <c r="AKP13">
        <v>0.92863399999999996</v>
      </c>
      <c r="AKQ13">
        <v>140949</v>
      </c>
      <c r="AKR13">
        <v>5.1789999999999996E-4</v>
      </c>
      <c r="AKS13">
        <v>140949</v>
      </c>
      <c r="AKT13">
        <v>3.7177E-3</v>
      </c>
      <c r="AKU13">
        <v>140949</v>
      </c>
      <c r="AKV13">
        <v>1.4998299999999999E-2</v>
      </c>
      <c r="AKW13">
        <v>140949</v>
      </c>
      <c r="AKX13">
        <v>4.3441199999999999E-2</v>
      </c>
      <c r="AKY13">
        <v>140949</v>
      </c>
      <c r="AKZ13">
        <v>8.8010599999999994E-2</v>
      </c>
      <c r="ALA13">
        <v>140949</v>
      </c>
      <c r="ALB13">
        <v>0.12488200000000001</v>
      </c>
      <c r="ALC13">
        <v>140949</v>
      </c>
      <c r="ALD13">
        <v>0.1370567</v>
      </c>
      <c r="ALE13">
        <v>140949</v>
      </c>
      <c r="ALF13">
        <v>0.16063259999999999</v>
      </c>
      <c r="ALG13">
        <v>140949</v>
      </c>
      <c r="ALH13">
        <v>0.13133120000000001</v>
      </c>
      <c r="ALI13">
        <v>140949</v>
      </c>
      <c r="ALJ13">
        <v>0.10401630000000001</v>
      </c>
      <c r="ALK13">
        <v>140949</v>
      </c>
      <c r="ALL13">
        <v>7.7439400000000005E-2</v>
      </c>
      <c r="ALM13">
        <v>140949</v>
      </c>
      <c r="ALN13">
        <v>7.5247099999999997E-2</v>
      </c>
      <c r="ALO13">
        <v>140949</v>
      </c>
      <c r="ALP13">
        <v>3.3678800000000002E-2</v>
      </c>
      <c r="ALQ13">
        <v>140949</v>
      </c>
      <c r="ALR13">
        <v>5.0302000000000003E-3</v>
      </c>
      <c r="ALS13">
        <v>151781</v>
      </c>
      <c r="ALT13">
        <v>7.1365999999999999E-2</v>
      </c>
      <c r="ALU13">
        <v>10832</v>
      </c>
      <c r="ALV13">
        <v>0.46177990000000002</v>
      </c>
      <c r="ALW13">
        <v>5002</v>
      </c>
      <c r="ALX13">
        <v>0</v>
      </c>
      <c r="ALY13">
        <v>5002</v>
      </c>
      <c r="ALZ13">
        <v>0</v>
      </c>
      <c r="AMA13">
        <v>5002</v>
      </c>
      <c r="AMB13">
        <v>4.2382999999999997E-2</v>
      </c>
      <c r="AMC13">
        <v>5002</v>
      </c>
      <c r="AMD13">
        <v>0.16873250000000001</v>
      </c>
      <c r="AME13">
        <v>5002</v>
      </c>
      <c r="AMF13">
        <v>0.12854860000000001</v>
      </c>
      <c r="AMG13">
        <v>5002</v>
      </c>
      <c r="AMH13">
        <v>8.8764499999999996E-2</v>
      </c>
      <c r="AMI13">
        <v>5002</v>
      </c>
      <c r="AMJ13">
        <v>8.5165900000000003E-2</v>
      </c>
      <c r="AMK13">
        <v>5002</v>
      </c>
      <c r="AML13">
        <v>0.1021591</v>
      </c>
      <c r="AMM13">
        <v>5002</v>
      </c>
      <c r="AMN13">
        <v>0.14274290000000001</v>
      </c>
      <c r="AMO13">
        <v>5002</v>
      </c>
      <c r="AMP13">
        <v>8.2966799999999993E-2</v>
      </c>
      <c r="AMQ13">
        <v>5002</v>
      </c>
      <c r="AMR13">
        <v>7.8968399999999994E-2</v>
      </c>
      <c r="AMS13">
        <v>5002</v>
      </c>
      <c r="AMT13">
        <v>4.0783699999999999E-2</v>
      </c>
      <c r="AMU13">
        <v>5002</v>
      </c>
      <c r="AMV13">
        <v>3.87845E-2</v>
      </c>
      <c r="AMW13">
        <v>5002</v>
      </c>
      <c r="AMX13">
        <v>0</v>
      </c>
      <c r="AMY13">
        <v>10832</v>
      </c>
      <c r="AMZ13">
        <v>0.53822009999999998</v>
      </c>
      <c r="ANA13">
        <v>5830</v>
      </c>
      <c r="ANB13">
        <v>1.38937E-2</v>
      </c>
      <c r="ANC13">
        <v>5830</v>
      </c>
      <c r="AND13">
        <v>0</v>
      </c>
      <c r="ANE13">
        <v>5830</v>
      </c>
      <c r="ANF13">
        <v>0.10085760000000001</v>
      </c>
      <c r="ANG13">
        <v>5830</v>
      </c>
      <c r="ANH13">
        <v>7.7701500000000007E-2</v>
      </c>
      <c r="ANI13">
        <v>5830</v>
      </c>
      <c r="ANJ13">
        <v>9.4339599999999996E-2</v>
      </c>
      <c r="ANK13">
        <v>5830</v>
      </c>
      <c r="ANL13">
        <v>0.148199</v>
      </c>
      <c r="ANM13">
        <v>5830</v>
      </c>
      <c r="ANN13">
        <v>1.8353299999999999E-2</v>
      </c>
      <c r="ANO13">
        <v>5830</v>
      </c>
      <c r="ANP13">
        <v>0.12367069999999999</v>
      </c>
      <c r="ANQ13">
        <v>5830</v>
      </c>
      <c r="ANR13">
        <v>0.1202401</v>
      </c>
      <c r="ANS13">
        <v>5830</v>
      </c>
      <c r="ANT13">
        <v>0.1015437</v>
      </c>
      <c r="ANU13">
        <v>5830</v>
      </c>
      <c r="ANV13">
        <v>2.8473399999999999E-2</v>
      </c>
      <c r="ANW13">
        <v>5830</v>
      </c>
      <c r="ANX13">
        <v>5.7976E-2</v>
      </c>
      <c r="ANY13">
        <v>5830</v>
      </c>
      <c r="ANZ13">
        <v>0.1147513</v>
      </c>
      <c r="AOA13">
        <v>5830</v>
      </c>
      <c r="AOB13">
        <v>0</v>
      </c>
      <c r="AOC13">
        <v>275502</v>
      </c>
      <c r="AOD13">
        <v>7.3531200000000005E-2</v>
      </c>
      <c r="AOE13">
        <v>20258</v>
      </c>
      <c r="AOF13">
        <v>0</v>
      </c>
      <c r="AOG13">
        <v>20258</v>
      </c>
      <c r="AOH13">
        <v>0</v>
      </c>
      <c r="AOI13">
        <v>20258</v>
      </c>
      <c r="AOJ13">
        <v>0</v>
      </c>
      <c r="AOK13">
        <v>20258</v>
      </c>
      <c r="AOL13">
        <v>2.1226000000000001E-3</v>
      </c>
      <c r="AOM13">
        <v>20258</v>
      </c>
      <c r="AON13">
        <v>0</v>
      </c>
      <c r="AOO13">
        <v>20258</v>
      </c>
      <c r="AOP13">
        <v>3.7515999999999999E-3</v>
      </c>
      <c r="AOQ13">
        <v>20258</v>
      </c>
      <c r="AOR13">
        <v>1.54507E-2</v>
      </c>
      <c r="AOS13">
        <v>20258</v>
      </c>
      <c r="AOT13">
        <v>1.7672E-2</v>
      </c>
      <c r="AOU13">
        <v>20258</v>
      </c>
      <c r="AOV13">
        <v>3.1691200000000003E-2</v>
      </c>
      <c r="AOW13">
        <v>20258</v>
      </c>
      <c r="AOX13">
        <v>4.2847299999999998E-2</v>
      </c>
      <c r="AOY13">
        <v>20258</v>
      </c>
      <c r="AOZ13">
        <v>7.93267E-2</v>
      </c>
      <c r="APA13">
        <v>20258</v>
      </c>
      <c r="APB13">
        <v>0.2508145</v>
      </c>
      <c r="APC13">
        <v>20258</v>
      </c>
      <c r="APD13">
        <v>0.32490869999999999</v>
      </c>
      <c r="APE13">
        <v>20258</v>
      </c>
      <c r="APF13">
        <v>0.2314148</v>
      </c>
      <c r="APG13">
        <v>275502</v>
      </c>
      <c r="APH13">
        <v>0.1006454</v>
      </c>
      <c r="API13">
        <v>27728</v>
      </c>
      <c r="APJ13">
        <v>0</v>
      </c>
      <c r="APK13">
        <v>27728</v>
      </c>
      <c r="APL13">
        <v>0</v>
      </c>
      <c r="APM13">
        <v>27728</v>
      </c>
      <c r="APN13">
        <v>7.6457000000000001E-3</v>
      </c>
      <c r="APO13">
        <v>27728</v>
      </c>
      <c r="APP13">
        <v>2.8382899999999999E-2</v>
      </c>
      <c r="APQ13">
        <v>27728</v>
      </c>
      <c r="APR13">
        <v>3.0654899999999999E-2</v>
      </c>
      <c r="APS13">
        <v>27728</v>
      </c>
      <c r="APT13">
        <v>7.1299799999999997E-2</v>
      </c>
      <c r="APU13">
        <v>27728</v>
      </c>
      <c r="APV13">
        <v>0.14317659999999999</v>
      </c>
      <c r="APW13">
        <v>27728</v>
      </c>
      <c r="APX13">
        <v>0.14177000000000001</v>
      </c>
      <c r="APY13">
        <v>27728</v>
      </c>
      <c r="APZ13">
        <v>0.1515436</v>
      </c>
      <c r="AQA13">
        <v>27728</v>
      </c>
      <c r="AQB13">
        <v>0.16474320000000001</v>
      </c>
      <c r="AQC13">
        <v>27728</v>
      </c>
      <c r="AQD13">
        <v>8.0965099999999998E-2</v>
      </c>
      <c r="AQE13">
        <v>27728</v>
      </c>
      <c r="AQF13">
        <v>0.1145413</v>
      </c>
      <c r="AQG13">
        <v>27728</v>
      </c>
      <c r="AQH13">
        <v>5.2906799999999997E-2</v>
      </c>
      <c r="AQI13">
        <v>27728</v>
      </c>
      <c r="AQJ13">
        <v>1.23702E-2</v>
      </c>
      <c r="AQK13">
        <v>89136</v>
      </c>
      <c r="AQL13">
        <v>0.13961809999999999</v>
      </c>
      <c r="AQM13">
        <v>233162</v>
      </c>
      <c r="AQN13">
        <v>0.78025149999999999</v>
      </c>
      <c r="AQO13">
        <v>181925</v>
      </c>
      <c r="AQP13">
        <v>0.78606569999999998</v>
      </c>
      <c r="AQQ13">
        <v>143005</v>
      </c>
      <c r="AQR13">
        <v>0.8643824</v>
      </c>
      <c r="AQS13">
        <v>123611</v>
      </c>
      <c r="AQT13">
        <v>0.49514200000000003</v>
      </c>
      <c r="AQU13">
        <v>123611</v>
      </c>
      <c r="AQV13">
        <v>0.50485800000000003</v>
      </c>
      <c r="AQW13">
        <v>143005</v>
      </c>
      <c r="AQX13">
        <v>0.1356176</v>
      </c>
      <c r="AQY13">
        <v>19394</v>
      </c>
      <c r="AQZ13">
        <v>0.34041460000000001</v>
      </c>
      <c r="ARA13">
        <v>6602</v>
      </c>
      <c r="ARB13">
        <v>0.41654039999999998</v>
      </c>
      <c r="ARC13">
        <v>6602</v>
      </c>
      <c r="ARD13">
        <v>0.58345959999999997</v>
      </c>
      <c r="ARE13">
        <v>19394</v>
      </c>
      <c r="ARF13">
        <v>0.65958539999999999</v>
      </c>
      <c r="ARG13">
        <v>12792</v>
      </c>
      <c r="ARH13">
        <v>0.45598810000000001</v>
      </c>
      <c r="ARI13">
        <v>12792</v>
      </c>
      <c r="ARJ13">
        <v>0.54401189999999999</v>
      </c>
      <c r="ARK13">
        <v>181925</v>
      </c>
      <c r="ARL13">
        <v>0.21393429999999999</v>
      </c>
      <c r="ARM13">
        <v>233162</v>
      </c>
      <c r="ARN13">
        <v>0.21974850000000001</v>
      </c>
      <c r="ARO13">
        <v>51237</v>
      </c>
      <c r="ARP13">
        <v>0.57304290000000002</v>
      </c>
      <c r="ARQ13">
        <v>29361</v>
      </c>
      <c r="ARR13">
        <v>0.55038989999999999</v>
      </c>
      <c r="ARS13">
        <v>16160</v>
      </c>
      <c r="ART13">
        <v>0.64344060000000003</v>
      </c>
      <c r="ARU13">
        <v>16160</v>
      </c>
      <c r="ARV13">
        <v>0.35655940000000003</v>
      </c>
      <c r="ARW13">
        <v>29361</v>
      </c>
      <c r="ARX13">
        <v>0.44961000000000001</v>
      </c>
      <c r="ARY13">
        <v>13201</v>
      </c>
      <c r="ARZ13">
        <v>0.28952349999999999</v>
      </c>
      <c r="ASA13">
        <v>3822</v>
      </c>
      <c r="ASB13">
        <v>0.61172159999999998</v>
      </c>
      <c r="ASC13">
        <v>3822</v>
      </c>
      <c r="ASD13">
        <v>0.38827840000000002</v>
      </c>
      <c r="ASE13">
        <v>13201</v>
      </c>
      <c r="ASF13">
        <v>0.71047649999999996</v>
      </c>
      <c r="ASG13">
        <v>9379</v>
      </c>
      <c r="ASH13">
        <v>0.70497920000000003</v>
      </c>
      <c r="ASI13">
        <v>9379</v>
      </c>
      <c r="ASJ13">
        <v>0.29502080000000003</v>
      </c>
      <c r="ASK13">
        <v>51237</v>
      </c>
      <c r="ASL13">
        <v>0.42695709999999998</v>
      </c>
      <c r="ASM13">
        <v>230235</v>
      </c>
      <c r="ASN13">
        <v>0.59863619999999995</v>
      </c>
      <c r="ASO13">
        <v>137827</v>
      </c>
      <c r="ASP13">
        <v>0.44441940000000002</v>
      </c>
      <c r="ASQ13">
        <v>61253</v>
      </c>
      <c r="ASR13">
        <v>0.55104240000000004</v>
      </c>
      <c r="ASS13">
        <v>33753</v>
      </c>
      <c r="AST13">
        <v>0.72852779999999995</v>
      </c>
      <c r="ASU13">
        <v>33753</v>
      </c>
      <c r="ASV13">
        <v>0.2714722</v>
      </c>
      <c r="ASW13">
        <v>61253</v>
      </c>
      <c r="ASX13">
        <v>0.44895760000000001</v>
      </c>
      <c r="ASY13">
        <v>27500</v>
      </c>
      <c r="ASZ13">
        <v>0.26476359999999999</v>
      </c>
      <c r="ATA13">
        <v>27500</v>
      </c>
      <c r="ATB13">
        <v>0.1665818</v>
      </c>
      <c r="ATC13">
        <v>27500</v>
      </c>
      <c r="ATD13">
        <v>6.1090899999999997E-2</v>
      </c>
      <c r="ATE13">
        <v>61253</v>
      </c>
      <c r="ATF13">
        <v>1.8954200000000001E-2</v>
      </c>
      <c r="ATG13">
        <v>1161</v>
      </c>
      <c r="ATH13">
        <v>3.5159340000000001</v>
      </c>
      <c r="ATI13">
        <v>1161</v>
      </c>
      <c r="ATJ13">
        <v>2.6959520000000001</v>
      </c>
      <c r="ATK13">
        <v>1161</v>
      </c>
      <c r="ATL13">
        <v>1.7131780000000001</v>
      </c>
      <c r="ATM13">
        <v>1161</v>
      </c>
      <c r="ATN13">
        <v>3.0973299999999999</v>
      </c>
      <c r="ATO13">
        <v>61253</v>
      </c>
      <c r="ATP13">
        <v>4.33611E-2</v>
      </c>
      <c r="ATQ13">
        <v>2656</v>
      </c>
      <c r="ATR13">
        <v>0.3539157</v>
      </c>
      <c r="ATS13">
        <v>2656</v>
      </c>
      <c r="ATT13">
        <v>5.0783129999999996</v>
      </c>
      <c r="ATU13">
        <v>137827</v>
      </c>
      <c r="ATV13">
        <v>6.4501000000000003E-3</v>
      </c>
      <c r="ATW13">
        <v>889</v>
      </c>
      <c r="ATX13">
        <v>3.632171</v>
      </c>
      <c r="ATY13">
        <v>889</v>
      </c>
      <c r="ATZ13">
        <v>1.390326</v>
      </c>
      <c r="AUA13">
        <v>1236</v>
      </c>
      <c r="AUB13">
        <v>1.61246</v>
      </c>
      <c r="AUC13">
        <v>1236</v>
      </c>
      <c r="AUD13">
        <v>2.9830100000000002</v>
      </c>
      <c r="AUE13">
        <v>889</v>
      </c>
      <c r="AUF13">
        <v>5.7772779999999999</v>
      </c>
      <c r="AUG13">
        <v>889</v>
      </c>
      <c r="AUH13">
        <v>0.61529809999999996</v>
      </c>
      <c r="AUI13">
        <v>889</v>
      </c>
      <c r="AUJ13">
        <v>32.84252</v>
      </c>
      <c r="AUK13">
        <v>137827</v>
      </c>
      <c r="AUL13">
        <v>0.14953530000000001</v>
      </c>
      <c r="AUM13">
        <v>20610</v>
      </c>
      <c r="AUN13">
        <v>0.41664240000000002</v>
      </c>
      <c r="AUO13">
        <v>20610</v>
      </c>
      <c r="AUP13">
        <v>5.6283399999999997E-2</v>
      </c>
      <c r="AUQ13">
        <v>137827</v>
      </c>
      <c r="AUR13">
        <v>0.1021716</v>
      </c>
      <c r="AUS13">
        <v>14082</v>
      </c>
      <c r="AUT13">
        <v>0.55567390000000005</v>
      </c>
      <c r="AUU13">
        <v>14082</v>
      </c>
      <c r="AUV13">
        <v>0.4443261</v>
      </c>
      <c r="AUW13">
        <v>14082</v>
      </c>
      <c r="AUX13">
        <v>1.324173</v>
      </c>
      <c r="AUY13">
        <v>137827</v>
      </c>
      <c r="AUZ13">
        <v>7.5732599999999997E-2</v>
      </c>
      <c r="AVA13">
        <v>10438</v>
      </c>
      <c r="AVB13">
        <v>0.78645339999999997</v>
      </c>
      <c r="AVC13">
        <v>10438</v>
      </c>
      <c r="AVD13">
        <v>5.4129099999999999E-2</v>
      </c>
      <c r="AVE13">
        <v>10438</v>
      </c>
      <c r="AVF13">
        <v>0.33378039999999998</v>
      </c>
      <c r="AVG13">
        <v>230235</v>
      </c>
      <c r="AVH13">
        <v>1.8068500000000001E-2</v>
      </c>
      <c r="AVI13">
        <v>4160</v>
      </c>
      <c r="AVJ13">
        <v>22.213460000000001</v>
      </c>
      <c r="AVK13">
        <v>92408</v>
      </c>
      <c r="AVL13">
        <v>0.49515189999999998</v>
      </c>
      <c r="AVM13">
        <v>45756</v>
      </c>
      <c r="AVN13">
        <v>0.47241889999999997</v>
      </c>
      <c r="AVO13">
        <v>45756</v>
      </c>
      <c r="AVP13">
        <v>0.29257369999999999</v>
      </c>
      <c r="AVQ13">
        <v>92408</v>
      </c>
      <c r="AVR13">
        <v>8.9050699999999997E-2</v>
      </c>
      <c r="AVS13">
        <v>8229</v>
      </c>
      <c r="AVT13">
        <v>2.9335279999999999</v>
      </c>
      <c r="AVU13">
        <v>8229</v>
      </c>
      <c r="AVV13">
        <v>0.4186414</v>
      </c>
      <c r="AVW13">
        <v>8229</v>
      </c>
      <c r="AVX13">
        <v>7.8624399999999997E-2</v>
      </c>
      <c r="AVY13">
        <v>92408</v>
      </c>
      <c r="AVZ13">
        <v>7.9538999999999999E-3</v>
      </c>
      <c r="AWA13">
        <v>735</v>
      </c>
      <c r="AWB13">
        <v>2.0829930000000001</v>
      </c>
      <c r="AWC13">
        <v>735</v>
      </c>
      <c r="AWD13">
        <v>2.3088440000000001</v>
      </c>
      <c r="AWE13">
        <v>735</v>
      </c>
      <c r="AWF13">
        <v>9.7306120000000007</v>
      </c>
      <c r="AWG13">
        <v>735</v>
      </c>
      <c r="AWH13">
        <v>2.1496599999999999</v>
      </c>
      <c r="AWI13">
        <v>92408</v>
      </c>
      <c r="AWJ13">
        <v>7.9571000000000003E-2</v>
      </c>
      <c r="AWK13">
        <v>7353</v>
      </c>
      <c r="AWL13">
        <v>0.69549839999999996</v>
      </c>
      <c r="AWM13">
        <v>7353</v>
      </c>
      <c r="AWN13">
        <v>0.30450159999999998</v>
      </c>
      <c r="AWO13">
        <v>4160</v>
      </c>
      <c r="AWP13">
        <v>2.0968749999999998</v>
      </c>
      <c r="AWQ13">
        <v>8723</v>
      </c>
      <c r="AWR13">
        <v>0.34678439999999999</v>
      </c>
      <c r="AWS13">
        <v>8723</v>
      </c>
      <c r="AWT13">
        <v>2.7628099999999999E-2</v>
      </c>
      <c r="AWU13">
        <v>241</v>
      </c>
      <c r="AWV13">
        <v>0.87551869999999998</v>
      </c>
      <c r="AWW13">
        <v>241</v>
      </c>
      <c r="AWX13">
        <v>0.1244813</v>
      </c>
      <c r="AWY13">
        <v>8723</v>
      </c>
      <c r="AWZ13">
        <v>0.1970652</v>
      </c>
      <c r="AXA13">
        <v>8723</v>
      </c>
      <c r="AXB13">
        <v>9.8246E-2</v>
      </c>
      <c r="AXC13">
        <v>8723</v>
      </c>
      <c r="AXD13">
        <v>0.33027630000000002</v>
      </c>
      <c r="AXE13">
        <v>4160</v>
      </c>
      <c r="AXF13">
        <v>7.2096150000000003</v>
      </c>
      <c r="AXG13">
        <v>29992</v>
      </c>
      <c r="AXH13">
        <v>0.29557879999999997</v>
      </c>
      <c r="AXI13">
        <v>29992</v>
      </c>
      <c r="AXJ13">
        <v>0.70442119999999997</v>
      </c>
      <c r="AXK13">
        <v>4160</v>
      </c>
      <c r="AXL13">
        <v>0</v>
      </c>
      <c r="AXM13">
        <v>0</v>
      </c>
      <c r="AXN13"/>
      <c r="AXO13">
        <v>0</v>
      </c>
      <c r="AXP13"/>
      <c r="AXQ13">
        <v>0</v>
      </c>
      <c r="AXR13"/>
      <c r="AXS13">
        <v>4160</v>
      </c>
      <c r="AXT13">
        <v>1.7204330000000001</v>
      </c>
      <c r="AXU13">
        <v>7157</v>
      </c>
      <c r="AXV13">
        <v>0.7806343</v>
      </c>
      <c r="AXW13">
        <v>7157</v>
      </c>
      <c r="AXX13">
        <v>0.2193657</v>
      </c>
      <c r="AXY13">
        <v>7157</v>
      </c>
      <c r="AXZ13">
        <v>1.8164E-2</v>
      </c>
      <c r="AYA13">
        <v>38846</v>
      </c>
      <c r="AYB13">
        <v>1.9307000000000001E-2</v>
      </c>
      <c r="AYC13">
        <v>38846</v>
      </c>
      <c r="AYD13">
        <v>0.14289760000000001</v>
      </c>
      <c r="AYE13">
        <v>38846</v>
      </c>
      <c r="AYF13">
        <v>0.32165470000000002</v>
      </c>
      <c r="AYG13">
        <v>38846</v>
      </c>
      <c r="AYH13">
        <v>0.38606289999999999</v>
      </c>
      <c r="AYI13">
        <v>38846</v>
      </c>
      <c r="AYJ13">
        <v>2.8394200000000001E-2</v>
      </c>
      <c r="AYK13">
        <v>38846</v>
      </c>
      <c r="AYL13">
        <v>8.5826100000000002E-2</v>
      </c>
      <c r="AYM13">
        <v>38846</v>
      </c>
      <c r="AYN13">
        <v>1.58575E-2</v>
      </c>
      <c r="AYO13">
        <v>37563</v>
      </c>
      <c r="AYP13">
        <v>8.6122000000000004E-2</v>
      </c>
      <c r="AYQ13">
        <v>37563</v>
      </c>
      <c r="AYR13">
        <v>9.0381500000000004E-2</v>
      </c>
      <c r="AYS13">
        <v>37563</v>
      </c>
      <c r="AYT13">
        <v>0.2191785</v>
      </c>
      <c r="AYU13">
        <v>37563</v>
      </c>
      <c r="AYV13">
        <v>0.216889</v>
      </c>
      <c r="AYW13">
        <v>37563</v>
      </c>
      <c r="AYX13">
        <v>5.5134000000000002E-2</v>
      </c>
      <c r="AYY13">
        <v>37563</v>
      </c>
      <c r="AYZ13">
        <v>0.23395360000000001</v>
      </c>
      <c r="AZA13">
        <v>37563</v>
      </c>
      <c r="AZB13">
        <v>9.8341499999999998E-2</v>
      </c>
      <c r="AZC13">
        <v>52417</v>
      </c>
      <c r="AZD13">
        <v>4.3363800000000001E-2</v>
      </c>
      <c r="AZE13">
        <v>52417</v>
      </c>
      <c r="AZF13">
        <v>8.4838899999999995E-2</v>
      </c>
      <c r="AZG13">
        <v>52417</v>
      </c>
      <c r="AZH13">
        <v>0.2014804</v>
      </c>
      <c r="AZI13">
        <v>52417</v>
      </c>
      <c r="AZJ13">
        <v>0.16820879999999999</v>
      </c>
      <c r="AZK13">
        <v>52417</v>
      </c>
      <c r="AZL13">
        <v>5.7557700000000003E-2</v>
      </c>
      <c r="AZM13">
        <v>52417</v>
      </c>
      <c r="AZN13">
        <v>0.26581070000000001</v>
      </c>
      <c r="AZO13">
        <v>52417</v>
      </c>
      <c r="AZP13">
        <v>0.1787397</v>
      </c>
      <c r="AZQ13">
        <v>96278</v>
      </c>
      <c r="AZR13">
        <v>4.8816999999999999E-2</v>
      </c>
      <c r="AZS13">
        <v>96278</v>
      </c>
      <c r="AZT13">
        <v>3.6820499999999999E-2</v>
      </c>
      <c r="AZU13">
        <v>96278</v>
      </c>
      <c r="AZV13">
        <v>0.18692739999999999</v>
      </c>
      <c r="AZW13">
        <v>96278</v>
      </c>
      <c r="AZX13">
        <v>0.21364169999999999</v>
      </c>
      <c r="AZY13">
        <v>96278</v>
      </c>
      <c r="AZZ13">
        <v>5.8144099999999997E-2</v>
      </c>
      <c r="BAA13">
        <v>96278</v>
      </c>
      <c r="BAB13">
        <v>0.25177090000000002</v>
      </c>
      <c r="BAC13">
        <v>96278</v>
      </c>
      <c r="BAD13">
        <v>0.20387839999999999</v>
      </c>
      <c r="BAE13">
        <v>32488</v>
      </c>
      <c r="BAF13">
        <v>6.6547599999999998E-2</v>
      </c>
      <c r="BAG13">
        <v>32488</v>
      </c>
      <c r="BAH13">
        <v>7.5966500000000006E-2</v>
      </c>
      <c r="BAI13">
        <v>32488</v>
      </c>
      <c r="BAJ13">
        <v>0.2402118</v>
      </c>
      <c r="BAK13">
        <v>32488</v>
      </c>
      <c r="BAL13">
        <v>0.193887</v>
      </c>
      <c r="BAM13">
        <v>32488</v>
      </c>
      <c r="BAN13">
        <v>2.40089E-2</v>
      </c>
      <c r="BAO13">
        <v>32488</v>
      </c>
      <c r="BAP13">
        <v>0.19939670000000001</v>
      </c>
      <c r="BAQ13">
        <v>32488</v>
      </c>
      <c r="BAR13">
        <v>0.19998150000000001</v>
      </c>
      <c r="BAS13">
        <v>32834</v>
      </c>
      <c r="BAT13">
        <v>2.9359799999999998E-2</v>
      </c>
      <c r="BAU13">
        <v>32834</v>
      </c>
      <c r="BAV13">
        <v>8.9937299999999998E-2</v>
      </c>
      <c r="BAW13">
        <v>32834</v>
      </c>
      <c r="BAX13">
        <v>0.32225740000000003</v>
      </c>
      <c r="BAY13">
        <v>32834</v>
      </c>
      <c r="BAZ13">
        <v>0.35259180000000001</v>
      </c>
      <c r="BBA13">
        <v>32834</v>
      </c>
      <c r="BBB13">
        <v>3.3136400000000003E-2</v>
      </c>
      <c r="BBC13">
        <v>32834</v>
      </c>
      <c r="BBD13">
        <v>0.15538769999999999</v>
      </c>
      <c r="BBE13">
        <v>32834</v>
      </c>
      <c r="BBF13">
        <v>1.7329600000000001E-2</v>
      </c>
      <c r="BBG13">
        <v>36817</v>
      </c>
      <c r="BBH13">
        <v>6.4698400000000003E-2</v>
      </c>
      <c r="BBI13">
        <v>36817</v>
      </c>
      <c r="BBJ13">
        <v>7.6785199999999998E-2</v>
      </c>
      <c r="BBK13">
        <v>36817</v>
      </c>
      <c r="BBL13">
        <v>0.1571285</v>
      </c>
      <c r="BBM13">
        <v>36817</v>
      </c>
      <c r="BBN13">
        <v>0.2239998</v>
      </c>
      <c r="BBO13">
        <v>36817</v>
      </c>
      <c r="BBP13">
        <v>8.1456899999999999E-2</v>
      </c>
      <c r="BBQ13">
        <v>36817</v>
      </c>
      <c r="BBR13">
        <v>0.26327509999999998</v>
      </c>
      <c r="BBS13">
        <v>36817</v>
      </c>
      <c r="BBT13">
        <v>0.1326561</v>
      </c>
      <c r="BBU13">
        <v>52090</v>
      </c>
      <c r="BBV13">
        <v>6.2603199999999998E-2</v>
      </c>
      <c r="BBW13">
        <v>52090</v>
      </c>
      <c r="BBX13">
        <v>5.1257400000000002E-2</v>
      </c>
      <c r="BBY13">
        <v>52090</v>
      </c>
      <c r="BBZ13">
        <v>0.1632943</v>
      </c>
      <c r="BCA13">
        <v>52090</v>
      </c>
      <c r="BCB13">
        <v>0.19594929999999999</v>
      </c>
      <c r="BCC13">
        <v>52090</v>
      </c>
      <c r="BCD13">
        <v>9.2109800000000006E-2</v>
      </c>
      <c r="BCE13">
        <v>52090</v>
      </c>
      <c r="BCF13">
        <v>0.25805339999999999</v>
      </c>
      <c r="BCG13">
        <v>52090</v>
      </c>
      <c r="BCH13">
        <v>0.17673259999999999</v>
      </c>
      <c r="BCI13">
        <v>97227</v>
      </c>
      <c r="BCJ13">
        <v>4.0071200000000001E-2</v>
      </c>
      <c r="BCK13">
        <v>97227</v>
      </c>
      <c r="BCL13">
        <v>3.55971E-2</v>
      </c>
      <c r="BCM13">
        <v>97227</v>
      </c>
      <c r="BCN13">
        <v>0.2102502</v>
      </c>
      <c r="BCO13">
        <v>97227</v>
      </c>
      <c r="BCP13">
        <v>0.2070207</v>
      </c>
      <c r="BCQ13">
        <v>97227</v>
      </c>
      <c r="BCR13">
        <v>7.6511700000000002E-2</v>
      </c>
      <c r="BCS13">
        <v>97227</v>
      </c>
      <c r="BCT13">
        <v>0.26267390000000002</v>
      </c>
      <c r="BCU13">
        <v>97227</v>
      </c>
      <c r="BCV13">
        <v>0.1678752</v>
      </c>
      <c r="BCW13">
        <v>40115</v>
      </c>
      <c r="BCX13">
        <v>0.10342759999999999</v>
      </c>
      <c r="BCY13">
        <v>40115</v>
      </c>
      <c r="BCZ13">
        <v>8.5429400000000003E-2</v>
      </c>
      <c r="BDA13">
        <v>40115</v>
      </c>
      <c r="BDB13">
        <v>0.38035649999999999</v>
      </c>
      <c r="BDC13">
        <v>40115</v>
      </c>
      <c r="BDD13">
        <v>0.18387139999999999</v>
      </c>
      <c r="BDE13">
        <v>40115</v>
      </c>
      <c r="BDF13">
        <v>3.4425999999999998E-2</v>
      </c>
      <c r="BDG13">
        <v>40115</v>
      </c>
      <c r="BDH13">
        <v>0.1478749</v>
      </c>
      <c r="BDI13">
        <v>40115</v>
      </c>
      <c r="BDJ13">
        <v>6.4614199999999997E-2</v>
      </c>
      <c r="BDK13">
        <v>167981</v>
      </c>
      <c r="BDL13">
        <v>6.7471900000000001E-2</v>
      </c>
      <c r="BDM13">
        <v>11334</v>
      </c>
      <c r="BDN13">
        <v>0.71651670000000001</v>
      </c>
      <c r="BDO13">
        <v>8121</v>
      </c>
      <c r="BDP13">
        <v>0.52284200000000003</v>
      </c>
      <c r="BDQ13">
        <v>8121</v>
      </c>
      <c r="BDR13">
        <v>0.47715800000000003</v>
      </c>
      <c r="BDS13">
        <v>11334</v>
      </c>
      <c r="BDT13">
        <v>0.28348329999999999</v>
      </c>
      <c r="BDU13">
        <v>3213</v>
      </c>
      <c r="BDV13">
        <v>0.57236229999999999</v>
      </c>
      <c r="BDW13">
        <v>3213</v>
      </c>
      <c r="BDX13">
        <v>0.42763770000000001</v>
      </c>
      <c r="BDY13">
        <v>167981</v>
      </c>
      <c r="BDZ13">
        <v>0.93252809999999997</v>
      </c>
      <c r="BEA13">
        <v>156647</v>
      </c>
      <c r="BEB13">
        <v>0.53353720000000004</v>
      </c>
      <c r="BEC13">
        <v>83577</v>
      </c>
      <c r="BED13">
        <v>0.73140939999999999</v>
      </c>
      <c r="BEE13">
        <v>83577</v>
      </c>
      <c r="BEF13">
        <v>0.26859060000000001</v>
      </c>
      <c r="BEG13">
        <v>156647</v>
      </c>
      <c r="BEH13">
        <v>0.46646280000000001</v>
      </c>
      <c r="BEI13">
        <v>73070</v>
      </c>
      <c r="BEJ13">
        <v>0.7263309</v>
      </c>
      <c r="BEK13">
        <v>73070</v>
      </c>
      <c r="BEL13">
        <v>0.2736691</v>
      </c>
      <c r="BEM13">
        <v>341757</v>
      </c>
      <c r="BEN13">
        <v>0.55685180000000001</v>
      </c>
      <c r="BEO13">
        <v>190308</v>
      </c>
      <c r="BEP13">
        <v>0.92772770000000004</v>
      </c>
      <c r="BEQ13">
        <v>176554</v>
      </c>
      <c r="BER13">
        <v>0.19510179999999999</v>
      </c>
      <c r="BES13">
        <v>176554</v>
      </c>
      <c r="BET13">
        <v>0.80489820000000001</v>
      </c>
      <c r="BEU13">
        <v>190308</v>
      </c>
      <c r="BEV13">
        <v>7.2272299999999998E-2</v>
      </c>
      <c r="BEW13">
        <v>341757</v>
      </c>
      <c r="BEX13">
        <v>0.44314819999999999</v>
      </c>
      <c r="BEY13">
        <v>151449</v>
      </c>
      <c r="BEZ13">
        <v>0.92926989999999998</v>
      </c>
      <c r="BFA13">
        <v>140737</v>
      </c>
      <c r="BFB13">
        <v>0.19984789999999999</v>
      </c>
      <c r="BFC13">
        <v>140737</v>
      </c>
      <c r="BFD13">
        <v>0.80015210000000003</v>
      </c>
      <c r="BFE13">
        <v>151449</v>
      </c>
      <c r="BFF13">
        <v>7.0730100000000004E-2</v>
      </c>
      <c r="BFG13">
        <v>357805</v>
      </c>
      <c r="BFH13">
        <v>0.28007710000000002</v>
      </c>
      <c r="BFI13">
        <v>100213</v>
      </c>
      <c r="BFJ13">
        <v>0.96473509999999996</v>
      </c>
      <c r="BFK13">
        <v>100213</v>
      </c>
      <c r="BFL13">
        <v>3.5264900000000002E-2</v>
      </c>
      <c r="BFM13">
        <v>3534</v>
      </c>
      <c r="BFN13">
        <v>0.12422179999999999</v>
      </c>
      <c r="BFO13">
        <v>3534</v>
      </c>
      <c r="BFP13">
        <v>0.8757781</v>
      </c>
      <c r="BFQ13">
        <v>357805</v>
      </c>
      <c r="BFR13">
        <v>0.71992279999999997</v>
      </c>
      <c r="BFS13">
        <v>257592</v>
      </c>
      <c r="BFT13">
        <v>0.75725569999999998</v>
      </c>
      <c r="BFU13">
        <v>257592</v>
      </c>
      <c r="BFV13">
        <v>0.2427443</v>
      </c>
      <c r="BFW13">
        <v>62529</v>
      </c>
      <c r="BFX13">
        <v>0.41052949999999999</v>
      </c>
      <c r="BFY13">
        <v>62529</v>
      </c>
      <c r="BFZ13">
        <v>0.58947050000000001</v>
      </c>
      <c r="BGA13">
        <v>354762</v>
      </c>
      <c r="BGB13">
        <v>0.26969910000000002</v>
      </c>
      <c r="BGC13">
        <v>95679</v>
      </c>
      <c r="BGD13">
        <v>0.95657349999999997</v>
      </c>
      <c r="BGE13">
        <v>95679</v>
      </c>
      <c r="BGF13">
        <v>4.34265E-2</v>
      </c>
      <c r="BGG13">
        <v>4155</v>
      </c>
      <c r="BGH13">
        <v>0.18194949999999999</v>
      </c>
      <c r="BGI13">
        <v>4155</v>
      </c>
      <c r="BGJ13">
        <v>0.81805059999999996</v>
      </c>
      <c r="BGK13">
        <v>354762</v>
      </c>
      <c r="BGL13">
        <v>0.73030090000000003</v>
      </c>
      <c r="BGM13">
        <v>259083</v>
      </c>
      <c r="BGN13">
        <v>0.78002800000000005</v>
      </c>
      <c r="BGO13">
        <v>259083</v>
      </c>
      <c r="BGP13">
        <v>0.219972</v>
      </c>
      <c r="BGQ13">
        <v>56991</v>
      </c>
      <c r="BGR13">
        <v>0.47060059999999998</v>
      </c>
      <c r="BGS13">
        <v>56991</v>
      </c>
      <c r="BGT13">
        <v>0.52939939999999996</v>
      </c>
    </row>
    <row r="14" spans="1:1554" x14ac:dyDescent="0.25">
      <c r="A14" t="s">
        <v>133</v>
      </c>
      <c r="B14">
        <v>2010</v>
      </c>
      <c r="C14">
        <v>1</v>
      </c>
      <c r="D14" t="s">
        <v>550</v>
      </c>
      <c r="E14">
        <v>60440</v>
      </c>
      <c r="F14">
        <v>0.47392450000000003</v>
      </c>
      <c r="G14">
        <v>28644</v>
      </c>
      <c r="H14">
        <v>0.1236908</v>
      </c>
      <c r="I14">
        <v>28644</v>
      </c>
      <c r="J14">
        <v>3.6691799999999997E-2</v>
      </c>
      <c r="K14">
        <v>28644</v>
      </c>
      <c r="L14">
        <v>0.1466276</v>
      </c>
      <c r="M14">
        <v>28644</v>
      </c>
      <c r="N14">
        <v>6.5179399999999998E-2</v>
      </c>
      <c r="O14">
        <v>28644</v>
      </c>
      <c r="P14">
        <v>1.88521E-2</v>
      </c>
      <c r="Q14">
        <v>28644</v>
      </c>
      <c r="R14">
        <v>4.4058100000000003E-2</v>
      </c>
      <c r="S14">
        <v>28644</v>
      </c>
      <c r="T14">
        <v>9.93227E-2</v>
      </c>
      <c r="U14">
        <v>28644</v>
      </c>
      <c r="V14">
        <v>0.14268259999999999</v>
      </c>
      <c r="W14">
        <v>28644</v>
      </c>
      <c r="X14">
        <v>0.10826</v>
      </c>
      <c r="Y14">
        <v>28644</v>
      </c>
      <c r="Z14">
        <v>0.1080506</v>
      </c>
      <c r="AA14">
        <v>28644</v>
      </c>
      <c r="AB14">
        <v>6.3608399999999995E-2</v>
      </c>
      <c r="AC14">
        <v>28644</v>
      </c>
      <c r="AD14">
        <v>3.1140899999999999E-2</v>
      </c>
      <c r="AE14">
        <v>28644</v>
      </c>
      <c r="AF14">
        <v>1.1834900000000001E-2</v>
      </c>
      <c r="AG14">
        <v>60440</v>
      </c>
      <c r="AH14">
        <v>0.52607539999999997</v>
      </c>
      <c r="AI14">
        <v>31796</v>
      </c>
      <c r="AJ14">
        <v>0.11617810000000001</v>
      </c>
      <c r="AK14">
        <v>31796</v>
      </c>
      <c r="AL14">
        <v>3.56963E-2</v>
      </c>
      <c r="AM14">
        <v>31796</v>
      </c>
      <c r="AN14">
        <v>7.7242400000000003E-2</v>
      </c>
      <c r="AO14">
        <v>31796</v>
      </c>
      <c r="AP14">
        <v>3.1702099999999997E-2</v>
      </c>
      <c r="AQ14">
        <v>31796</v>
      </c>
      <c r="AR14">
        <v>1.6637300000000001E-2</v>
      </c>
      <c r="AS14">
        <v>31796</v>
      </c>
      <c r="AT14">
        <v>4.1388899999999999E-2</v>
      </c>
      <c r="AU14">
        <v>31796</v>
      </c>
      <c r="AV14">
        <v>0.1421877</v>
      </c>
      <c r="AW14">
        <v>31796</v>
      </c>
      <c r="AX14">
        <v>0.1526922</v>
      </c>
      <c r="AY14">
        <v>31796</v>
      </c>
      <c r="AZ14">
        <v>0.1119952</v>
      </c>
      <c r="BA14">
        <v>31796</v>
      </c>
      <c r="BB14">
        <v>0.1066486</v>
      </c>
      <c r="BC14">
        <v>31796</v>
      </c>
      <c r="BD14">
        <v>6.4064700000000002E-2</v>
      </c>
      <c r="BE14">
        <v>31796</v>
      </c>
      <c r="BF14">
        <v>4.6609600000000001E-2</v>
      </c>
      <c r="BG14">
        <v>31796</v>
      </c>
      <c r="BH14">
        <v>5.6956800000000002E-2</v>
      </c>
      <c r="BI14">
        <v>633345</v>
      </c>
      <c r="BJ14">
        <v>0.49936449999999999</v>
      </c>
      <c r="BK14">
        <v>316270</v>
      </c>
      <c r="BL14">
        <v>6.4786399999999994E-2</v>
      </c>
      <c r="BM14">
        <v>316270</v>
      </c>
      <c r="BN14">
        <v>1.4481300000000001E-2</v>
      </c>
      <c r="BO14">
        <v>316270</v>
      </c>
      <c r="BP14">
        <v>9.2557E-2</v>
      </c>
      <c r="BQ14">
        <v>316270</v>
      </c>
      <c r="BR14">
        <v>4.6469799999999999E-2</v>
      </c>
      <c r="BS14">
        <v>316270</v>
      </c>
      <c r="BT14">
        <v>1.3652900000000001E-2</v>
      </c>
      <c r="BU14">
        <v>316270</v>
      </c>
      <c r="BV14">
        <v>3.6133699999999998E-2</v>
      </c>
      <c r="BW14">
        <v>316270</v>
      </c>
      <c r="BX14">
        <v>9.0776899999999994E-2</v>
      </c>
      <c r="BY14">
        <v>316270</v>
      </c>
      <c r="BZ14">
        <v>0.1139153</v>
      </c>
      <c r="CA14">
        <v>316270</v>
      </c>
      <c r="CB14">
        <v>0.14421539999999999</v>
      </c>
      <c r="CC14">
        <v>316270</v>
      </c>
      <c r="CD14">
        <v>0.1671926</v>
      </c>
      <c r="CE14">
        <v>316270</v>
      </c>
      <c r="CF14">
        <v>0.1196541</v>
      </c>
      <c r="CG14">
        <v>316270</v>
      </c>
      <c r="CH14">
        <v>5.6486500000000002E-2</v>
      </c>
      <c r="CI14">
        <v>316270</v>
      </c>
      <c r="CJ14">
        <v>3.9678100000000001E-2</v>
      </c>
      <c r="CK14">
        <v>633345</v>
      </c>
      <c r="CL14">
        <v>0.50063550000000001</v>
      </c>
      <c r="CM14">
        <v>317075</v>
      </c>
      <c r="CN14">
        <v>6.1004500000000003E-2</v>
      </c>
      <c r="CO14">
        <v>317075</v>
      </c>
      <c r="CP14">
        <v>1.6112899999999999E-2</v>
      </c>
      <c r="CQ14">
        <v>317075</v>
      </c>
      <c r="CR14">
        <v>8.9779999999999999E-2</v>
      </c>
      <c r="CS14">
        <v>317075</v>
      </c>
      <c r="CT14">
        <v>4.8556299999999997E-2</v>
      </c>
      <c r="CU14">
        <v>317075</v>
      </c>
      <c r="CV14">
        <v>1.6415699999999998E-2</v>
      </c>
      <c r="CW14">
        <v>317075</v>
      </c>
      <c r="CX14">
        <v>3.1172399999999999E-2</v>
      </c>
      <c r="CY14">
        <v>317075</v>
      </c>
      <c r="CZ14">
        <v>6.8409700000000004E-2</v>
      </c>
      <c r="DA14">
        <v>317075</v>
      </c>
      <c r="DB14">
        <v>0.1116171</v>
      </c>
      <c r="DC14">
        <v>317075</v>
      </c>
      <c r="DD14">
        <v>0.14919499999999999</v>
      </c>
      <c r="DE14">
        <v>317075</v>
      </c>
      <c r="DF14">
        <v>0.1717417</v>
      </c>
      <c r="DG14">
        <v>317075</v>
      </c>
      <c r="DH14">
        <v>0.1214224</v>
      </c>
      <c r="DI14">
        <v>317075</v>
      </c>
      <c r="DJ14">
        <v>6.3186900000000004E-2</v>
      </c>
      <c r="DK14">
        <v>317075</v>
      </c>
      <c r="DL14">
        <v>5.1385300000000002E-2</v>
      </c>
      <c r="DM14">
        <v>445227</v>
      </c>
      <c r="DN14">
        <v>6.8443699999999996E-2</v>
      </c>
      <c r="DO14">
        <v>30473</v>
      </c>
      <c r="DP14">
        <v>0.4376333</v>
      </c>
      <c r="DQ14">
        <v>216110</v>
      </c>
      <c r="DR14">
        <v>6.1709300000000002E-2</v>
      </c>
      <c r="DS14">
        <v>13336</v>
      </c>
      <c r="DT14">
        <v>0.32161070000000003</v>
      </c>
      <c r="DU14">
        <v>24570</v>
      </c>
      <c r="DV14">
        <v>0.17456250000000001</v>
      </c>
      <c r="DW14">
        <v>13336</v>
      </c>
      <c r="DX14">
        <v>0.30878820000000001</v>
      </c>
      <c r="DY14">
        <v>47175</v>
      </c>
      <c r="DZ14">
        <v>8.7291999999999995E-2</v>
      </c>
      <c r="EA14">
        <v>13336</v>
      </c>
      <c r="EB14">
        <v>0.2219556</v>
      </c>
      <c r="EC14">
        <v>52061</v>
      </c>
      <c r="ED14">
        <v>5.6856400000000001E-2</v>
      </c>
      <c r="EE14">
        <v>13336</v>
      </c>
      <c r="EF14">
        <v>0.14764550000000001</v>
      </c>
      <c r="EG14">
        <v>92304</v>
      </c>
      <c r="EH14">
        <v>2.1331699999999999E-2</v>
      </c>
      <c r="EI14">
        <v>30473</v>
      </c>
      <c r="EJ14">
        <v>0.5623667</v>
      </c>
      <c r="EK14">
        <v>229117</v>
      </c>
      <c r="EL14">
        <v>7.4795799999999996E-2</v>
      </c>
      <c r="EM14">
        <v>17137</v>
      </c>
      <c r="EN14">
        <v>0.26889190000000002</v>
      </c>
      <c r="EO14">
        <v>23281</v>
      </c>
      <c r="EP14">
        <v>0.19792960000000001</v>
      </c>
      <c r="EQ14">
        <v>17137</v>
      </c>
      <c r="ER14">
        <v>0.29865209999999998</v>
      </c>
      <c r="ES14">
        <v>49958</v>
      </c>
      <c r="ET14">
        <v>0.1024461</v>
      </c>
      <c r="EU14">
        <v>17137</v>
      </c>
      <c r="EV14">
        <v>0.29258329999999999</v>
      </c>
      <c r="EW14">
        <v>61789</v>
      </c>
      <c r="EX14">
        <v>8.11471E-2</v>
      </c>
      <c r="EY14">
        <v>17137</v>
      </c>
      <c r="EZ14">
        <v>0.13987279999999999</v>
      </c>
      <c r="FA14">
        <v>94089</v>
      </c>
      <c r="FB14">
        <v>2.5475899999999999E-2</v>
      </c>
      <c r="FC14">
        <v>445227</v>
      </c>
      <c r="FD14">
        <v>0.9315563</v>
      </c>
      <c r="FE14">
        <v>414754</v>
      </c>
      <c r="FF14">
        <v>0.4889019</v>
      </c>
      <c r="FG14">
        <v>216110</v>
      </c>
      <c r="FH14">
        <v>0.93829070000000003</v>
      </c>
      <c r="FI14">
        <v>202774</v>
      </c>
      <c r="FJ14">
        <v>0.1000178</v>
      </c>
      <c r="FK14">
        <v>24570</v>
      </c>
      <c r="FL14">
        <v>0.82543750000000005</v>
      </c>
      <c r="FM14">
        <v>202774</v>
      </c>
      <c r="FN14">
        <v>0.2123398</v>
      </c>
      <c r="FO14">
        <v>47175</v>
      </c>
      <c r="FP14">
        <v>0.91270799999999996</v>
      </c>
      <c r="FQ14">
        <v>202774</v>
      </c>
      <c r="FR14">
        <v>0.24214640000000001</v>
      </c>
      <c r="FS14">
        <v>52061</v>
      </c>
      <c r="FT14">
        <v>0.94314359999999997</v>
      </c>
      <c r="FU14">
        <v>202774</v>
      </c>
      <c r="FV14">
        <v>0.445496</v>
      </c>
      <c r="FW14">
        <v>92304</v>
      </c>
      <c r="FX14">
        <v>0.97866830000000005</v>
      </c>
      <c r="FY14">
        <v>414754</v>
      </c>
      <c r="FZ14">
        <v>0.5110981</v>
      </c>
      <c r="GA14">
        <v>229117</v>
      </c>
      <c r="GB14">
        <v>0.92520420000000003</v>
      </c>
      <c r="GC14">
        <v>211980</v>
      </c>
      <c r="GD14">
        <v>8.80885E-2</v>
      </c>
      <c r="GE14">
        <v>23281</v>
      </c>
      <c r="GF14">
        <v>0.80207039999999996</v>
      </c>
      <c r="GG14">
        <v>211980</v>
      </c>
      <c r="GH14">
        <v>0.21152940000000001</v>
      </c>
      <c r="GI14">
        <v>49958</v>
      </c>
      <c r="GJ14">
        <v>0.89755390000000002</v>
      </c>
      <c r="GK14">
        <v>211980</v>
      </c>
      <c r="GL14">
        <v>0.26783190000000001</v>
      </c>
      <c r="GM14">
        <v>61789</v>
      </c>
      <c r="GN14">
        <v>0.91885289999999997</v>
      </c>
      <c r="GO14">
        <v>211980</v>
      </c>
      <c r="GP14">
        <v>0.4325503</v>
      </c>
      <c r="GQ14">
        <v>94089</v>
      </c>
      <c r="GR14">
        <v>0.9745241</v>
      </c>
      <c r="GS14">
        <v>526884</v>
      </c>
      <c r="GT14">
        <v>7.67095E-2</v>
      </c>
      <c r="GU14">
        <v>40417</v>
      </c>
      <c r="GV14">
        <v>0.43157580000000001</v>
      </c>
      <c r="GW14">
        <v>17443</v>
      </c>
      <c r="GX14">
        <v>0.12165339999999999</v>
      </c>
      <c r="GY14">
        <v>17443</v>
      </c>
      <c r="GZ14">
        <v>0.3712664</v>
      </c>
      <c r="HA14">
        <v>17443</v>
      </c>
      <c r="HB14">
        <v>0.50708019999999998</v>
      </c>
      <c r="HC14">
        <v>17443</v>
      </c>
      <c r="HD14">
        <v>0.61881549999999996</v>
      </c>
      <c r="HE14">
        <v>17443</v>
      </c>
      <c r="HF14">
        <v>0.38118439999999998</v>
      </c>
      <c r="HG14">
        <v>10794</v>
      </c>
      <c r="HH14">
        <v>0.60691119999999998</v>
      </c>
      <c r="HI14">
        <v>10794</v>
      </c>
      <c r="HJ14">
        <v>0.39308880000000002</v>
      </c>
      <c r="HK14">
        <v>40417</v>
      </c>
      <c r="HL14">
        <v>0.56842420000000005</v>
      </c>
      <c r="HM14">
        <v>22974</v>
      </c>
      <c r="HN14">
        <v>5.9240899999999999E-2</v>
      </c>
      <c r="HO14">
        <v>22974</v>
      </c>
      <c r="HP14">
        <v>0.28379910000000003</v>
      </c>
      <c r="HQ14">
        <v>22974</v>
      </c>
      <c r="HR14">
        <v>0.65696010000000005</v>
      </c>
      <c r="HS14">
        <v>22974</v>
      </c>
      <c r="HT14">
        <v>0.40928880000000001</v>
      </c>
      <c r="HU14">
        <v>22974</v>
      </c>
      <c r="HV14">
        <v>0.59071119999999999</v>
      </c>
      <c r="HW14">
        <v>9403</v>
      </c>
      <c r="HX14">
        <v>0.5945975</v>
      </c>
      <c r="HY14">
        <v>9403</v>
      </c>
      <c r="HZ14">
        <v>0.4054025</v>
      </c>
      <c r="IA14">
        <v>526884</v>
      </c>
      <c r="IB14">
        <v>0.92329050000000001</v>
      </c>
      <c r="IC14">
        <v>486467</v>
      </c>
      <c r="ID14">
        <v>0.49933909999999998</v>
      </c>
      <c r="IE14">
        <v>242912</v>
      </c>
      <c r="IF14">
        <v>0.54434939999999998</v>
      </c>
      <c r="IG14">
        <v>242912</v>
      </c>
      <c r="IH14">
        <v>0.24541399999999999</v>
      </c>
      <c r="II14">
        <v>242912</v>
      </c>
      <c r="IJ14">
        <v>0.2102366</v>
      </c>
      <c r="IK14">
        <v>242162</v>
      </c>
      <c r="IL14">
        <v>0.79445580000000005</v>
      </c>
      <c r="IM14">
        <v>242162</v>
      </c>
      <c r="IN14">
        <v>0.20554420000000001</v>
      </c>
      <c r="IO14">
        <v>192387</v>
      </c>
      <c r="IP14">
        <v>0.89738910000000005</v>
      </c>
      <c r="IQ14">
        <v>192387</v>
      </c>
      <c r="IR14">
        <v>0.1026109</v>
      </c>
      <c r="IS14">
        <v>486467</v>
      </c>
      <c r="IT14">
        <v>0.50066089999999996</v>
      </c>
      <c r="IU14">
        <v>243555</v>
      </c>
      <c r="IV14">
        <v>0.38018930000000001</v>
      </c>
      <c r="IW14">
        <v>243555</v>
      </c>
      <c r="IX14">
        <v>0.29799019999999998</v>
      </c>
      <c r="IY14">
        <v>243555</v>
      </c>
      <c r="IZ14">
        <v>0.32182050000000001</v>
      </c>
      <c r="JA14">
        <v>243319</v>
      </c>
      <c r="JB14">
        <v>0.66367609999999999</v>
      </c>
      <c r="JC14">
        <v>243319</v>
      </c>
      <c r="JD14">
        <v>0.33632390000000001</v>
      </c>
      <c r="JE14">
        <v>161485</v>
      </c>
      <c r="JF14">
        <v>0.90436879999999997</v>
      </c>
      <c r="JG14">
        <v>161485</v>
      </c>
      <c r="JH14">
        <v>9.56312E-2</v>
      </c>
      <c r="JI14">
        <v>179308</v>
      </c>
      <c r="JJ14">
        <v>9.5678899999999997E-2</v>
      </c>
      <c r="JK14">
        <v>17156</v>
      </c>
      <c r="JL14">
        <v>0.44841449999999999</v>
      </c>
      <c r="JM14">
        <v>7693</v>
      </c>
      <c r="JN14">
        <v>0.74743269999999995</v>
      </c>
      <c r="JO14">
        <v>7693</v>
      </c>
      <c r="JP14">
        <v>0.74743269999999995</v>
      </c>
      <c r="JQ14">
        <v>7693</v>
      </c>
      <c r="JR14">
        <v>0.74743269999999995</v>
      </c>
      <c r="JS14">
        <v>7693</v>
      </c>
      <c r="JT14">
        <v>0.74743269999999995</v>
      </c>
      <c r="JU14">
        <v>7693</v>
      </c>
      <c r="JV14">
        <v>0.25256729999999999</v>
      </c>
      <c r="JW14">
        <v>17156</v>
      </c>
      <c r="JX14">
        <v>0.5515854</v>
      </c>
      <c r="JY14">
        <v>9463</v>
      </c>
      <c r="JZ14">
        <v>0.19919690000000001</v>
      </c>
      <c r="KA14">
        <v>1885</v>
      </c>
      <c r="KB14">
        <v>0.77612729999999996</v>
      </c>
      <c r="KC14">
        <v>1463</v>
      </c>
      <c r="KD14">
        <v>0.20300750000000001</v>
      </c>
      <c r="KE14">
        <v>1463</v>
      </c>
      <c r="KF14">
        <v>0.2146275</v>
      </c>
      <c r="KG14">
        <v>1463</v>
      </c>
      <c r="KH14">
        <v>0.58236500000000002</v>
      </c>
      <c r="KI14">
        <v>1885</v>
      </c>
      <c r="KJ14">
        <v>0.22387270000000001</v>
      </c>
      <c r="KK14">
        <v>9463</v>
      </c>
      <c r="KL14">
        <v>0.80080309999999999</v>
      </c>
      <c r="KM14">
        <v>7578</v>
      </c>
      <c r="KN14">
        <v>0.87344940000000004</v>
      </c>
      <c r="KO14">
        <v>6619</v>
      </c>
      <c r="KP14">
        <v>0.145037</v>
      </c>
      <c r="KQ14">
        <v>6619</v>
      </c>
      <c r="KR14">
        <v>0.38903159999999998</v>
      </c>
      <c r="KS14">
        <v>6619</v>
      </c>
      <c r="KT14">
        <v>0.4659314</v>
      </c>
      <c r="KU14">
        <v>7578</v>
      </c>
      <c r="KV14">
        <v>0.12655050000000001</v>
      </c>
      <c r="KW14">
        <v>179308</v>
      </c>
      <c r="KX14">
        <v>2.6819800000000001E-2</v>
      </c>
      <c r="KY14">
        <v>4809</v>
      </c>
      <c r="KZ14">
        <v>0.69058019999999998</v>
      </c>
      <c r="LA14">
        <v>3321</v>
      </c>
      <c r="LB14">
        <v>0.75940980000000002</v>
      </c>
      <c r="LC14">
        <v>3321</v>
      </c>
      <c r="LD14">
        <v>0.75940980000000002</v>
      </c>
      <c r="LE14">
        <v>3321</v>
      </c>
      <c r="LF14">
        <v>0.75940980000000002</v>
      </c>
      <c r="LG14">
        <v>3321</v>
      </c>
      <c r="LH14">
        <v>0.75940980000000002</v>
      </c>
      <c r="LI14">
        <v>3321</v>
      </c>
      <c r="LJ14">
        <v>0.2405902</v>
      </c>
      <c r="LK14">
        <v>4809</v>
      </c>
      <c r="LL14">
        <v>0.30941980000000002</v>
      </c>
      <c r="LM14">
        <v>1488</v>
      </c>
      <c r="LN14">
        <v>0.3649194</v>
      </c>
      <c r="LO14">
        <v>543</v>
      </c>
      <c r="LP14">
        <v>1</v>
      </c>
      <c r="LQ14">
        <v>543</v>
      </c>
      <c r="LR14">
        <v>0</v>
      </c>
      <c r="LS14">
        <v>543</v>
      </c>
      <c r="LT14">
        <v>0.77532230000000002</v>
      </c>
      <c r="LU14">
        <v>543</v>
      </c>
      <c r="LV14">
        <v>0.22467770000000001</v>
      </c>
      <c r="LW14">
        <v>543</v>
      </c>
      <c r="LX14">
        <v>0</v>
      </c>
      <c r="LY14">
        <v>1488</v>
      </c>
      <c r="LZ14">
        <v>0.6350806</v>
      </c>
      <c r="MA14">
        <v>945</v>
      </c>
      <c r="MB14">
        <v>0.61904760000000003</v>
      </c>
      <c r="MC14">
        <v>585</v>
      </c>
      <c r="MD14">
        <v>0.22393160000000001</v>
      </c>
      <c r="ME14">
        <v>585</v>
      </c>
      <c r="MF14">
        <v>5.2991499999999997E-2</v>
      </c>
      <c r="MG14">
        <v>585</v>
      </c>
      <c r="MH14">
        <v>0.72307690000000002</v>
      </c>
      <c r="MI14">
        <v>945</v>
      </c>
      <c r="MJ14">
        <v>0.38095240000000002</v>
      </c>
      <c r="MK14">
        <v>179308</v>
      </c>
      <c r="ML14">
        <v>4.7175799999999997E-2</v>
      </c>
      <c r="MM14">
        <v>8459</v>
      </c>
      <c r="MN14">
        <v>0.6321078</v>
      </c>
      <c r="MO14">
        <v>5347</v>
      </c>
      <c r="MP14">
        <v>0.68299980000000005</v>
      </c>
      <c r="MQ14">
        <v>5347</v>
      </c>
      <c r="MR14">
        <v>0.68299980000000005</v>
      </c>
      <c r="MS14">
        <v>5347</v>
      </c>
      <c r="MT14">
        <v>0.68299980000000005</v>
      </c>
      <c r="MU14">
        <v>5347</v>
      </c>
      <c r="MV14">
        <v>0.68299980000000005</v>
      </c>
      <c r="MW14">
        <v>5347</v>
      </c>
      <c r="MX14">
        <v>0.31700020000000001</v>
      </c>
      <c r="MY14">
        <v>8459</v>
      </c>
      <c r="MZ14">
        <v>0.3678922</v>
      </c>
      <c r="NA14">
        <v>3112</v>
      </c>
      <c r="NB14">
        <v>0.2426092</v>
      </c>
      <c r="NC14">
        <v>755</v>
      </c>
      <c r="ND14">
        <v>0.9192053</v>
      </c>
      <c r="NE14">
        <v>694</v>
      </c>
      <c r="NF14">
        <v>0.55763689999999999</v>
      </c>
      <c r="NG14">
        <v>694</v>
      </c>
      <c r="NH14">
        <v>5.7636899999999998E-2</v>
      </c>
      <c r="NI14">
        <v>694</v>
      </c>
      <c r="NJ14">
        <v>0.38472620000000002</v>
      </c>
      <c r="NK14">
        <v>755</v>
      </c>
      <c r="NL14">
        <v>8.0794699999999997E-2</v>
      </c>
      <c r="NM14">
        <v>3112</v>
      </c>
      <c r="NN14">
        <v>0.75739069999999997</v>
      </c>
      <c r="NO14">
        <v>2357</v>
      </c>
      <c r="NP14">
        <v>0.93338989999999999</v>
      </c>
      <c r="NQ14">
        <v>2200</v>
      </c>
      <c r="NR14">
        <v>0.13272729999999999</v>
      </c>
      <c r="NS14">
        <v>2200</v>
      </c>
      <c r="NT14">
        <v>0.31227270000000001</v>
      </c>
      <c r="NU14">
        <v>2200</v>
      </c>
      <c r="NV14">
        <v>0.55500000000000005</v>
      </c>
      <c r="NW14">
        <v>2357</v>
      </c>
      <c r="NX14">
        <v>6.6610100000000005E-2</v>
      </c>
      <c r="NY14">
        <v>179308</v>
      </c>
      <c r="NZ14">
        <v>0.83032550000000005</v>
      </c>
      <c r="OA14">
        <v>148884</v>
      </c>
      <c r="OB14">
        <v>0.85547139999999999</v>
      </c>
      <c r="OC14">
        <v>127366</v>
      </c>
      <c r="OD14">
        <v>0.49761319999999998</v>
      </c>
      <c r="OE14">
        <v>127366</v>
      </c>
      <c r="OF14">
        <v>0.49761319999999998</v>
      </c>
      <c r="OG14">
        <v>127366</v>
      </c>
      <c r="OH14">
        <v>0.49761319999999998</v>
      </c>
      <c r="OI14">
        <v>127366</v>
      </c>
      <c r="OJ14">
        <v>0.49761319999999998</v>
      </c>
      <c r="OK14">
        <v>127366</v>
      </c>
      <c r="OL14">
        <v>0.50238680000000002</v>
      </c>
      <c r="OM14">
        <v>148884</v>
      </c>
      <c r="ON14">
        <v>0.14452860000000001</v>
      </c>
      <c r="OO14">
        <v>21518</v>
      </c>
      <c r="OP14">
        <v>0.29333579999999998</v>
      </c>
      <c r="OQ14">
        <v>6312</v>
      </c>
      <c r="OR14">
        <v>0.46150190000000002</v>
      </c>
      <c r="OS14">
        <v>2913</v>
      </c>
      <c r="OT14">
        <v>0.1191212</v>
      </c>
      <c r="OU14">
        <v>2913</v>
      </c>
      <c r="OV14">
        <v>0.1846893</v>
      </c>
      <c r="OW14">
        <v>2913</v>
      </c>
      <c r="OX14">
        <v>0.69618950000000002</v>
      </c>
      <c r="OY14">
        <v>6312</v>
      </c>
      <c r="OZ14">
        <v>0.53849809999999998</v>
      </c>
      <c r="PA14">
        <v>21518</v>
      </c>
      <c r="PB14">
        <v>0.70666419999999996</v>
      </c>
      <c r="PC14">
        <v>15206</v>
      </c>
      <c r="PD14">
        <v>0.50993029999999995</v>
      </c>
      <c r="PE14">
        <v>7754</v>
      </c>
      <c r="PF14">
        <v>0.16468920000000001</v>
      </c>
      <c r="PG14">
        <v>7754</v>
      </c>
      <c r="PH14">
        <v>7.5187000000000004E-2</v>
      </c>
      <c r="PI14">
        <v>7754</v>
      </c>
      <c r="PJ14">
        <v>0.76012380000000002</v>
      </c>
      <c r="PK14">
        <v>15206</v>
      </c>
      <c r="PL14">
        <v>0.4900697</v>
      </c>
      <c r="PM14">
        <v>704596</v>
      </c>
      <c r="PN14">
        <v>0.49943510000000002</v>
      </c>
      <c r="PO14">
        <v>351900</v>
      </c>
      <c r="PP14">
        <v>6.8294999999999995E-2</v>
      </c>
      <c r="PQ14">
        <v>351900</v>
      </c>
      <c r="PR14">
        <v>7.4154600000000001E-2</v>
      </c>
      <c r="PS14">
        <v>351900</v>
      </c>
      <c r="PT14">
        <v>8.6317099999999994E-2</v>
      </c>
      <c r="PU14">
        <v>351900</v>
      </c>
      <c r="PV14">
        <v>5.1412300000000001E-2</v>
      </c>
      <c r="PW14">
        <v>351900</v>
      </c>
      <c r="PX14">
        <v>3.3682900000000002E-2</v>
      </c>
      <c r="PY14">
        <v>351900</v>
      </c>
      <c r="PZ14">
        <v>1.4956000000000001E-2</v>
      </c>
      <c r="QA14">
        <v>351900</v>
      </c>
      <c r="QB14">
        <v>1.50469E-2</v>
      </c>
      <c r="QC14">
        <v>351900</v>
      </c>
      <c r="QD14">
        <v>3.6828600000000003E-2</v>
      </c>
      <c r="QE14">
        <v>351900</v>
      </c>
      <c r="QF14">
        <v>5.8664399999999998E-2</v>
      </c>
      <c r="QG14">
        <v>351900</v>
      </c>
      <c r="QH14">
        <v>5.7948300000000001E-2</v>
      </c>
      <c r="QI14">
        <v>351900</v>
      </c>
      <c r="QJ14">
        <v>6.6314300000000007E-2</v>
      </c>
      <c r="QK14">
        <v>351900</v>
      </c>
      <c r="QL14">
        <v>7.2588799999999995E-2</v>
      </c>
      <c r="QM14">
        <v>351900</v>
      </c>
      <c r="QN14">
        <v>8.0710400000000002E-2</v>
      </c>
      <c r="QO14">
        <v>351900</v>
      </c>
      <c r="QP14">
        <v>7.8485399999999997E-2</v>
      </c>
      <c r="QQ14">
        <v>351900</v>
      </c>
      <c r="QR14">
        <v>5.9471400000000001E-2</v>
      </c>
      <c r="QS14">
        <v>351900</v>
      </c>
      <c r="QT14">
        <v>2.2287600000000001E-2</v>
      </c>
      <c r="QU14">
        <v>351900</v>
      </c>
      <c r="QV14">
        <v>3.1378200000000002E-2</v>
      </c>
      <c r="QW14">
        <v>351900</v>
      </c>
      <c r="QX14">
        <v>1.35891E-2</v>
      </c>
      <c r="QY14">
        <v>351900</v>
      </c>
      <c r="QZ14">
        <v>1.7863E-2</v>
      </c>
      <c r="RA14">
        <v>351900</v>
      </c>
      <c r="RB14">
        <v>2.2227899999999998E-2</v>
      </c>
      <c r="RC14">
        <v>351900</v>
      </c>
      <c r="RD14">
        <v>1.8485399999999999E-2</v>
      </c>
      <c r="RE14">
        <v>351900</v>
      </c>
      <c r="RF14">
        <v>1.2023300000000001E-2</v>
      </c>
      <c r="RG14">
        <v>351900</v>
      </c>
      <c r="RH14">
        <v>7.2690999999999997E-3</v>
      </c>
      <c r="RI14">
        <v>704596</v>
      </c>
      <c r="RJ14">
        <v>0.50056489999999998</v>
      </c>
      <c r="RK14">
        <v>352696</v>
      </c>
      <c r="RL14">
        <v>6.5316899999999997E-2</v>
      </c>
      <c r="RM14">
        <v>352696</v>
      </c>
      <c r="RN14">
        <v>7.9589800000000002E-2</v>
      </c>
      <c r="RO14">
        <v>352696</v>
      </c>
      <c r="RP14">
        <v>7.2901300000000002E-2</v>
      </c>
      <c r="RQ14">
        <v>352696</v>
      </c>
      <c r="RR14">
        <v>4.8013E-2</v>
      </c>
      <c r="RS14">
        <v>352696</v>
      </c>
      <c r="RT14">
        <v>2.4825900000000001E-2</v>
      </c>
      <c r="RU14">
        <v>352696</v>
      </c>
      <c r="RV14">
        <v>1.1361100000000001E-2</v>
      </c>
      <c r="RW14">
        <v>352696</v>
      </c>
      <c r="RX14">
        <v>9.6513999999999992E-3</v>
      </c>
      <c r="RY14">
        <v>352696</v>
      </c>
      <c r="RZ14">
        <v>3.20673E-2</v>
      </c>
      <c r="SA14">
        <v>352696</v>
      </c>
      <c r="SB14">
        <v>5.4596600000000002E-2</v>
      </c>
      <c r="SC14">
        <v>352696</v>
      </c>
      <c r="SD14">
        <v>5.9986499999999998E-2</v>
      </c>
      <c r="SE14">
        <v>352696</v>
      </c>
      <c r="SF14">
        <v>6.7874299999999999E-2</v>
      </c>
      <c r="SG14">
        <v>352696</v>
      </c>
      <c r="SH14">
        <v>7.6643900000000001E-2</v>
      </c>
      <c r="SI14">
        <v>352696</v>
      </c>
      <c r="SJ14">
        <v>8.4378599999999998E-2</v>
      </c>
      <c r="SK14">
        <v>352696</v>
      </c>
      <c r="SL14">
        <v>7.9924400000000007E-2</v>
      </c>
      <c r="SM14">
        <v>352696</v>
      </c>
      <c r="SN14">
        <v>6.6193000000000002E-2</v>
      </c>
      <c r="SO14">
        <v>352696</v>
      </c>
      <c r="SP14">
        <v>2.1057800000000002E-2</v>
      </c>
      <c r="SQ14">
        <v>352696</v>
      </c>
      <c r="SR14">
        <v>2.8616699999999998E-2</v>
      </c>
      <c r="SS14">
        <v>352696</v>
      </c>
      <c r="ST14">
        <v>1.71989E-2</v>
      </c>
      <c r="SU14">
        <v>352696</v>
      </c>
      <c r="SV14">
        <v>1.8681799999999998E-2</v>
      </c>
      <c r="SW14">
        <v>352696</v>
      </c>
      <c r="SX14">
        <v>2.5577300000000001E-2</v>
      </c>
      <c r="SY14">
        <v>352696</v>
      </c>
      <c r="SZ14">
        <v>1.8219699999999998E-2</v>
      </c>
      <c r="TA14">
        <v>352696</v>
      </c>
      <c r="TB14">
        <v>1.68133E-2</v>
      </c>
      <c r="TC14">
        <v>352696</v>
      </c>
      <c r="TD14">
        <v>2.05106E-2</v>
      </c>
      <c r="TE14">
        <v>534923</v>
      </c>
      <c r="TF14">
        <v>0.50170579999999998</v>
      </c>
      <c r="TG14">
        <v>47676</v>
      </c>
      <c r="TH14">
        <v>0.4689991</v>
      </c>
      <c r="TI14"/>
      <c r="TJ14"/>
      <c r="TK14">
        <v>43085</v>
      </c>
      <c r="TL14">
        <v>0.49374489999999999</v>
      </c>
      <c r="TM14"/>
      <c r="TN14"/>
      <c r="TO14">
        <v>57492</v>
      </c>
      <c r="TP14">
        <v>0.51579350000000002</v>
      </c>
      <c r="TQ14">
        <v>18533</v>
      </c>
      <c r="TR14">
        <v>0.4570766</v>
      </c>
      <c r="TS14">
        <v>458731</v>
      </c>
      <c r="TT14">
        <v>0.4962124</v>
      </c>
      <c r="TU14">
        <v>140826</v>
      </c>
      <c r="TV14">
        <v>0.51883170000000001</v>
      </c>
      <c r="TW14">
        <v>534923</v>
      </c>
      <c r="TX14">
        <v>0.49829410000000002</v>
      </c>
      <c r="TY14">
        <v>47676</v>
      </c>
      <c r="TZ14">
        <v>0.5310009</v>
      </c>
      <c r="UA14"/>
      <c r="UB14"/>
      <c r="UC14">
        <v>43085</v>
      </c>
      <c r="UD14">
        <v>0.50625509999999996</v>
      </c>
      <c r="UE14"/>
      <c r="UF14"/>
      <c r="UG14">
        <v>57492</v>
      </c>
      <c r="UH14">
        <v>0.48420649999999998</v>
      </c>
      <c r="UI14">
        <v>18533</v>
      </c>
      <c r="UJ14">
        <v>0.5429235</v>
      </c>
      <c r="UK14">
        <v>458731</v>
      </c>
      <c r="UL14">
        <v>0.5037876</v>
      </c>
      <c r="UM14">
        <v>140826</v>
      </c>
      <c r="UN14">
        <v>0.48116819999999999</v>
      </c>
      <c r="UO14">
        <v>165117</v>
      </c>
      <c r="UP14">
        <v>165117</v>
      </c>
      <c r="UQ14">
        <v>165117</v>
      </c>
      <c r="UR14">
        <v>141961</v>
      </c>
      <c r="US14">
        <v>141961</v>
      </c>
      <c r="UT14">
        <v>141961</v>
      </c>
      <c r="UU14">
        <v>1.0707599999999999E-2</v>
      </c>
      <c r="UV14">
        <v>0.88205940000000005</v>
      </c>
      <c r="UW14">
        <v>0.1072331</v>
      </c>
      <c r="UX14">
        <v>2.4583999999999999E-3</v>
      </c>
      <c r="UY14">
        <v>0.89607709999999996</v>
      </c>
      <c r="UZ14">
        <v>0.1014645</v>
      </c>
      <c r="VA14">
        <v>10910</v>
      </c>
      <c r="VB14">
        <v>4.6471100000000001E-2</v>
      </c>
      <c r="VC14">
        <v>10910</v>
      </c>
      <c r="VD14">
        <v>0.72960590000000003</v>
      </c>
      <c r="VE14">
        <v>10910</v>
      </c>
      <c r="VF14">
        <v>0.22392300000000001</v>
      </c>
      <c r="VG14">
        <v>18974</v>
      </c>
      <c r="VH14">
        <v>3.1253299999999998E-2</v>
      </c>
      <c r="VI14">
        <v>18974</v>
      </c>
      <c r="VJ14">
        <v>0.82196689999999994</v>
      </c>
      <c r="VK14">
        <v>18974</v>
      </c>
      <c r="VL14">
        <v>0.14677979999999999</v>
      </c>
      <c r="VM14">
        <v>19085</v>
      </c>
      <c r="VN14">
        <v>1.8863000000000001E-2</v>
      </c>
      <c r="VO14">
        <v>19085</v>
      </c>
      <c r="VP14">
        <v>0.8926906</v>
      </c>
      <c r="VQ14">
        <v>19085</v>
      </c>
      <c r="VR14">
        <v>8.8446399999999994E-2</v>
      </c>
      <c r="VS14">
        <v>46325</v>
      </c>
      <c r="VT14">
        <v>9.7139999999999998E-4</v>
      </c>
      <c r="VU14">
        <v>46325</v>
      </c>
      <c r="VV14">
        <v>0.91527250000000004</v>
      </c>
      <c r="VW14">
        <v>46325</v>
      </c>
      <c r="VX14">
        <v>8.37561E-2</v>
      </c>
      <c r="VY14">
        <v>52157</v>
      </c>
      <c r="VZ14">
        <v>5.0425000000000001E-3</v>
      </c>
      <c r="WA14">
        <v>52157</v>
      </c>
      <c r="WB14">
        <v>0.89418489999999995</v>
      </c>
      <c r="WC14">
        <v>52157</v>
      </c>
      <c r="WD14">
        <v>0.10077270000000001</v>
      </c>
      <c r="WE14">
        <v>17666</v>
      </c>
      <c r="WF14">
        <v>0</v>
      </c>
      <c r="WG14">
        <v>17666</v>
      </c>
      <c r="WH14">
        <v>0.90637380000000001</v>
      </c>
      <c r="WI14">
        <v>17666</v>
      </c>
      <c r="WJ14">
        <v>9.3626200000000007E-2</v>
      </c>
      <c r="WK14">
        <v>9257</v>
      </c>
      <c r="WL14">
        <v>4.9692E-3</v>
      </c>
      <c r="WM14">
        <v>9257</v>
      </c>
      <c r="WN14">
        <v>0.85502860000000003</v>
      </c>
      <c r="WO14">
        <v>9257</v>
      </c>
      <c r="WP14">
        <v>0.14000219999999999</v>
      </c>
      <c r="WQ14">
        <v>14935</v>
      </c>
      <c r="WR14">
        <v>9.1061000000000007E-3</v>
      </c>
      <c r="WS14">
        <v>14935</v>
      </c>
      <c r="WT14">
        <v>0.81252089999999999</v>
      </c>
      <c r="WU14">
        <v>14935</v>
      </c>
      <c r="WV14">
        <v>0.1783729</v>
      </c>
      <c r="WW14">
        <v>15273</v>
      </c>
      <c r="WX14">
        <v>4.3867999999999997E-3</v>
      </c>
      <c r="WY14">
        <v>15273</v>
      </c>
      <c r="WZ14">
        <v>0.88358539999999997</v>
      </c>
      <c r="XA14">
        <v>15273</v>
      </c>
      <c r="XB14">
        <v>0.1120278</v>
      </c>
      <c r="XC14">
        <v>39434</v>
      </c>
      <c r="XD14">
        <v>2.5358999999999998E-3</v>
      </c>
      <c r="XE14">
        <v>39434</v>
      </c>
      <c r="XF14">
        <v>0.90771930000000001</v>
      </c>
      <c r="XG14">
        <v>39434</v>
      </c>
      <c r="XH14">
        <v>8.9744900000000002E-2</v>
      </c>
      <c r="XI14">
        <v>45384</v>
      </c>
      <c r="XJ14">
        <v>0</v>
      </c>
      <c r="XK14">
        <v>45384</v>
      </c>
      <c r="XL14">
        <v>0.91490389999999999</v>
      </c>
      <c r="XM14">
        <v>45384</v>
      </c>
      <c r="XN14">
        <v>8.5096099999999994E-2</v>
      </c>
      <c r="XO14">
        <v>17678</v>
      </c>
      <c r="XP14">
        <v>0</v>
      </c>
      <c r="XQ14">
        <v>17678</v>
      </c>
      <c r="XR14">
        <v>0.92465209999999998</v>
      </c>
      <c r="XS14">
        <v>17678</v>
      </c>
      <c r="XT14">
        <v>7.5347899999999995E-2</v>
      </c>
      <c r="XU14">
        <v>463078</v>
      </c>
      <c r="XV14">
        <v>0.5057507</v>
      </c>
      <c r="XW14">
        <v>234202</v>
      </c>
      <c r="XX14">
        <v>0.83429260000000005</v>
      </c>
      <c r="XY14">
        <v>234202</v>
      </c>
      <c r="XZ14">
        <v>0.1657074</v>
      </c>
      <c r="YA14">
        <v>195393</v>
      </c>
      <c r="YB14">
        <v>0.81811020000000001</v>
      </c>
      <c r="YC14">
        <v>159853</v>
      </c>
      <c r="YD14">
        <v>0.82191139999999996</v>
      </c>
      <c r="YE14">
        <v>159853</v>
      </c>
      <c r="YF14">
        <v>1.45071E-2</v>
      </c>
      <c r="YG14">
        <v>159853</v>
      </c>
      <c r="YH14">
        <v>4.7518699999999997E-2</v>
      </c>
      <c r="YI14">
        <v>159853</v>
      </c>
      <c r="YJ14">
        <v>5.4181E-2</v>
      </c>
      <c r="YK14">
        <v>159853</v>
      </c>
      <c r="YL14">
        <v>3.2423500000000001E-2</v>
      </c>
      <c r="YM14">
        <v>159853</v>
      </c>
      <c r="YN14">
        <v>2.94583E-2</v>
      </c>
      <c r="YO14">
        <v>195393</v>
      </c>
      <c r="YP14">
        <v>0.14346980000000001</v>
      </c>
      <c r="YQ14">
        <v>28033</v>
      </c>
      <c r="YR14">
        <v>0.46213389999999999</v>
      </c>
      <c r="YS14">
        <v>28033</v>
      </c>
      <c r="YT14">
        <v>2.31513E-2</v>
      </c>
      <c r="YU14">
        <v>28033</v>
      </c>
      <c r="YV14">
        <v>8.4685899999999995E-2</v>
      </c>
      <c r="YW14">
        <v>28033</v>
      </c>
      <c r="YX14">
        <v>0.14907429999999999</v>
      </c>
      <c r="YY14">
        <v>28033</v>
      </c>
      <c r="YZ14">
        <v>8.6540900000000004E-2</v>
      </c>
      <c r="ZA14">
        <v>28033</v>
      </c>
      <c r="ZB14">
        <v>0.19441369999999999</v>
      </c>
      <c r="ZC14">
        <v>195393</v>
      </c>
      <c r="ZD14">
        <v>3.8420000000000003E-2</v>
      </c>
      <c r="ZE14">
        <v>7507</v>
      </c>
      <c r="ZF14">
        <v>0.23071800000000001</v>
      </c>
      <c r="ZG14">
        <v>7507</v>
      </c>
      <c r="ZH14">
        <v>6.6604999999999998E-3</v>
      </c>
      <c r="ZI14">
        <v>7507</v>
      </c>
      <c r="ZJ14">
        <v>7.1000400000000005E-2</v>
      </c>
      <c r="ZK14">
        <v>7507</v>
      </c>
      <c r="ZL14">
        <v>0.1008392</v>
      </c>
      <c r="ZM14">
        <v>7507</v>
      </c>
      <c r="ZN14">
        <v>0.1649127</v>
      </c>
      <c r="ZO14">
        <v>7507</v>
      </c>
      <c r="ZP14">
        <v>0.4258692</v>
      </c>
      <c r="ZQ14">
        <v>463078</v>
      </c>
      <c r="ZR14">
        <v>0.4942493</v>
      </c>
      <c r="ZS14">
        <v>228876</v>
      </c>
      <c r="ZT14">
        <v>0.73130430000000002</v>
      </c>
      <c r="ZU14">
        <v>228876</v>
      </c>
      <c r="ZV14">
        <v>0.26869569999999998</v>
      </c>
      <c r="ZW14">
        <v>167378</v>
      </c>
      <c r="ZX14">
        <v>0.66577450000000005</v>
      </c>
      <c r="ZY14">
        <v>111436</v>
      </c>
      <c r="ZZ14">
        <v>0.8215209</v>
      </c>
      <c r="AAA14">
        <v>111436</v>
      </c>
      <c r="AAB14">
        <v>1.28325E-2</v>
      </c>
      <c r="AAC14">
        <v>111436</v>
      </c>
      <c r="AAD14">
        <v>4.2885600000000003E-2</v>
      </c>
      <c r="AAE14">
        <v>111436</v>
      </c>
      <c r="AAF14">
        <v>5.34028E-2</v>
      </c>
      <c r="AAG14">
        <v>111436</v>
      </c>
      <c r="AAH14">
        <v>3.3283699999999999E-2</v>
      </c>
      <c r="AAI14">
        <v>111436</v>
      </c>
      <c r="AAJ14">
        <v>3.6074500000000002E-2</v>
      </c>
      <c r="AAK14">
        <v>167378</v>
      </c>
      <c r="AAL14">
        <v>0.25969959999999997</v>
      </c>
      <c r="AAM14">
        <v>43468</v>
      </c>
      <c r="AAN14">
        <v>0.55767460000000002</v>
      </c>
      <c r="AAO14">
        <v>43468</v>
      </c>
      <c r="AAP14">
        <v>3.3679899999999999E-2</v>
      </c>
      <c r="AAQ14">
        <v>43468</v>
      </c>
      <c r="AAR14">
        <v>0.1085396</v>
      </c>
      <c r="AAS14">
        <v>43468</v>
      </c>
      <c r="AAT14">
        <v>0.10177600000000001</v>
      </c>
      <c r="AAU14">
        <v>43468</v>
      </c>
      <c r="AAV14">
        <v>8.6661500000000002E-2</v>
      </c>
      <c r="AAW14">
        <v>43468</v>
      </c>
      <c r="AAX14">
        <v>0.1116684</v>
      </c>
      <c r="AAY14">
        <v>167378</v>
      </c>
      <c r="AAZ14">
        <v>7.4525900000000006E-2</v>
      </c>
      <c r="ABA14">
        <v>12474</v>
      </c>
      <c r="ABB14">
        <v>0.25276569999999998</v>
      </c>
      <c r="ABC14">
        <v>12474</v>
      </c>
      <c r="ABD14">
        <v>5.4513000000000001E-3</v>
      </c>
      <c r="ABE14">
        <v>12474</v>
      </c>
      <c r="ABF14">
        <v>8.7301599999999993E-2</v>
      </c>
      <c r="ABG14">
        <v>12474</v>
      </c>
      <c r="ABH14">
        <v>0.12562129999999999</v>
      </c>
      <c r="ABI14">
        <v>12474</v>
      </c>
      <c r="ABJ14">
        <v>0.1407728</v>
      </c>
      <c r="ABK14">
        <v>12474</v>
      </c>
      <c r="ABL14">
        <v>0.38808720000000002</v>
      </c>
      <c r="ABM14">
        <v>238063</v>
      </c>
      <c r="ABN14">
        <v>0.75319559999999997</v>
      </c>
      <c r="ABO14">
        <v>179308</v>
      </c>
      <c r="ABP14">
        <v>0.80156490000000002</v>
      </c>
      <c r="ABQ14">
        <v>179308</v>
      </c>
      <c r="ABR14">
        <v>0.1984351</v>
      </c>
      <c r="ABS14">
        <v>35581</v>
      </c>
      <c r="ABT14">
        <v>0.26685589999999998</v>
      </c>
      <c r="ABU14">
        <v>35581</v>
      </c>
      <c r="ABV14">
        <v>0.73314409999999997</v>
      </c>
      <c r="ABW14">
        <v>238063</v>
      </c>
      <c r="ABX14">
        <v>0.24680440000000001</v>
      </c>
      <c r="ABY14">
        <v>58755</v>
      </c>
      <c r="ABZ14">
        <v>0.82782739999999999</v>
      </c>
      <c r="ACA14">
        <v>58755</v>
      </c>
      <c r="ACB14">
        <v>0.17217260000000001</v>
      </c>
      <c r="ACC14">
        <v>547273</v>
      </c>
      <c r="ACD14">
        <v>0.49590790000000001</v>
      </c>
      <c r="ACE14">
        <v>271397</v>
      </c>
      <c r="ACF14">
        <v>0.33292189999999999</v>
      </c>
      <c r="ACG14">
        <v>90354</v>
      </c>
      <c r="ACH14">
        <v>0.1997698</v>
      </c>
      <c r="ACI14">
        <v>90354</v>
      </c>
      <c r="ACJ14">
        <v>0.1288377</v>
      </c>
      <c r="ACK14">
        <v>90354</v>
      </c>
      <c r="ACL14">
        <v>0.2470726</v>
      </c>
      <c r="ACM14">
        <v>90354</v>
      </c>
      <c r="ACN14">
        <v>0.15263299999999999</v>
      </c>
      <c r="ACO14">
        <v>90354</v>
      </c>
      <c r="ACP14">
        <v>7.9266000000000003E-2</v>
      </c>
      <c r="ACQ14">
        <v>90354</v>
      </c>
      <c r="ACR14">
        <v>6.1093000000000001E-2</v>
      </c>
      <c r="ACS14">
        <v>90354</v>
      </c>
      <c r="ACT14">
        <v>3.55269E-2</v>
      </c>
      <c r="ACU14">
        <v>90354</v>
      </c>
      <c r="ACV14">
        <v>3.2704700000000003E-2</v>
      </c>
      <c r="ACW14">
        <v>90354</v>
      </c>
      <c r="ACX14">
        <v>2.8952800000000001E-2</v>
      </c>
      <c r="ACY14">
        <v>90354</v>
      </c>
      <c r="ACZ14">
        <v>1.4188600000000001E-2</v>
      </c>
      <c r="ADA14">
        <v>90354</v>
      </c>
      <c r="ADB14">
        <v>1.13332E-2</v>
      </c>
      <c r="ADC14">
        <v>90354</v>
      </c>
      <c r="ADD14">
        <v>4.5820000000000001E-3</v>
      </c>
      <c r="ADE14">
        <v>90354</v>
      </c>
      <c r="ADF14">
        <v>3.5084000000000001E-3</v>
      </c>
      <c r="ADG14">
        <v>90354</v>
      </c>
      <c r="ADH14">
        <v>5.3120000000000001E-4</v>
      </c>
      <c r="ADI14">
        <v>271397</v>
      </c>
      <c r="ADJ14">
        <v>0.57989219999999997</v>
      </c>
      <c r="ADK14">
        <v>157381</v>
      </c>
      <c r="ADL14">
        <v>0.93478879999999998</v>
      </c>
      <c r="ADM14">
        <v>147118</v>
      </c>
      <c r="ADN14">
        <v>0</v>
      </c>
      <c r="ADO14">
        <v>147118</v>
      </c>
      <c r="ADP14">
        <v>0</v>
      </c>
      <c r="ADQ14">
        <v>147118</v>
      </c>
      <c r="ADR14">
        <v>2.6713000000000002E-3</v>
      </c>
      <c r="ADS14">
        <v>147118</v>
      </c>
      <c r="ADT14">
        <v>3.5590499999999997E-2</v>
      </c>
      <c r="ADU14">
        <v>147118</v>
      </c>
      <c r="ADV14">
        <v>7.5680700000000004E-2</v>
      </c>
      <c r="ADW14">
        <v>147118</v>
      </c>
      <c r="ADX14">
        <v>0.10026640000000001</v>
      </c>
      <c r="ADY14">
        <v>147118</v>
      </c>
      <c r="ADZ14">
        <v>0.13224759999999999</v>
      </c>
      <c r="AEA14">
        <v>147118</v>
      </c>
      <c r="AEB14">
        <v>0.1374339</v>
      </c>
      <c r="AEC14">
        <v>147118</v>
      </c>
      <c r="AED14">
        <v>0.1400033</v>
      </c>
      <c r="AEE14">
        <v>147118</v>
      </c>
      <c r="AEF14">
        <v>0.1074444</v>
      </c>
      <c r="AEG14">
        <v>147118</v>
      </c>
      <c r="AEH14">
        <v>0.1004364</v>
      </c>
      <c r="AEI14">
        <v>147118</v>
      </c>
      <c r="AEJ14">
        <v>0.10292419999999999</v>
      </c>
      <c r="AEK14">
        <v>147118</v>
      </c>
      <c r="AEL14">
        <v>5.35285E-2</v>
      </c>
      <c r="AEM14">
        <v>147118</v>
      </c>
      <c r="AEN14">
        <v>1.1772899999999999E-2</v>
      </c>
      <c r="AEO14">
        <v>157381</v>
      </c>
      <c r="AEP14">
        <v>6.5211199999999997E-2</v>
      </c>
      <c r="AEQ14">
        <v>10263</v>
      </c>
      <c r="AER14">
        <v>0.36129790000000001</v>
      </c>
      <c r="AES14">
        <v>3708</v>
      </c>
      <c r="AET14">
        <v>1.1326900000000001E-2</v>
      </c>
      <c r="AEU14">
        <v>3708</v>
      </c>
      <c r="AEV14">
        <v>0</v>
      </c>
      <c r="AEW14">
        <v>3708</v>
      </c>
      <c r="AEX14">
        <v>0.13241639999999999</v>
      </c>
      <c r="AEY14">
        <v>3708</v>
      </c>
      <c r="AEZ14">
        <v>9.7357100000000002E-2</v>
      </c>
      <c r="AFA14">
        <v>3708</v>
      </c>
      <c r="AFB14">
        <v>0.13619200000000001</v>
      </c>
      <c r="AFC14">
        <v>3708</v>
      </c>
      <c r="AFD14">
        <v>0.12243800000000001</v>
      </c>
      <c r="AFE14">
        <v>3708</v>
      </c>
      <c r="AFF14">
        <v>0.1332255</v>
      </c>
      <c r="AFG14">
        <v>3708</v>
      </c>
      <c r="AFH14">
        <v>7.63215E-2</v>
      </c>
      <c r="AFI14">
        <v>3708</v>
      </c>
      <c r="AFJ14">
        <v>4.58468E-2</v>
      </c>
      <c r="AFK14">
        <v>3708</v>
      </c>
      <c r="AFL14">
        <v>4.6386200000000002E-2</v>
      </c>
      <c r="AFM14">
        <v>3708</v>
      </c>
      <c r="AFN14">
        <v>7.0927699999999996E-2</v>
      </c>
      <c r="AFO14">
        <v>3708</v>
      </c>
      <c r="AFP14">
        <v>9.3042100000000003E-2</v>
      </c>
      <c r="AFQ14">
        <v>3708</v>
      </c>
      <c r="AFR14">
        <v>1.7529699999999999E-2</v>
      </c>
      <c r="AFS14">
        <v>3708</v>
      </c>
      <c r="AFT14">
        <v>1.69903E-2</v>
      </c>
      <c r="AFU14">
        <v>10263</v>
      </c>
      <c r="AFV14">
        <v>0.6387022</v>
      </c>
      <c r="AFW14">
        <v>6555</v>
      </c>
      <c r="AFX14">
        <v>0</v>
      </c>
      <c r="AFY14">
        <v>6555</v>
      </c>
      <c r="AFZ14">
        <v>3.2341700000000001E-2</v>
      </c>
      <c r="AGA14">
        <v>6555</v>
      </c>
      <c r="AGB14">
        <v>3.58505E-2</v>
      </c>
      <c r="AGC14">
        <v>6555</v>
      </c>
      <c r="AGD14">
        <v>0.1067887</v>
      </c>
      <c r="AGE14">
        <v>6555</v>
      </c>
      <c r="AGF14">
        <v>0.1052632</v>
      </c>
      <c r="AGG14">
        <v>6555</v>
      </c>
      <c r="AGH14">
        <v>8.8634599999999994E-2</v>
      </c>
      <c r="AGI14">
        <v>6555</v>
      </c>
      <c r="AGJ14">
        <v>0.11929819999999999</v>
      </c>
      <c r="AGK14">
        <v>6555</v>
      </c>
      <c r="AGL14">
        <v>0.15575900000000001</v>
      </c>
      <c r="AGM14">
        <v>6555</v>
      </c>
      <c r="AGN14">
        <v>0.14782609999999999</v>
      </c>
      <c r="AGO14">
        <v>6555</v>
      </c>
      <c r="AGP14">
        <v>3.14264E-2</v>
      </c>
      <c r="AGQ14">
        <v>6555</v>
      </c>
      <c r="AGR14">
        <v>4.7597300000000002E-2</v>
      </c>
      <c r="AGS14">
        <v>6555</v>
      </c>
      <c r="AGT14">
        <v>5.27841E-2</v>
      </c>
      <c r="AGU14">
        <v>6555</v>
      </c>
      <c r="AGV14">
        <v>5.5530099999999999E-2</v>
      </c>
      <c r="AGW14">
        <v>6555</v>
      </c>
      <c r="AGX14">
        <v>2.0900100000000001E-2</v>
      </c>
      <c r="AGY14">
        <v>271397</v>
      </c>
      <c r="AGZ14">
        <v>1.6717200000000002E-2</v>
      </c>
      <c r="AHA14">
        <v>4537</v>
      </c>
      <c r="AHB14">
        <v>0</v>
      </c>
      <c r="AHC14">
        <v>4537</v>
      </c>
      <c r="AHD14">
        <v>0</v>
      </c>
      <c r="AHE14">
        <v>4537</v>
      </c>
      <c r="AHF14">
        <v>0</v>
      </c>
      <c r="AHG14">
        <v>4537</v>
      </c>
      <c r="AHH14">
        <v>0</v>
      </c>
      <c r="AHI14">
        <v>4537</v>
      </c>
      <c r="AHJ14">
        <v>0</v>
      </c>
      <c r="AHK14">
        <v>4537</v>
      </c>
      <c r="AHL14">
        <v>0</v>
      </c>
      <c r="AHM14">
        <v>4537</v>
      </c>
      <c r="AHN14">
        <v>2.2041000000000002E-2</v>
      </c>
      <c r="AHO14">
        <v>4537</v>
      </c>
      <c r="AHP14">
        <v>1.0579699999999999E-2</v>
      </c>
      <c r="AHQ14">
        <v>4537</v>
      </c>
      <c r="AHR14">
        <v>2.1820599999999999E-2</v>
      </c>
      <c r="AHS14">
        <v>4537</v>
      </c>
      <c r="AHT14">
        <v>0.1086621</v>
      </c>
      <c r="AHU14">
        <v>4537</v>
      </c>
      <c r="AHV14">
        <v>0.1033723</v>
      </c>
      <c r="AHW14">
        <v>4537</v>
      </c>
      <c r="AHX14">
        <v>0.21027109999999999</v>
      </c>
      <c r="AHY14">
        <v>4537</v>
      </c>
      <c r="AHZ14">
        <v>0.39585629999999999</v>
      </c>
      <c r="AIA14">
        <v>4537</v>
      </c>
      <c r="AIB14">
        <v>0.12739700000000001</v>
      </c>
      <c r="AIC14">
        <v>271397</v>
      </c>
      <c r="AID14">
        <v>7.0468699999999995E-2</v>
      </c>
      <c r="AIE14">
        <v>19125</v>
      </c>
      <c r="AIF14">
        <v>0</v>
      </c>
      <c r="AIG14">
        <v>19125</v>
      </c>
      <c r="AIH14">
        <v>0</v>
      </c>
      <c r="AII14">
        <v>19125</v>
      </c>
      <c r="AIJ14">
        <v>3.9215999999999999E-3</v>
      </c>
      <c r="AIK14">
        <v>19125</v>
      </c>
      <c r="AIL14">
        <v>2.9071900000000001E-2</v>
      </c>
      <c r="AIM14">
        <v>19125</v>
      </c>
      <c r="AIN14">
        <v>4.7111100000000003E-2</v>
      </c>
      <c r="AIO14">
        <v>19125</v>
      </c>
      <c r="AIP14">
        <v>0.1061438</v>
      </c>
      <c r="AIQ14">
        <v>19125</v>
      </c>
      <c r="AIR14">
        <v>7.8535900000000006E-2</v>
      </c>
      <c r="AIS14">
        <v>19125</v>
      </c>
      <c r="AIT14">
        <v>0.20266670000000001</v>
      </c>
      <c r="AIU14">
        <v>19125</v>
      </c>
      <c r="AIV14">
        <v>0.16564709999999999</v>
      </c>
      <c r="AIW14">
        <v>19125</v>
      </c>
      <c r="AIX14">
        <v>0.15518950000000001</v>
      </c>
      <c r="AIY14">
        <v>19125</v>
      </c>
      <c r="AIZ14">
        <v>0.10671899999999999</v>
      </c>
      <c r="AJA14">
        <v>19125</v>
      </c>
      <c r="AJB14">
        <v>8.8313699999999995E-2</v>
      </c>
      <c r="AJC14">
        <v>19125</v>
      </c>
      <c r="AJD14">
        <v>1.6679699999999999E-2</v>
      </c>
      <c r="AJE14">
        <v>19125</v>
      </c>
      <c r="AJF14">
        <v>0</v>
      </c>
      <c r="AJG14">
        <v>547273</v>
      </c>
      <c r="AJH14">
        <v>0.50409210000000004</v>
      </c>
      <c r="AJI14">
        <v>275876</v>
      </c>
      <c r="AJJ14">
        <v>0.25839869999999998</v>
      </c>
      <c r="AJK14">
        <v>71286</v>
      </c>
      <c r="AJL14">
        <v>0.23755019999999999</v>
      </c>
      <c r="AJM14">
        <v>71286</v>
      </c>
      <c r="AJN14">
        <v>0.1173302</v>
      </c>
      <c r="AJO14">
        <v>71286</v>
      </c>
      <c r="AJP14">
        <v>0.22655220000000001</v>
      </c>
      <c r="AJQ14">
        <v>71286</v>
      </c>
      <c r="AJR14">
        <v>0.1440255</v>
      </c>
      <c r="AJS14">
        <v>71286</v>
      </c>
      <c r="AJT14">
        <v>7.6284299999999999E-2</v>
      </c>
      <c r="AJU14">
        <v>71286</v>
      </c>
      <c r="AJV14">
        <v>4.6348500000000001E-2</v>
      </c>
      <c r="AJW14">
        <v>71286</v>
      </c>
      <c r="AJX14">
        <v>4.1550900000000002E-2</v>
      </c>
      <c r="AJY14">
        <v>71286</v>
      </c>
      <c r="AJZ14">
        <v>3.0454800000000001E-2</v>
      </c>
      <c r="AKA14">
        <v>71286</v>
      </c>
      <c r="AKB14">
        <v>1.9877700000000002E-2</v>
      </c>
      <c r="AKC14">
        <v>71286</v>
      </c>
      <c r="AKD14">
        <v>2.1406700000000001E-2</v>
      </c>
      <c r="AKE14">
        <v>71286</v>
      </c>
      <c r="AKF14">
        <v>1.6539000000000002E-2</v>
      </c>
      <c r="AKG14">
        <v>71286</v>
      </c>
      <c r="AKH14">
        <v>1.7324599999999999E-2</v>
      </c>
      <c r="AKI14">
        <v>71286</v>
      </c>
      <c r="AKJ14">
        <v>1.5851999999999999E-3</v>
      </c>
      <c r="AKK14">
        <v>71286</v>
      </c>
      <c r="AKL14">
        <v>3.1703E-3</v>
      </c>
      <c r="AKM14">
        <v>275876</v>
      </c>
      <c r="AKN14">
        <v>0.564558</v>
      </c>
      <c r="AKO14">
        <v>155748</v>
      </c>
      <c r="AKP14">
        <v>0.93648070000000005</v>
      </c>
      <c r="AKQ14">
        <v>145855</v>
      </c>
      <c r="AKR14">
        <v>0</v>
      </c>
      <c r="AKS14">
        <v>145855</v>
      </c>
      <c r="AKT14">
        <v>1.5288999999999999E-3</v>
      </c>
      <c r="AKU14">
        <v>145855</v>
      </c>
      <c r="AKV14">
        <v>1.36163E-2</v>
      </c>
      <c r="AKW14">
        <v>145855</v>
      </c>
      <c r="AKX14">
        <v>4.8822499999999998E-2</v>
      </c>
      <c r="AKY14">
        <v>145855</v>
      </c>
      <c r="AKZ14">
        <v>9.4024899999999995E-2</v>
      </c>
      <c r="ALA14">
        <v>145855</v>
      </c>
      <c r="ALB14">
        <v>0.1150938</v>
      </c>
      <c r="ALC14">
        <v>145855</v>
      </c>
      <c r="ALD14">
        <v>0.13612150000000001</v>
      </c>
      <c r="ALE14">
        <v>145855</v>
      </c>
      <c r="ALF14">
        <v>0.1457475</v>
      </c>
      <c r="ALG14">
        <v>145855</v>
      </c>
      <c r="ALH14">
        <v>0.1407562</v>
      </c>
      <c r="ALI14">
        <v>145855</v>
      </c>
      <c r="ALJ14">
        <v>0.1108087</v>
      </c>
      <c r="ALK14">
        <v>145855</v>
      </c>
      <c r="ALL14">
        <v>7.3449700000000007E-2</v>
      </c>
      <c r="ALM14">
        <v>145855</v>
      </c>
      <c r="ALN14">
        <v>8.2520300000000005E-2</v>
      </c>
      <c r="ALO14">
        <v>145855</v>
      </c>
      <c r="ALP14">
        <v>3.1167899999999998E-2</v>
      </c>
      <c r="ALQ14">
        <v>145855</v>
      </c>
      <c r="ALR14">
        <v>6.3419000000000001E-3</v>
      </c>
      <c r="ALS14">
        <v>155748</v>
      </c>
      <c r="ALT14">
        <v>6.3519300000000001E-2</v>
      </c>
      <c r="ALU14">
        <v>9893</v>
      </c>
      <c r="ALV14">
        <v>0.3575255</v>
      </c>
      <c r="ALW14">
        <v>3537</v>
      </c>
      <c r="ALX14">
        <v>0</v>
      </c>
      <c r="ALY14">
        <v>3537</v>
      </c>
      <c r="ALZ14">
        <v>0</v>
      </c>
      <c r="AMA14">
        <v>3537</v>
      </c>
      <c r="AMB14">
        <v>0</v>
      </c>
      <c r="AMC14">
        <v>3537</v>
      </c>
      <c r="AMD14">
        <v>5.7110500000000002E-2</v>
      </c>
      <c r="AME14">
        <v>3537</v>
      </c>
      <c r="AMF14">
        <v>0.1710489</v>
      </c>
      <c r="AMG14">
        <v>3537</v>
      </c>
      <c r="AMH14">
        <v>0.1396664</v>
      </c>
      <c r="AMI14">
        <v>3537</v>
      </c>
      <c r="AMJ14">
        <v>0.13005369999999999</v>
      </c>
      <c r="AMK14">
        <v>3537</v>
      </c>
      <c r="AML14">
        <v>0.16652529999999999</v>
      </c>
      <c r="AMM14">
        <v>3537</v>
      </c>
      <c r="AMN14">
        <v>0.1164829</v>
      </c>
      <c r="AMO14">
        <v>3537</v>
      </c>
      <c r="AMP14">
        <v>7.7466800000000002E-2</v>
      </c>
      <c r="AMQ14">
        <v>3537</v>
      </c>
      <c r="AMR14">
        <v>6.8702299999999994E-2</v>
      </c>
      <c r="AMS14">
        <v>3537</v>
      </c>
      <c r="AMT14">
        <v>4.6084300000000002E-2</v>
      </c>
      <c r="AMU14">
        <v>3537</v>
      </c>
      <c r="AMV14">
        <v>2.6858900000000002E-2</v>
      </c>
      <c r="AMW14">
        <v>3537</v>
      </c>
      <c r="AMX14">
        <v>0</v>
      </c>
      <c r="AMY14">
        <v>9893</v>
      </c>
      <c r="AMZ14">
        <v>0.64247449999999995</v>
      </c>
      <c r="ANA14">
        <v>6356</v>
      </c>
      <c r="ANB14">
        <v>0</v>
      </c>
      <c r="ANC14">
        <v>6356</v>
      </c>
      <c r="AND14">
        <v>2.6589000000000002E-2</v>
      </c>
      <c r="ANE14">
        <v>6356</v>
      </c>
      <c r="ANF14">
        <v>7.4103199999999994E-2</v>
      </c>
      <c r="ANG14">
        <v>6356</v>
      </c>
      <c r="ANH14">
        <v>0.1032096</v>
      </c>
      <c r="ANI14">
        <v>6356</v>
      </c>
      <c r="ANJ14">
        <v>6.7495299999999994E-2</v>
      </c>
      <c r="ANK14">
        <v>6356</v>
      </c>
      <c r="ANL14">
        <v>7.7407199999999995E-2</v>
      </c>
      <c r="ANM14">
        <v>6356</v>
      </c>
      <c r="ANN14">
        <v>5.09755E-2</v>
      </c>
      <c r="ANO14">
        <v>6356</v>
      </c>
      <c r="ANP14">
        <v>0.17180619999999999</v>
      </c>
      <c r="ANQ14">
        <v>6356</v>
      </c>
      <c r="ANR14">
        <v>7.8508499999999995E-2</v>
      </c>
      <c r="ANS14">
        <v>6356</v>
      </c>
      <c r="ANT14">
        <v>6.2146E-2</v>
      </c>
      <c r="ANU14">
        <v>6356</v>
      </c>
      <c r="ANV14">
        <v>8.8577699999999995E-2</v>
      </c>
      <c r="ANW14">
        <v>6356</v>
      </c>
      <c r="ANX14">
        <v>9.0622999999999995E-2</v>
      </c>
      <c r="ANY14">
        <v>6356</v>
      </c>
      <c r="ANZ14">
        <v>8.4801799999999997E-2</v>
      </c>
      <c r="AOA14">
        <v>6356</v>
      </c>
      <c r="AOB14">
        <v>2.37571E-2</v>
      </c>
      <c r="AOC14">
        <v>275876</v>
      </c>
      <c r="AOD14">
        <v>7.3438799999999999E-2</v>
      </c>
      <c r="AOE14">
        <v>20260</v>
      </c>
      <c r="AOF14">
        <v>0</v>
      </c>
      <c r="AOG14">
        <v>20260</v>
      </c>
      <c r="AOH14">
        <v>0</v>
      </c>
      <c r="AOI14">
        <v>20260</v>
      </c>
      <c r="AOJ14">
        <v>0</v>
      </c>
      <c r="AOK14">
        <v>20260</v>
      </c>
      <c r="AOL14">
        <v>3.2082999999999999E-3</v>
      </c>
      <c r="AOM14">
        <v>20260</v>
      </c>
      <c r="AON14">
        <v>0</v>
      </c>
      <c r="AOO14">
        <v>20260</v>
      </c>
      <c r="AOP14">
        <v>1.11056E-2</v>
      </c>
      <c r="AOQ14">
        <v>20260</v>
      </c>
      <c r="AOR14">
        <v>2.3197999999999999E-3</v>
      </c>
      <c r="AOS14">
        <v>20260</v>
      </c>
      <c r="AOT14">
        <v>3.1046399999999998E-2</v>
      </c>
      <c r="AOU14">
        <v>20260</v>
      </c>
      <c r="AOV14">
        <v>4.4373200000000002E-2</v>
      </c>
      <c r="AOW14">
        <v>20260</v>
      </c>
      <c r="AOX14">
        <v>4.9457099999999997E-2</v>
      </c>
      <c r="AOY14">
        <v>20260</v>
      </c>
      <c r="AOZ14">
        <v>6.83613E-2</v>
      </c>
      <c r="APA14">
        <v>20260</v>
      </c>
      <c r="APB14">
        <v>0.234847</v>
      </c>
      <c r="APC14">
        <v>20260</v>
      </c>
      <c r="APD14">
        <v>0.2861303</v>
      </c>
      <c r="APE14">
        <v>20260</v>
      </c>
      <c r="APF14">
        <v>0.26915099999999997</v>
      </c>
      <c r="APG14">
        <v>275876</v>
      </c>
      <c r="APH14">
        <v>0.1036045</v>
      </c>
      <c r="API14">
        <v>28582</v>
      </c>
      <c r="APJ14">
        <v>0</v>
      </c>
      <c r="APK14">
        <v>28582</v>
      </c>
      <c r="APL14">
        <v>0</v>
      </c>
      <c r="APM14">
        <v>28582</v>
      </c>
      <c r="APN14">
        <v>3.9884999999999999E-3</v>
      </c>
      <c r="APO14">
        <v>28582</v>
      </c>
      <c r="APP14">
        <v>3.3062800000000003E-2</v>
      </c>
      <c r="APQ14">
        <v>28582</v>
      </c>
      <c r="APR14">
        <v>3.39724E-2</v>
      </c>
      <c r="APS14">
        <v>28582</v>
      </c>
      <c r="APT14">
        <v>9.2260900000000007E-2</v>
      </c>
      <c r="APU14">
        <v>28582</v>
      </c>
      <c r="APV14">
        <v>0.1184312</v>
      </c>
      <c r="APW14">
        <v>28582</v>
      </c>
      <c r="APX14">
        <v>0.140683</v>
      </c>
      <c r="APY14">
        <v>28582</v>
      </c>
      <c r="APZ14">
        <v>0.15506259999999999</v>
      </c>
      <c r="AQA14">
        <v>28582</v>
      </c>
      <c r="AQB14">
        <v>0.13949339999999999</v>
      </c>
      <c r="AQC14">
        <v>28582</v>
      </c>
      <c r="AQD14">
        <v>0.1202505</v>
      </c>
      <c r="AQE14">
        <v>28582</v>
      </c>
      <c r="AQF14">
        <v>0.1017424</v>
      </c>
      <c r="AQG14">
        <v>28582</v>
      </c>
      <c r="AQH14">
        <v>4.4293600000000002E-2</v>
      </c>
      <c r="AQI14">
        <v>28582</v>
      </c>
      <c r="AQJ14">
        <v>1.6758800000000001E-2</v>
      </c>
      <c r="AQK14">
        <v>93420</v>
      </c>
      <c r="AQL14">
        <v>0.16279170000000001</v>
      </c>
      <c r="AQM14">
        <v>238063</v>
      </c>
      <c r="AQN14">
        <v>0.76212179999999996</v>
      </c>
      <c r="AQO14">
        <v>181433</v>
      </c>
      <c r="AQP14">
        <v>0.80236229999999997</v>
      </c>
      <c r="AQQ14">
        <v>145575</v>
      </c>
      <c r="AQR14">
        <v>0.86363040000000002</v>
      </c>
      <c r="AQS14">
        <v>125723</v>
      </c>
      <c r="AQT14">
        <v>0.48648219999999998</v>
      </c>
      <c r="AQU14">
        <v>125723</v>
      </c>
      <c r="AQV14">
        <v>0.51351780000000002</v>
      </c>
      <c r="AQW14">
        <v>145575</v>
      </c>
      <c r="AQX14">
        <v>0.13636960000000001</v>
      </c>
      <c r="AQY14">
        <v>19852</v>
      </c>
      <c r="AQZ14">
        <v>0.2929176</v>
      </c>
      <c r="ARA14">
        <v>5815</v>
      </c>
      <c r="ARB14">
        <v>0.49423899999999998</v>
      </c>
      <c r="ARC14">
        <v>5815</v>
      </c>
      <c r="ARD14">
        <v>0.50576100000000002</v>
      </c>
      <c r="ARE14">
        <v>19852</v>
      </c>
      <c r="ARF14">
        <v>0.7070824</v>
      </c>
      <c r="ARG14">
        <v>14037</v>
      </c>
      <c r="ARH14">
        <v>0.42929400000000001</v>
      </c>
      <c r="ARI14">
        <v>14037</v>
      </c>
      <c r="ARJ14">
        <v>0.57070600000000005</v>
      </c>
      <c r="ARK14">
        <v>181433</v>
      </c>
      <c r="ARL14">
        <v>0.1976377</v>
      </c>
      <c r="ARM14">
        <v>238063</v>
      </c>
      <c r="ARN14">
        <v>0.23787820000000001</v>
      </c>
      <c r="ARO14">
        <v>56630</v>
      </c>
      <c r="ARP14">
        <v>0.59567369999999997</v>
      </c>
      <c r="ARQ14">
        <v>33733</v>
      </c>
      <c r="ARR14">
        <v>0.53372070000000005</v>
      </c>
      <c r="ARS14">
        <v>18004</v>
      </c>
      <c r="ART14">
        <v>0.66251950000000004</v>
      </c>
      <c r="ARU14">
        <v>18004</v>
      </c>
      <c r="ARV14">
        <v>0.33748050000000002</v>
      </c>
      <c r="ARW14">
        <v>33733</v>
      </c>
      <c r="ARX14">
        <v>0.46627930000000001</v>
      </c>
      <c r="ARY14">
        <v>15729</v>
      </c>
      <c r="ARZ14">
        <v>0.2339627</v>
      </c>
      <c r="ASA14">
        <v>3680</v>
      </c>
      <c r="ASB14">
        <v>0.61086960000000001</v>
      </c>
      <c r="ASC14">
        <v>3680</v>
      </c>
      <c r="ASD14">
        <v>0.38913039999999999</v>
      </c>
      <c r="ASE14">
        <v>15729</v>
      </c>
      <c r="ASF14">
        <v>0.76603730000000003</v>
      </c>
      <c r="ASG14">
        <v>12049</v>
      </c>
      <c r="ASH14">
        <v>0.76205489999999998</v>
      </c>
      <c r="ASI14">
        <v>12049</v>
      </c>
      <c r="ASJ14">
        <v>0.23794509999999999</v>
      </c>
      <c r="ASK14">
        <v>56630</v>
      </c>
      <c r="ASL14">
        <v>0.40432630000000003</v>
      </c>
      <c r="ASM14">
        <v>226249</v>
      </c>
      <c r="ASN14">
        <v>0.58788320000000005</v>
      </c>
      <c r="ASO14">
        <v>133008</v>
      </c>
      <c r="ASP14">
        <v>0.44130429999999998</v>
      </c>
      <c r="ASQ14">
        <v>58697</v>
      </c>
      <c r="ASR14">
        <v>0.54159500000000005</v>
      </c>
      <c r="ASS14">
        <v>31790</v>
      </c>
      <c r="AST14">
        <v>0.74831709999999996</v>
      </c>
      <c r="ASU14">
        <v>31790</v>
      </c>
      <c r="ASV14">
        <v>0.25168289999999999</v>
      </c>
      <c r="ASW14">
        <v>58697</v>
      </c>
      <c r="ASX14">
        <v>0.246418</v>
      </c>
      <c r="ASY14">
        <v>14464</v>
      </c>
      <c r="ASZ14">
        <v>0.51057799999999998</v>
      </c>
      <c r="ATA14">
        <v>14464</v>
      </c>
      <c r="ATB14">
        <v>0.38792870000000002</v>
      </c>
      <c r="ATC14">
        <v>14464</v>
      </c>
      <c r="ATD14">
        <v>0.1014934</v>
      </c>
      <c r="ATE14">
        <v>58697</v>
      </c>
      <c r="ATF14">
        <v>0.16011040000000001</v>
      </c>
      <c r="ATG14">
        <v>9398</v>
      </c>
      <c r="ATH14">
        <v>0.1236433</v>
      </c>
      <c r="ATI14">
        <v>9398</v>
      </c>
      <c r="ATJ14">
        <v>0.36912109999999998</v>
      </c>
      <c r="ATK14">
        <v>9398</v>
      </c>
      <c r="ATL14">
        <v>0.29825489999999999</v>
      </c>
      <c r="ATM14">
        <v>9398</v>
      </c>
      <c r="ATN14">
        <v>0.20898059999999999</v>
      </c>
      <c r="ATO14">
        <v>58697</v>
      </c>
      <c r="ATP14">
        <v>5.1876600000000002E-2</v>
      </c>
      <c r="ATQ14">
        <v>3045</v>
      </c>
      <c r="ATR14">
        <v>0.79868640000000002</v>
      </c>
      <c r="ATS14">
        <v>3045</v>
      </c>
      <c r="ATT14">
        <v>0.20131360000000001</v>
      </c>
      <c r="ATU14">
        <v>133008</v>
      </c>
      <c r="ATV14">
        <v>0.1062041</v>
      </c>
      <c r="ATW14">
        <v>14126</v>
      </c>
      <c r="ATX14">
        <v>1.52202E-2</v>
      </c>
      <c r="ATY14">
        <v>14126</v>
      </c>
      <c r="ATZ14">
        <v>0.17223559999999999</v>
      </c>
      <c r="AUA14">
        <v>2433</v>
      </c>
      <c r="AUB14">
        <v>0.62720920000000002</v>
      </c>
      <c r="AUC14">
        <v>2433</v>
      </c>
      <c r="AUD14">
        <v>0.37279079999999998</v>
      </c>
      <c r="AUE14">
        <v>14126</v>
      </c>
      <c r="AUF14">
        <v>0.31565910000000003</v>
      </c>
      <c r="AUG14">
        <v>14126</v>
      </c>
      <c r="AUH14">
        <v>0.37887579999999998</v>
      </c>
      <c r="AUI14">
        <v>14126</v>
      </c>
      <c r="AUJ14">
        <v>0.1180093</v>
      </c>
      <c r="AUK14">
        <v>133008</v>
      </c>
      <c r="AUL14">
        <v>0.1940259</v>
      </c>
      <c r="AUM14">
        <v>25807</v>
      </c>
      <c r="AUN14">
        <v>0.67179449999999996</v>
      </c>
      <c r="AUO14">
        <v>25807</v>
      </c>
      <c r="AUP14">
        <v>0.32820549999999998</v>
      </c>
      <c r="AUQ14">
        <v>133008</v>
      </c>
      <c r="AUR14">
        <v>8.5919599999999999E-2</v>
      </c>
      <c r="AUS14">
        <v>11428</v>
      </c>
      <c r="AUT14">
        <v>2.1788600000000002E-2</v>
      </c>
      <c r="AUU14">
        <v>11428</v>
      </c>
      <c r="AUV14">
        <v>0.43375920000000001</v>
      </c>
      <c r="AUW14">
        <v>11428</v>
      </c>
      <c r="AUX14">
        <v>0.5444523</v>
      </c>
      <c r="AUY14">
        <v>133008</v>
      </c>
      <c r="AUZ14">
        <v>0.172546</v>
      </c>
      <c r="AVA14">
        <v>22950</v>
      </c>
      <c r="AVB14">
        <v>0.52740739999999997</v>
      </c>
      <c r="AVC14">
        <v>22950</v>
      </c>
      <c r="AVD14">
        <v>0.22400870000000001</v>
      </c>
      <c r="AVE14">
        <v>22950</v>
      </c>
      <c r="AVF14">
        <v>0.2485839</v>
      </c>
      <c r="AVG14">
        <v>226249</v>
      </c>
      <c r="AVH14">
        <v>0.4121167</v>
      </c>
      <c r="AVI14">
        <v>93241</v>
      </c>
      <c r="AVJ14">
        <v>0.49015989999999998</v>
      </c>
      <c r="AVK14">
        <v>45703</v>
      </c>
      <c r="AVL14">
        <v>0.44749800000000001</v>
      </c>
      <c r="AVM14">
        <v>20452</v>
      </c>
      <c r="AVN14">
        <v>0.6076667</v>
      </c>
      <c r="AVO14">
        <v>20452</v>
      </c>
      <c r="AVP14">
        <v>0.3923333</v>
      </c>
      <c r="AVQ14">
        <v>45703</v>
      </c>
      <c r="AVR14">
        <v>0.1007811</v>
      </c>
      <c r="AVS14">
        <v>4606</v>
      </c>
      <c r="AVT14">
        <v>0.61919239999999998</v>
      </c>
      <c r="AVU14">
        <v>4606</v>
      </c>
      <c r="AVV14">
        <v>0.1178897</v>
      </c>
      <c r="AVW14">
        <v>4606</v>
      </c>
      <c r="AVX14">
        <v>0.26291789999999998</v>
      </c>
      <c r="AVY14">
        <v>45703</v>
      </c>
      <c r="AVZ14">
        <v>0.2952323</v>
      </c>
      <c r="AWA14">
        <v>13493</v>
      </c>
      <c r="AWB14">
        <v>0.1880975</v>
      </c>
      <c r="AWC14">
        <v>13493</v>
      </c>
      <c r="AWD14">
        <v>0.14488989999999999</v>
      </c>
      <c r="AWE14">
        <v>13493</v>
      </c>
      <c r="AWF14">
        <v>0.54176239999999998</v>
      </c>
      <c r="AWG14">
        <v>13493</v>
      </c>
      <c r="AWH14">
        <v>0.1252501</v>
      </c>
      <c r="AWI14">
        <v>45703</v>
      </c>
      <c r="AWJ14">
        <v>0.15648860000000001</v>
      </c>
      <c r="AWK14">
        <v>7152</v>
      </c>
      <c r="AWL14">
        <v>0.68847879999999995</v>
      </c>
      <c r="AWM14">
        <v>7152</v>
      </c>
      <c r="AWN14">
        <v>0.3115213</v>
      </c>
      <c r="AWO14">
        <v>93241</v>
      </c>
      <c r="AWP14">
        <v>0.1133943</v>
      </c>
      <c r="AWQ14">
        <v>10573</v>
      </c>
      <c r="AWR14">
        <v>0.25423249999999997</v>
      </c>
      <c r="AWS14">
        <v>10573</v>
      </c>
      <c r="AWT14">
        <v>1.3146700000000001E-2</v>
      </c>
      <c r="AWU14">
        <v>139</v>
      </c>
      <c r="AWV14">
        <v>0.46762589999999998</v>
      </c>
      <c r="AWW14">
        <v>139</v>
      </c>
      <c r="AWX14">
        <v>0.53237409999999996</v>
      </c>
      <c r="AWY14">
        <v>10573</v>
      </c>
      <c r="AWZ14">
        <v>0.28572779999999998</v>
      </c>
      <c r="AXA14">
        <v>10573</v>
      </c>
      <c r="AXB14">
        <v>0.12919700000000001</v>
      </c>
      <c r="AXC14">
        <v>10573</v>
      </c>
      <c r="AXD14">
        <v>0.31769599999999998</v>
      </c>
      <c r="AXE14">
        <v>93241</v>
      </c>
      <c r="AXF14">
        <v>0.31089329999999998</v>
      </c>
      <c r="AXG14">
        <v>28988</v>
      </c>
      <c r="AXH14">
        <v>0.33344829999999998</v>
      </c>
      <c r="AXI14">
        <v>28988</v>
      </c>
      <c r="AXJ14">
        <v>0.66655160000000002</v>
      </c>
      <c r="AXK14">
        <v>93241</v>
      </c>
      <c r="AXL14">
        <v>9.0303999999999992E-3</v>
      </c>
      <c r="AXM14">
        <v>842</v>
      </c>
      <c r="AXN14">
        <v>0</v>
      </c>
      <c r="AXO14">
        <v>842</v>
      </c>
      <c r="AXP14">
        <v>6.1757699999999999E-2</v>
      </c>
      <c r="AXQ14">
        <v>842</v>
      </c>
      <c r="AXR14">
        <v>0.93824229999999997</v>
      </c>
      <c r="AXS14">
        <v>93241</v>
      </c>
      <c r="AXT14">
        <v>7.6522099999999996E-2</v>
      </c>
      <c r="AXU14">
        <v>7135</v>
      </c>
      <c r="AXV14">
        <v>0.84723199999999999</v>
      </c>
      <c r="AXW14">
        <v>7135</v>
      </c>
      <c r="AXX14">
        <v>6.6012600000000005E-2</v>
      </c>
      <c r="AXY14">
        <v>7135</v>
      </c>
      <c r="AXZ14">
        <v>8.6755399999999996E-2</v>
      </c>
      <c r="AYA14">
        <v>35371</v>
      </c>
      <c r="AYB14">
        <v>1.0997699999999999E-2</v>
      </c>
      <c r="AYC14">
        <v>35371</v>
      </c>
      <c r="AYD14">
        <v>0.13089819999999999</v>
      </c>
      <c r="AYE14">
        <v>35371</v>
      </c>
      <c r="AYF14">
        <v>0.35625230000000002</v>
      </c>
      <c r="AYG14">
        <v>35371</v>
      </c>
      <c r="AYH14">
        <v>0.37595770000000001</v>
      </c>
      <c r="AYI14">
        <v>35371</v>
      </c>
      <c r="AYJ14">
        <v>2.8950300000000002E-2</v>
      </c>
      <c r="AYK14">
        <v>35371</v>
      </c>
      <c r="AYL14">
        <v>9.1685299999999997E-2</v>
      </c>
      <c r="AYM14">
        <v>35371</v>
      </c>
      <c r="AYN14">
        <v>5.2585000000000002E-3</v>
      </c>
      <c r="AYO14">
        <v>41036</v>
      </c>
      <c r="AYP14">
        <v>5.7656699999999998E-2</v>
      </c>
      <c r="AYQ14">
        <v>41036</v>
      </c>
      <c r="AYR14">
        <v>0.10507850000000001</v>
      </c>
      <c r="AYS14">
        <v>41036</v>
      </c>
      <c r="AYT14">
        <v>0.2399357</v>
      </c>
      <c r="AYU14">
        <v>41036</v>
      </c>
      <c r="AYV14">
        <v>0.248611</v>
      </c>
      <c r="AYW14">
        <v>41036</v>
      </c>
      <c r="AYX14">
        <v>4.92738E-2</v>
      </c>
      <c r="AYY14">
        <v>41036</v>
      </c>
      <c r="AYZ14">
        <v>0.20513700000000001</v>
      </c>
      <c r="AZA14">
        <v>41036</v>
      </c>
      <c r="AZB14">
        <v>9.43074E-2</v>
      </c>
      <c r="AZC14">
        <v>48880</v>
      </c>
      <c r="AZD14">
        <v>6.1988500000000002E-2</v>
      </c>
      <c r="AZE14">
        <v>48880</v>
      </c>
      <c r="AZF14">
        <v>5.62398E-2</v>
      </c>
      <c r="AZG14">
        <v>48880</v>
      </c>
      <c r="AZH14">
        <v>0.2411211</v>
      </c>
      <c r="AZI14">
        <v>48880</v>
      </c>
      <c r="AZJ14">
        <v>0.16661210000000001</v>
      </c>
      <c r="AZK14">
        <v>48880</v>
      </c>
      <c r="AZL14">
        <v>4.9529499999999997E-2</v>
      </c>
      <c r="AZM14">
        <v>48880</v>
      </c>
      <c r="AZN14">
        <v>0.25141160000000001</v>
      </c>
      <c r="AZO14">
        <v>48880</v>
      </c>
      <c r="AZP14">
        <v>0.17309740000000001</v>
      </c>
      <c r="AZQ14">
        <v>95834</v>
      </c>
      <c r="AZR14">
        <v>4.8730099999999998E-2</v>
      </c>
      <c r="AZS14">
        <v>95834</v>
      </c>
      <c r="AZT14">
        <v>4.4086699999999999E-2</v>
      </c>
      <c r="AZU14">
        <v>95834</v>
      </c>
      <c r="AZV14">
        <v>0.1999186</v>
      </c>
      <c r="AZW14">
        <v>95834</v>
      </c>
      <c r="AZX14">
        <v>0.18577959999999999</v>
      </c>
      <c r="AZY14">
        <v>95834</v>
      </c>
      <c r="AZZ14">
        <v>5.3634399999999999E-2</v>
      </c>
      <c r="BAA14">
        <v>95834</v>
      </c>
      <c r="BAB14">
        <v>0.2665651</v>
      </c>
      <c r="BAC14">
        <v>95834</v>
      </c>
      <c r="BAD14">
        <v>0.20128560000000001</v>
      </c>
      <c r="BAE14">
        <v>32184</v>
      </c>
      <c r="BAF14">
        <v>6.4317700000000005E-2</v>
      </c>
      <c r="BAG14">
        <v>32184</v>
      </c>
      <c r="BAH14">
        <v>4.9248100000000003E-2</v>
      </c>
      <c r="BAI14">
        <v>32184</v>
      </c>
      <c r="BAJ14">
        <v>0.21709539999999999</v>
      </c>
      <c r="BAK14">
        <v>32184</v>
      </c>
      <c r="BAL14">
        <v>0.1756152</v>
      </c>
      <c r="BAM14">
        <v>32184</v>
      </c>
      <c r="BAN14">
        <v>4.0268499999999999E-2</v>
      </c>
      <c r="BAO14">
        <v>32184</v>
      </c>
      <c r="BAP14">
        <v>0.2316058</v>
      </c>
      <c r="BAQ14">
        <v>32184</v>
      </c>
      <c r="BAR14">
        <v>0.2218494</v>
      </c>
      <c r="BAS14">
        <v>27477</v>
      </c>
      <c r="BAT14">
        <v>1.6850500000000001E-2</v>
      </c>
      <c r="BAU14">
        <v>27477</v>
      </c>
      <c r="BAV14">
        <v>0.1584962</v>
      </c>
      <c r="BAW14">
        <v>27477</v>
      </c>
      <c r="BAX14">
        <v>0.2935546</v>
      </c>
      <c r="BAY14">
        <v>27477</v>
      </c>
      <c r="BAZ14">
        <v>0.36525089999999999</v>
      </c>
      <c r="BBA14">
        <v>27477</v>
      </c>
      <c r="BBB14">
        <v>4.7166699999999999E-2</v>
      </c>
      <c r="BBC14">
        <v>27477</v>
      </c>
      <c r="BBD14">
        <v>0.1113659</v>
      </c>
      <c r="BBE14">
        <v>27477</v>
      </c>
      <c r="BBF14">
        <v>7.3152E-3</v>
      </c>
      <c r="BBG14">
        <v>40413</v>
      </c>
      <c r="BBH14">
        <v>4.4193700000000002E-2</v>
      </c>
      <c r="BBI14">
        <v>40413</v>
      </c>
      <c r="BBJ14">
        <v>6.9878499999999996E-2</v>
      </c>
      <c r="BBK14">
        <v>40413</v>
      </c>
      <c r="BBL14">
        <v>0.19436819999999999</v>
      </c>
      <c r="BBM14">
        <v>40413</v>
      </c>
      <c r="BBN14">
        <v>0.2281444</v>
      </c>
      <c r="BBO14">
        <v>40413</v>
      </c>
      <c r="BBP14">
        <v>7.1239399999999994E-2</v>
      </c>
      <c r="BBQ14">
        <v>40413</v>
      </c>
      <c r="BBR14">
        <v>0.26182169999999999</v>
      </c>
      <c r="BBS14">
        <v>40413</v>
      </c>
      <c r="BBT14">
        <v>0.1303541</v>
      </c>
      <c r="BBU14">
        <v>50971</v>
      </c>
      <c r="BBV14">
        <v>5.6110300000000002E-2</v>
      </c>
      <c r="BBW14">
        <v>50971</v>
      </c>
      <c r="BBX14">
        <v>4.4319299999999999E-2</v>
      </c>
      <c r="BBY14">
        <v>50971</v>
      </c>
      <c r="BBZ14">
        <v>0.1811422</v>
      </c>
      <c r="BCA14">
        <v>50971</v>
      </c>
      <c r="BCB14">
        <v>0.16515270000000001</v>
      </c>
      <c r="BCC14">
        <v>50971</v>
      </c>
      <c r="BCD14">
        <v>7.7730499999999994E-2</v>
      </c>
      <c r="BCE14">
        <v>50971</v>
      </c>
      <c r="BCF14">
        <v>0.28298440000000002</v>
      </c>
      <c r="BCG14">
        <v>50971</v>
      </c>
      <c r="BCH14">
        <v>0.1925605</v>
      </c>
      <c r="BCI14">
        <v>98815</v>
      </c>
      <c r="BCJ14">
        <v>3.98523E-2</v>
      </c>
      <c r="BCK14">
        <v>98815</v>
      </c>
      <c r="BCL14">
        <v>3.8546799999999999E-2</v>
      </c>
      <c r="BCM14">
        <v>98815</v>
      </c>
      <c r="BCN14">
        <v>0.20597070000000001</v>
      </c>
      <c r="BCO14">
        <v>98815</v>
      </c>
      <c r="BCP14">
        <v>0.2025401</v>
      </c>
      <c r="BCQ14">
        <v>98815</v>
      </c>
      <c r="BCR14">
        <v>6.91494E-2</v>
      </c>
      <c r="BCS14">
        <v>98815</v>
      </c>
      <c r="BCT14">
        <v>0.27639530000000001</v>
      </c>
      <c r="BCU14">
        <v>98815</v>
      </c>
      <c r="BCV14">
        <v>0.16754540000000001</v>
      </c>
      <c r="BCW14">
        <v>41266</v>
      </c>
      <c r="BCX14">
        <v>8.5736400000000004E-2</v>
      </c>
      <c r="BCY14">
        <v>41266</v>
      </c>
      <c r="BCZ14">
        <v>6.8943000000000004E-2</v>
      </c>
      <c r="BDA14">
        <v>41266</v>
      </c>
      <c r="BDB14">
        <v>0.33102310000000001</v>
      </c>
      <c r="BDC14">
        <v>41266</v>
      </c>
      <c r="BDD14">
        <v>0.2211748</v>
      </c>
      <c r="BDE14">
        <v>41266</v>
      </c>
      <c r="BDF14">
        <v>4.4200999999999997E-2</v>
      </c>
      <c r="BDG14">
        <v>41266</v>
      </c>
      <c r="BDH14">
        <v>0.1592837</v>
      </c>
      <c r="BDI14">
        <v>41266</v>
      </c>
      <c r="BDJ14">
        <v>8.9637999999999995E-2</v>
      </c>
      <c r="BDK14">
        <v>166570</v>
      </c>
      <c r="BDL14">
        <v>6.6854800000000006E-2</v>
      </c>
      <c r="BDM14">
        <v>11136</v>
      </c>
      <c r="BDN14">
        <v>0.65723779999999998</v>
      </c>
      <c r="BDO14">
        <v>7319</v>
      </c>
      <c r="BDP14">
        <v>0.49801889999999999</v>
      </c>
      <c r="BDQ14">
        <v>7319</v>
      </c>
      <c r="BDR14">
        <v>0.50198109999999996</v>
      </c>
      <c r="BDS14">
        <v>11136</v>
      </c>
      <c r="BDT14">
        <v>0.34276220000000002</v>
      </c>
      <c r="BDU14">
        <v>3817</v>
      </c>
      <c r="BDV14">
        <v>0.65994240000000004</v>
      </c>
      <c r="BDW14">
        <v>3817</v>
      </c>
      <c r="BDX14">
        <v>0.34005760000000002</v>
      </c>
      <c r="BDY14">
        <v>166570</v>
      </c>
      <c r="BDZ14">
        <v>0.93314520000000001</v>
      </c>
      <c r="BEA14">
        <v>155434</v>
      </c>
      <c r="BEB14">
        <v>0.54327239999999999</v>
      </c>
      <c r="BEC14">
        <v>84443</v>
      </c>
      <c r="BED14">
        <v>0.74232319999999996</v>
      </c>
      <c r="BEE14">
        <v>84443</v>
      </c>
      <c r="BEF14">
        <v>0.25767679999999998</v>
      </c>
      <c r="BEG14">
        <v>155434</v>
      </c>
      <c r="BEH14">
        <v>0.45672760000000001</v>
      </c>
      <c r="BEI14">
        <v>70991</v>
      </c>
      <c r="BEJ14">
        <v>0.73867110000000002</v>
      </c>
      <c r="BEK14">
        <v>70991</v>
      </c>
      <c r="BEL14">
        <v>0.26132889999999998</v>
      </c>
      <c r="BEM14">
        <v>329888</v>
      </c>
      <c r="BEN14">
        <v>0.54582160000000002</v>
      </c>
      <c r="BEO14">
        <v>180060</v>
      </c>
      <c r="BEP14">
        <v>0.92396429999999996</v>
      </c>
      <c r="BEQ14">
        <v>166369</v>
      </c>
      <c r="BER14">
        <v>0.1855454</v>
      </c>
      <c r="BES14">
        <v>166369</v>
      </c>
      <c r="BET14">
        <v>0.81445460000000003</v>
      </c>
      <c r="BEU14">
        <v>180060</v>
      </c>
      <c r="BEV14">
        <v>7.6035800000000001E-2</v>
      </c>
      <c r="BEW14">
        <v>329888</v>
      </c>
      <c r="BEX14">
        <v>0.45417839999999998</v>
      </c>
      <c r="BEY14">
        <v>149828</v>
      </c>
      <c r="BEZ14">
        <v>0.92678269999999996</v>
      </c>
      <c r="BFA14">
        <v>138858</v>
      </c>
      <c r="BFB14">
        <v>0.21882789999999999</v>
      </c>
      <c r="BFC14">
        <v>138858</v>
      </c>
      <c r="BFD14">
        <v>0.78117219999999998</v>
      </c>
      <c r="BFE14">
        <v>149828</v>
      </c>
      <c r="BFF14">
        <v>7.3217299999999999E-2</v>
      </c>
      <c r="BFG14">
        <v>351900</v>
      </c>
      <c r="BFH14">
        <v>0.28017900000000001</v>
      </c>
      <c r="BFI14">
        <v>98595</v>
      </c>
      <c r="BFJ14">
        <v>0.93899290000000002</v>
      </c>
      <c r="BFK14">
        <v>98595</v>
      </c>
      <c r="BFL14">
        <v>6.1007100000000002E-2</v>
      </c>
      <c r="BFM14">
        <v>6015</v>
      </c>
      <c r="BFN14">
        <v>0.2018288</v>
      </c>
      <c r="BFO14">
        <v>6015</v>
      </c>
      <c r="BFP14">
        <v>0.79817119999999997</v>
      </c>
      <c r="BFQ14">
        <v>351900</v>
      </c>
      <c r="BFR14">
        <v>0.71982100000000004</v>
      </c>
      <c r="BFS14">
        <v>253305</v>
      </c>
      <c r="BFT14">
        <v>0.77252719999999997</v>
      </c>
      <c r="BFU14">
        <v>253305</v>
      </c>
      <c r="BFV14">
        <v>0.2274728</v>
      </c>
      <c r="BFW14">
        <v>57620</v>
      </c>
      <c r="BFX14">
        <v>0.45503300000000002</v>
      </c>
      <c r="BFY14">
        <v>57620</v>
      </c>
      <c r="BFZ14">
        <v>0.54496699999999998</v>
      </c>
      <c r="BGA14">
        <v>352696</v>
      </c>
      <c r="BGB14">
        <v>0.26582099999999997</v>
      </c>
      <c r="BGC14">
        <v>93754</v>
      </c>
      <c r="BGD14">
        <v>0.95275929999999998</v>
      </c>
      <c r="BGE14">
        <v>93754</v>
      </c>
      <c r="BGF14">
        <v>4.7240699999999997E-2</v>
      </c>
      <c r="BGG14">
        <v>4429</v>
      </c>
      <c r="BGH14">
        <v>0.24136369999999999</v>
      </c>
      <c r="BGI14">
        <v>4429</v>
      </c>
      <c r="BGJ14">
        <v>0.75863619999999998</v>
      </c>
      <c r="BGK14">
        <v>352696</v>
      </c>
      <c r="BGL14">
        <v>0.73417900000000003</v>
      </c>
      <c r="BGM14">
        <v>258942</v>
      </c>
      <c r="BGN14">
        <v>0.76980559999999998</v>
      </c>
      <c r="BGO14">
        <v>258942</v>
      </c>
      <c r="BGP14">
        <v>0.23019439999999999</v>
      </c>
      <c r="BGQ14">
        <v>59607</v>
      </c>
      <c r="BGR14">
        <v>0.48771120000000001</v>
      </c>
      <c r="BGS14">
        <v>59607</v>
      </c>
      <c r="BGT14">
        <v>0.51228879999999999</v>
      </c>
    </row>
    <row r="15" spans="1:1554" x14ac:dyDescent="0.25">
      <c r="A15" t="s">
        <v>133</v>
      </c>
      <c r="B15">
        <v>2011</v>
      </c>
      <c r="C15">
        <v>1</v>
      </c>
      <c r="D15" t="s">
        <v>556</v>
      </c>
      <c r="E15">
        <v>78190</v>
      </c>
      <c r="F15">
        <v>0.47266910000000001</v>
      </c>
      <c r="G15">
        <v>36958</v>
      </c>
      <c r="H15">
        <v>0.15090100000000001</v>
      </c>
      <c r="I15">
        <v>36958</v>
      </c>
      <c r="J15">
        <v>2.2024999999999999E-2</v>
      </c>
      <c r="K15">
        <v>36958</v>
      </c>
      <c r="L15">
        <v>0.1589372</v>
      </c>
      <c r="M15">
        <v>36958</v>
      </c>
      <c r="N15">
        <v>8.2255499999999995E-2</v>
      </c>
      <c r="O15">
        <v>36958</v>
      </c>
      <c r="P15">
        <v>8.9832000000000002E-3</v>
      </c>
      <c r="Q15">
        <v>36958</v>
      </c>
      <c r="R15">
        <v>4.6728699999999998E-2</v>
      </c>
      <c r="S15">
        <v>36958</v>
      </c>
      <c r="T15">
        <v>0.1084745</v>
      </c>
      <c r="U15">
        <v>36958</v>
      </c>
      <c r="V15">
        <v>0.12148929999999999</v>
      </c>
      <c r="W15">
        <v>36958</v>
      </c>
      <c r="X15">
        <v>0.1111803</v>
      </c>
      <c r="Y15">
        <v>36958</v>
      </c>
      <c r="Z15">
        <v>9.14822E-2</v>
      </c>
      <c r="AA15">
        <v>36958</v>
      </c>
      <c r="AB15">
        <v>7.1730100000000005E-2</v>
      </c>
      <c r="AC15">
        <v>36958</v>
      </c>
      <c r="AD15">
        <v>1.02819E-2</v>
      </c>
      <c r="AE15">
        <v>36958</v>
      </c>
      <c r="AF15">
        <v>1.5531100000000001E-2</v>
      </c>
      <c r="AG15">
        <v>78190</v>
      </c>
      <c r="AH15">
        <v>0.52733090000000005</v>
      </c>
      <c r="AI15">
        <v>41232</v>
      </c>
      <c r="AJ15">
        <v>0.1180636</v>
      </c>
      <c r="AK15">
        <v>41232</v>
      </c>
      <c r="AL15">
        <v>1.21023E-2</v>
      </c>
      <c r="AM15">
        <v>41232</v>
      </c>
      <c r="AN15">
        <v>0.1225504</v>
      </c>
      <c r="AO15">
        <v>41232</v>
      </c>
      <c r="AP15">
        <v>7.4456700000000001E-2</v>
      </c>
      <c r="AQ15">
        <v>41232</v>
      </c>
      <c r="AR15">
        <v>1.2005200000000001E-2</v>
      </c>
      <c r="AS15">
        <v>41232</v>
      </c>
      <c r="AT15">
        <v>3.65493E-2</v>
      </c>
      <c r="AU15">
        <v>41232</v>
      </c>
      <c r="AV15">
        <v>9.1482300000000003E-2</v>
      </c>
      <c r="AW15">
        <v>41232</v>
      </c>
      <c r="AX15">
        <v>0.17896290000000001</v>
      </c>
      <c r="AY15">
        <v>41232</v>
      </c>
      <c r="AZ15">
        <v>0.1048943</v>
      </c>
      <c r="BA15">
        <v>41232</v>
      </c>
      <c r="BB15">
        <v>9.9558599999999997E-2</v>
      </c>
      <c r="BC15">
        <v>41232</v>
      </c>
      <c r="BD15">
        <v>8.4497500000000003E-2</v>
      </c>
      <c r="BE15">
        <v>41232</v>
      </c>
      <c r="BF15">
        <v>3.4390799999999999E-2</v>
      </c>
      <c r="BG15">
        <v>41232</v>
      </c>
      <c r="BH15">
        <v>3.0485999999999999E-2</v>
      </c>
      <c r="BI15">
        <v>609307</v>
      </c>
      <c r="BJ15">
        <v>0.49687100000000001</v>
      </c>
      <c r="BK15">
        <v>302747</v>
      </c>
      <c r="BL15">
        <v>5.8719E-2</v>
      </c>
      <c r="BM15">
        <v>302747</v>
      </c>
      <c r="BN15">
        <v>1.3288299999999999E-2</v>
      </c>
      <c r="BO15">
        <v>302747</v>
      </c>
      <c r="BP15">
        <v>9.3464199999999997E-2</v>
      </c>
      <c r="BQ15">
        <v>302747</v>
      </c>
      <c r="BR15">
        <v>4.4951699999999997E-2</v>
      </c>
      <c r="BS15">
        <v>302747</v>
      </c>
      <c r="BT15">
        <v>1.7612099999999999E-2</v>
      </c>
      <c r="BU15">
        <v>302747</v>
      </c>
      <c r="BV15">
        <v>3.4573399999999997E-2</v>
      </c>
      <c r="BW15">
        <v>302747</v>
      </c>
      <c r="BX15">
        <v>7.9336900000000002E-2</v>
      </c>
      <c r="BY15">
        <v>302747</v>
      </c>
      <c r="BZ15">
        <v>0.1122191</v>
      </c>
      <c r="CA15">
        <v>302747</v>
      </c>
      <c r="CB15">
        <v>0.1419106</v>
      </c>
      <c r="CC15">
        <v>302747</v>
      </c>
      <c r="CD15">
        <v>0.1730323</v>
      </c>
      <c r="CE15">
        <v>302747</v>
      </c>
      <c r="CF15">
        <v>0.12644549999999999</v>
      </c>
      <c r="CG15">
        <v>302747</v>
      </c>
      <c r="CH15">
        <v>6.54111E-2</v>
      </c>
      <c r="CI15">
        <v>302747</v>
      </c>
      <c r="CJ15">
        <v>3.9035899999999998E-2</v>
      </c>
      <c r="CK15">
        <v>609307</v>
      </c>
      <c r="CL15">
        <v>0.50312889999999999</v>
      </c>
      <c r="CM15">
        <v>306560</v>
      </c>
      <c r="CN15">
        <v>5.7137300000000002E-2</v>
      </c>
      <c r="CO15">
        <v>306560</v>
      </c>
      <c r="CP15">
        <v>1.3628700000000001E-2</v>
      </c>
      <c r="CQ15">
        <v>306560</v>
      </c>
      <c r="CR15">
        <v>8.19579E-2</v>
      </c>
      <c r="CS15">
        <v>306560</v>
      </c>
      <c r="CT15">
        <v>4.7693800000000001E-2</v>
      </c>
      <c r="CU15">
        <v>306560</v>
      </c>
      <c r="CV15">
        <v>1.37526E-2</v>
      </c>
      <c r="CW15">
        <v>306560</v>
      </c>
      <c r="CX15">
        <v>3.4720800000000003E-2</v>
      </c>
      <c r="CY15">
        <v>306560</v>
      </c>
      <c r="CZ15">
        <v>7.4288900000000005E-2</v>
      </c>
      <c r="DA15">
        <v>306560</v>
      </c>
      <c r="DB15">
        <v>0.10469729999999999</v>
      </c>
      <c r="DC15">
        <v>306560</v>
      </c>
      <c r="DD15">
        <v>0.14744260000000001</v>
      </c>
      <c r="DE15">
        <v>306560</v>
      </c>
      <c r="DF15">
        <v>0.1742987</v>
      </c>
      <c r="DG15">
        <v>306560</v>
      </c>
      <c r="DH15">
        <v>0.1262363</v>
      </c>
      <c r="DI15">
        <v>306560</v>
      </c>
      <c r="DJ15">
        <v>6.70766E-2</v>
      </c>
      <c r="DK15">
        <v>306560</v>
      </c>
      <c r="DL15">
        <v>5.7068800000000003E-2</v>
      </c>
      <c r="DM15">
        <v>444263</v>
      </c>
      <c r="DN15">
        <v>8.4528800000000001E-2</v>
      </c>
      <c r="DO15">
        <v>37553</v>
      </c>
      <c r="DP15">
        <v>0.41501349999999998</v>
      </c>
      <c r="DQ15">
        <v>214809</v>
      </c>
      <c r="DR15">
        <v>7.2552800000000001E-2</v>
      </c>
      <c r="DS15">
        <v>15585</v>
      </c>
      <c r="DT15">
        <v>0.32101380000000002</v>
      </c>
      <c r="DU15">
        <v>26461</v>
      </c>
      <c r="DV15">
        <v>0.18907070000000001</v>
      </c>
      <c r="DW15">
        <v>15585</v>
      </c>
      <c r="DX15">
        <v>0.3252486</v>
      </c>
      <c r="DY15">
        <v>46032</v>
      </c>
      <c r="DZ15">
        <v>0.11011899999999999</v>
      </c>
      <c r="EA15">
        <v>15585</v>
      </c>
      <c r="EB15">
        <v>0.2146295</v>
      </c>
      <c r="EC15">
        <v>48329</v>
      </c>
      <c r="ED15">
        <v>6.92131E-2</v>
      </c>
      <c r="EE15">
        <v>15585</v>
      </c>
      <c r="EF15">
        <v>0.13910810000000001</v>
      </c>
      <c r="EG15">
        <v>93987</v>
      </c>
      <c r="EH15">
        <v>2.3067000000000001E-2</v>
      </c>
      <c r="EI15">
        <v>37553</v>
      </c>
      <c r="EJ15">
        <v>0.58498660000000002</v>
      </c>
      <c r="EK15">
        <v>229454</v>
      </c>
      <c r="EL15">
        <v>9.57403E-2</v>
      </c>
      <c r="EM15">
        <v>21968</v>
      </c>
      <c r="EN15">
        <v>0.28318460000000001</v>
      </c>
      <c r="EO15">
        <v>23816</v>
      </c>
      <c r="EP15">
        <v>0.26121090000000002</v>
      </c>
      <c r="EQ15">
        <v>21968</v>
      </c>
      <c r="ER15">
        <v>0.2876457</v>
      </c>
      <c r="ES15">
        <v>49411</v>
      </c>
      <c r="ET15">
        <v>0.12788649999999999</v>
      </c>
      <c r="EU15">
        <v>21968</v>
      </c>
      <c r="EV15">
        <v>0.27216859999999998</v>
      </c>
      <c r="EW15">
        <v>61675</v>
      </c>
      <c r="EX15">
        <v>9.6943699999999994E-2</v>
      </c>
      <c r="EY15">
        <v>21968</v>
      </c>
      <c r="EZ15">
        <v>0.1570011</v>
      </c>
      <c r="FA15">
        <v>94552</v>
      </c>
      <c r="FB15">
        <v>3.6477299999999997E-2</v>
      </c>
      <c r="FC15">
        <v>444263</v>
      </c>
      <c r="FD15">
        <v>0.91547129999999999</v>
      </c>
      <c r="FE15">
        <v>406710</v>
      </c>
      <c r="FF15">
        <v>0.48984290000000003</v>
      </c>
      <c r="FG15">
        <v>214809</v>
      </c>
      <c r="FH15">
        <v>0.92744720000000003</v>
      </c>
      <c r="FI15">
        <v>199224</v>
      </c>
      <c r="FJ15">
        <v>0.1077079</v>
      </c>
      <c r="FK15">
        <v>26461</v>
      </c>
      <c r="FL15">
        <v>0.81092929999999996</v>
      </c>
      <c r="FM15">
        <v>199224</v>
      </c>
      <c r="FN15">
        <v>0.20561280000000001</v>
      </c>
      <c r="FO15">
        <v>46032</v>
      </c>
      <c r="FP15">
        <v>0.88988100000000003</v>
      </c>
      <c r="FQ15">
        <v>199224</v>
      </c>
      <c r="FR15">
        <v>0.2257961</v>
      </c>
      <c r="FS15">
        <v>48329</v>
      </c>
      <c r="FT15">
        <v>0.93078689999999997</v>
      </c>
      <c r="FU15">
        <v>199224</v>
      </c>
      <c r="FV15">
        <v>0.46088319999999999</v>
      </c>
      <c r="FW15">
        <v>93987</v>
      </c>
      <c r="FX15">
        <v>0.97693300000000005</v>
      </c>
      <c r="FY15">
        <v>406710</v>
      </c>
      <c r="FZ15">
        <v>0.51015710000000003</v>
      </c>
      <c r="GA15">
        <v>229454</v>
      </c>
      <c r="GB15">
        <v>0.9042597</v>
      </c>
      <c r="GC15">
        <v>207486</v>
      </c>
      <c r="GD15">
        <v>8.4800899999999999E-2</v>
      </c>
      <c r="GE15">
        <v>23816</v>
      </c>
      <c r="GF15">
        <v>0.73878900000000003</v>
      </c>
      <c r="GG15">
        <v>207486</v>
      </c>
      <c r="GH15">
        <v>0.20768629999999999</v>
      </c>
      <c r="GI15">
        <v>49411</v>
      </c>
      <c r="GJ15">
        <v>0.87211349999999999</v>
      </c>
      <c r="GK15">
        <v>207486</v>
      </c>
      <c r="GL15">
        <v>0.26843260000000002</v>
      </c>
      <c r="GM15">
        <v>61675</v>
      </c>
      <c r="GN15">
        <v>0.90305630000000003</v>
      </c>
      <c r="GO15">
        <v>207486</v>
      </c>
      <c r="GP15">
        <v>0.43908019999999998</v>
      </c>
      <c r="GQ15">
        <v>94552</v>
      </c>
      <c r="GR15">
        <v>0.96352269999999995</v>
      </c>
      <c r="GS15">
        <v>523182</v>
      </c>
      <c r="GT15">
        <v>9.2831899999999995E-2</v>
      </c>
      <c r="GU15">
        <v>48568</v>
      </c>
      <c r="GV15">
        <v>0.43899270000000001</v>
      </c>
      <c r="GW15">
        <v>21321</v>
      </c>
      <c r="GX15">
        <v>0.16898830000000001</v>
      </c>
      <c r="GY15">
        <v>21321</v>
      </c>
      <c r="GZ15">
        <v>0.36719659999999998</v>
      </c>
      <c r="HA15">
        <v>21321</v>
      </c>
      <c r="HB15">
        <v>0.46381499999999998</v>
      </c>
      <c r="HC15">
        <v>21276</v>
      </c>
      <c r="HD15">
        <v>0.61924230000000002</v>
      </c>
      <c r="HE15">
        <v>21276</v>
      </c>
      <c r="HF15">
        <v>0.38075769999999998</v>
      </c>
      <c r="HG15">
        <v>13175</v>
      </c>
      <c r="HH15">
        <v>0.65814039999999996</v>
      </c>
      <c r="HI15">
        <v>13175</v>
      </c>
      <c r="HJ15">
        <v>0.34185959999999999</v>
      </c>
      <c r="HK15">
        <v>48568</v>
      </c>
      <c r="HL15">
        <v>0.56100729999999999</v>
      </c>
      <c r="HM15">
        <v>27247</v>
      </c>
      <c r="HN15">
        <v>6.2502299999999997E-2</v>
      </c>
      <c r="HO15">
        <v>27247</v>
      </c>
      <c r="HP15">
        <v>0.3496532</v>
      </c>
      <c r="HQ15">
        <v>27247</v>
      </c>
      <c r="HR15">
        <v>0.58784460000000005</v>
      </c>
      <c r="HS15">
        <v>27247</v>
      </c>
      <c r="HT15">
        <v>0.47873159999999998</v>
      </c>
      <c r="HU15">
        <v>27247</v>
      </c>
      <c r="HV15">
        <v>0.52126839999999997</v>
      </c>
      <c r="HW15">
        <v>13044</v>
      </c>
      <c r="HX15">
        <v>0.64995400000000003</v>
      </c>
      <c r="HY15">
        <v>13044</v>
      </c>
      <c r="HZ15">
        <v>0.35004600000000002</v>
      </c>
      <c r="IA15">
        <v>523182</v>
      </c>
      <c r="IB15">
        <v>0.90716799999999997</v>
      </c>
      <c r="IC15">
        <v>474614</v>
      </c>
      <c r="ID15">
        <v>0.4924212</v>
      </c>
      <c r="IE15">
        <v>233710</v>
      </c>
      <c r="IF15">
        <v>0.56274440000000003</v>
      </c>
      <c r="IG15">
        <v>233710</v>
      </c>
      <c r="IH15">
        <v>0.233456</v>
      </c>
      <c r="II15">
        <v>233710</v>
      </c>
      <c r="IJ15">
        <v>0.2037996</v>
      </c>
      <c r="IK15">
        <v>232318</v>
      </c>
      <c r="IL15">
        <v>0.79592629999999998</v>
      </c>
      <c r="IM15">
        <v>232318</v>
      </c>
      <c r="IN15">
        <v>0.2040737</v>
      </c>
      <c r="IO15">
        <v>184908</v>
      </c>
      <c r="IP15">
        <v>0.90458499999999997</v>
      </c>
      <c r="IQ15">
        <v>184908</v>
      </c>
      <c r="IR15">
        <v>9.5415E-2</v>
      </c>
      <c r="IS15">
        <v>474614</v>
      </c>
      <c r="IT15">
        <v>0.5075788</v>
      </c>
      <c r="IU15">
        <v>240904</v>
      </c>
      <c r="IV15">
        <v>0.37832080000000001</v>
      </c>
      <c r="IW15">
        <v>240904</v>
      </c>
      <c r="IX15">
        <v>0.28537089999999998</v>
      </c>
      <c r="IY15">
        <v>240904</v>
      </c>
      <c r="IZ15">
        <v>0.3363082</v>
      </c>
      <c r="JA15">
        <v>240904</v>
      </c>
      <c r="JB15">
        <v>0.64715400000000001</v>
      </c>
      <c r="JC15">
        <v>240904</v>
      </c>
      <c r="JD15">
        <v>0.35284589999999999</v>
      </c>
      <c r="JE15">
        <v>155902</v>
      </c>
      <c r="JF15">
        <v>0.92383680000000001</v>
      </c>
      <c r="JG15">
        <v>155902</v>
      </c>
      <c r="JH15">
        <v>7.61632E-2</v>
      </c>
      <c r="JI15">
        <v>180305</v>
      </c>
      <c r="JJ15">
        <v>0.11919250000000001</v>
      </c>
      <c r="JK15">
        <v>21491</v>
      </c>
      <c r="JL15">
        <v>0.43450749999999999</v>
      </c>
      <c r="JM15">
        <v>9338</v>
      </c>
      <c r="JN15">
        <v>0.79256800000000005</v>
      </c>
      <c r="JO15">
        <v>9338</v>
      </c>
      <c r="JP15">
        <v>0.79256800000000005</v>
      </c>
      <c r="JQ15">
        <v>9338</v>
      </c>
      <c r="JR15">
        <v>0.79256800000000005</v>
      </c>
      <c r="JS15">
        <v>9338</v>
      </c>
      <c r="JT15">
        <v>0.79256800000000005</v>
      </c>
      <c r="JU15">
        <v>9338</v>
      </c>
      <c r="JV15">
        <v>0.20743200000000001</v>
      </c>
      <c r="JW15">
        <v>21491</v>
      </c>
      <c r="JX15">
        <v>0.56549249999999995</v>
      </c>
      <c r="JY15">
        <v>12153</v>
      </c>
      <c r="JZ15">
        <v>0.19484899999999999</v>
      </c>
      <c r="KA15">
        <v>2368</v>
      </c>
      <c r="KB15">
        <v>0.76182430000000001</v>
      </c>
      <c r="KC15">
        <v>1804</v>
      </c>
      <c r="KD15">
        <v>0.2050998</v>
      </c>
      <c r="KE15">
        <v>1804</v>
      </c>
      <c r="KF15">
        <v>0.24168510000000001</v>
      </c>
      <c r="KG15">
        <v>1804</v>
      </c>
      <c r="KH15">
        <v>0.55321509999999996</v>
      </c>
      <c r="KI15">
        <v>2368</v>
      </c>
      <c r="KJ15">
        <v>0.23817569999999999</v>
      </c>
      <c r="KK15">
        <v>12153</v>
      </c>
      <c r="KL15">
        <v>0.80515099999999995</v>
      </c>
      <c r="KM15">
        <v>9785</v>
      </c>
      <c r="KN15">
        <v>0.85487990000000003</v>
      </c>
      <c r="KO15">
        <v>8365</v>
      </c>
      <c r="KP15">
        <v>0.1507472</v>
      </c>
      <c r="KQ15">
        <v>8365</v>
      </c>
      <c r="KR15">
        <v>0.25128509999999998</v>
      </c>
      <c r="KS15">
        <v>8365</v>
      </c>
      <c r="KT15">
        <v>0.59796769999999999</v>
      </c>
      <c r="KU15">
        <v>9785</v>
      </c>
      <c r="KV15">
        <v>0.1451201</v>
      </c>
      <c r="KW15">
        <v>180305</v>
      </c>
      <c r="KX15">
        <v>1.85519E-2</v>
      </c>
      <c r="KY15">
        <v>3345</v>
      </c>
      <c r="KZ15">
        <v>0.57578470000000004</v>
      </c>
      <c r="LA15">
        <v>1926</v>
      </c>
      <c r="LB15">
        <v>0.76220140000000003</v>
      </c>
      <c r="LC15">
        <v>1926</v>
      </c>
      <c r="LD15">
        <v>0.76220140000000003</v>
      </c>
      <c r="LE15">
        <v>1926</v>
      </c>
      <c r="LF15">
        <v>0.76220140000000003</v>
      </c>
      <c r="LG15">
        <v>1926</v>
      </c>
      <c r="LH15">
        <v>0.76220140000000003</v>
      </c>
      <c r="LI15">
        <v>1926</v>
      </c>
      <c r="LJ15">
        <v>0.2377985</v>
      </c>
      <c r="LK15">
        <v>3345</v>
      </c>
      <c r="LL15">
        <v>0.42421530000000002</v>
      </c>
      <c r="LM15">
        <v>1419</v>
      </c>
      <c r="LN15">
        <v>0.31430580000000002</v>
      </c>
      <c r="LO15">
        <v>446</v>
      </c>
      <c r="LP15">
        <v>0.64798210000000001</v>
      </c>
      <c r="LQ15">
        <v>289</v>
      </c>
      <c r="LR15">
        <v>0</v>
      </c>
      <c r="LS15">
        <v>289</v>
      </c>
      <c r="LT15">
        <v>0</v>
      </c>
      <c r="LU15">
        <v>289</v>
      </c>
      <c r="LV15">
        <v>1</v>
      </c>
      <c r="LW15">
        <v>446</v>
      </c>
      <c r="LX15">
        <v>0.35201789999999999</v>
      </c>
      <c r="LY15">
        <v>1419</v>
      </c>
      <c r="LZ15">
        <v>0.68569420000000003</v>
      </c>
      <c r="MA15">
        <v>973</v>
      </c>
      <c r="MB15">
        <v>0.86433709999999997</v>
      </c>
      <c r="MC15">
        <v>841</v>
      </c>
      <c r="MD15">
        <v>6.7776500000000003E-2</v>
      </c>
      <c r="ME15">
        <v>841</v>
      </c>
      <c r="MF15">
        <v>0.1391201</v>
      </c>
      <c r="MG15">
        <v>841</v>
      </c>
      <c r="MH15">
        <v>0.79310349999999996</v>
      </c>
      <c r="MI15">
        <v>973</v>
      </c>
      <c r="MJ15">
        <v>0.1356629</v>
      </c>
      <c r="MK15">
        <v>180305</v>
      </c>
      <c r="ML15">
        <v>4.6937100000000002E-2</v>
      </c>
      <c r="MM15">
        <v>8463</v>
      </c>
      <c r="MN15">
        <v>0.58289020000000002</v>
      </c>
      <c r="MO15">
        <v>4933</v>
      </c>
      <c r="MP15">
        <v>0.73545510000000003</v>
      </c>
      <c r="MQ15">
        <v>4933</v>
      </c>
      <c r="MR15">
        <v>0.73545510000000003</v>
      </c>
      <c r="MS15">
        <v>4933</v>
      </c>
      <c r="MT15">
        <v>0.73545510000000003</v>
      </c>
      <c r="MU15">
        <v>4933</v>
      </c>
      <c r="MV15">
        <v>0.73545510000000003</v>
      </c>
      <c r="MW15">
        <v>4933</v>
      </c>
      <c r="MX15">
        <v>0.26454490000000003</v>
      </c>
      <c r="MY15">
        <v>8463</v>
      </c>
      <c r="MZ15">
        <v>0.41710979999999998</v>
      </c>
      <c r="NA15">
        <v>3530</v>
      </c>
      <c r="NB15">
        <v>0.45920680000000003</v>
      </c>
      <c r="NC15">
        <v>1621</v>
      </c>
      <c r="ND15">
        <v>0.75077110000000002</v>
      </c>
      <c r="NE15">
        <v>1217</v>
      </c>
      <c r="NF15">
        <v>0.21857019999999999</v>
      </c>
      <c r="NG15">
        <v>1217</v>
      </c>
      <c r="NH15">
        <v>9.4494700000000001E-2</v>
      </c>
      <c r="NI15">
        <v>1217</v>
      </c>
      <c r="NJ15">
        <v>0.68693510000000002</v>
      </c>
      <c r="NK15">
        <v>1621</v>
      </c>
      <c r="NL15">
        <v>0.2492289</v>
      </c>
      <c r="NM15">
        <v>3530</v>
      </c>
      <c r="NN15">
        <v>0.54079319999999997</v>
      </c>
      <c r="NO15">
        <v>1909</v>
      </c>
      <c r="NP15">
        <v>0.77213200000000004</v>
      </c>
      <c r="NQ15">
        <v>1474</v>
      </c>
      <c r="NR15">
        <v>0.13025780000000001</v>
      </c>
      <c r="NS15">
        <v>1474</v>
      </c>
      <c r="NT15">
        <v>6.2415199999999997E-2</v>
      </c>
      <c r="NU15">
        <v>1474</v>
      </c>
      <c r="NV15">
        <v>0.80732700000000002</v>
      </c>
      <c r="NW15">
        <v>1909</v>
      </c>
      <c r="NX15">
        <v>0.22786799999999999</v>
      </c>
      <c r="NY15">
        <v>180305</v>
      </c>
      <c r="NZ15">
        <v>0.81531849999999995</v>
      </c>
      <c r="OA15">
        <v>147006</v>
      </c>
      <c r="OB15">
        <v>0.85644129999999996</v>
      </c>
      <c r="OC15">
        <v>125902</v>
      </c>
      <c r="OD15">
        <v>0.4942336</v>
      </c>
      <c r="OE15">
        <v>125902</v>
      </c>
      <c r="OF15">
        <v>0.4942336</v>
      </c>
      <c r="OG15">
        <v>125902</v>
      </c>
      <c r="OH15">
        <v>0.4942336</v>
      </c>
      <c r="OI15">
        <v>125902</v>
      </c>
      <c r="OJ15">
        <v>0.4942336</v>
      </c>
      <c r="OK15">
        <v>125902</v>
      </c>
      <c r="OL15">
        <v>0.50576639999999995</v>
      </c>
      <c r="OM15">
        <v>147006</v>
      </c>
      <c r="ON15">
        <v>0.14355879999999999</v>
      </c>
      <c r="OO15">
        <v>21104</v>
      </c>
      <c r="OP15">
        <v>0.31913380000000002</v>
      </c>
      <c r="OQ15">
        <v>6735</v>
      </c>
      <c r="OR15">
        <v>0.50541939999999996</v>
      </c>
      <c r="OS15">
        <v>3404</v>
      </c>
      <c r="OT15">
        <v>0.2024089</v>
      </c>
      <c r="OU15">
        <v>3404</v>
      </c>
      <c r="OV15">
        <v>9.1069300000000006E-2</v>
      </c>
      <c r="OW15">
        <v>3404</v>
      </c>
      <c r="OX15">
        <v>0.70652170000000003</v>
      </c>
      <c r="OY15">
        <v>6735</v>
      </c>
      <c r="OZ15">
        <v>0.49458049999999998</v>
      </c>
      <c r="PA15">
        <v>21104</v>
      </c>
      <c r="PB15">
        <v>0.68086619999999998</v>
      </c>
      <c r="PC15">
        <v>14369</v>
      </c>
      <c r="PD15">
        <v>0.46495930000000002</v>
      </c>
      <c r="PE15">
        <v>6681</v>
      </c>
      <c r="PF15">
        <v>0.207454</v>
      </c>
      <c r="PG15">
        <v>6681</v>
      </c>
      <c r="PH15">
        <v>8.2322999999999997E-3</v>
      </c>
      <c r="PI15">
        <v>6681</v>
      </c>
      <c r="PJ15">
        <v>0.7843137</v>
      </c>
      <c r="PK15">
        <v>14369</v>
      </c>
      <c r="PL15">
        <v>0.53504070000000004</v>
      </c>
      <c r="PM15">
        <v>706222</v>
      </c>
      <c r="PN15">
        <v>0.49996740000000001</v>
      </c>
      <c r="PO15">
        <v>353088</v>
      </c>
      <c r="PP15">
        <v>6.6167599999999993E-2</v>
      </c>
      <c r="PQ15">
        <v>353088</v>
      </c>
      <c r="PR15">
        <v>7.73065E-2</v>
      </c>
      <c r="PS15">
        <v>353088</v>
      </c>
      <c r="PT15">
        <v>8.0852400000000005E-2</v>
      </c>
      <c r="PU15">
        <v>353088</v>
      </c>
      <c r="PV15">
        <v>5.1018399999999998E-2</v>
      </c>
      <c r="PW15">
        <v>353088</v>
      </c>
      <c r="PX15">
        <v>3.8032999999999997E-2</v>
      </c>
      <c r="PY15">
        <v>353088</v>
      </c>
      <c r="PZ15">
        <v>1.52342E-2</v>
      </c>
      <c r="QA15">
        <v>353088</v>
      </c>
      <c r="QB15">
        <v>1.0833000000000001E-2</v>
      </c>
      <c r="QC15">
        <v>353088</v>
      </c>
      <c r="QD15">
        <v>4.0528099999999997E-2</v>
      </c>
      <c r="QE15">
        <v>353088</v>
      </c>
      <c r="QF15">
        <v>5.7739100000000002E-2</v>
      </c>
      <c r="QG15">
        <v>353088</v>
      </c>
      <c r="QH15">
        <v>5.8319700000000002E-2</v>
      </c>
      <c r="QI15">
        <v>353088</v>
      </c>
      <c r="QJ15">
        <v>6.5861799999999998E-2</v>
      </c>
      <c r="QK15">
        <v>353088</v>
      </c>
      <c r="QL15">
        <v>6.7866899999999994E-2</v>
      </c>
      <c r="QM15">
        <v>353088</v>
      </c>
      <c r="QN15">
        <v>7.8892500000000004E-2</v>
      </c>
      <c r="QO15">
        <v>353088</v>
      </c>
      <c r="QP15">
        <v>7.9288999999999998E-2</v>
      </c>
      <c r="QQ15">
        <v>353088</v>
      </c>
      <c r="QR15">
        <v>6.5102699999999999E-2</v>
      </c>
      <c r="QS15">
        <v>353088</v>
      </c>
      <c r="QT15">
        <v>1.9655200000000001E-2</v>
      </c>
      <c r="QU15">
        <v>353088</v>
      </c>
      <c r="QV15">
        <v>3.25726E-2</v>
      </c>
      <c r="QW15">
        <v>353088</v>
      </c>
      <c r="QX15">
        <v>1.3197800000000001E-2</v>
      </c>
      <c r="QY15">
        <v>353088</v>
      </c>
      <c r="QZ15">
        <v>2.14168E-2</v>
      </c>
      <c r="RA15">
        <v>353088</v>
      </c>
      <c r="RB15">
        <v>2.29999E-2</v>
      </c>
      <c r="RC15">
        <v>353088</v>
      </c>
      <c r="RD15">
        <v>1.8040799999999999E-2</v>
      </c>
      <c r="RE15">
        <v>353088</v>
      </c>
      <c r="RF15">
        <v>9.3290999999999999E-3</v>
      </c>
      <c r="RG15">
        <v>353088</v>
      </c>
      <c r="RH15">
        <v>9.7426000000000006E-3</v>
      </c>
      <c r="RI15">
        <v>706222</v>
      </c>
      <c r="RJ15">
        <v>0.50003249999999999</v>
      </c>
      <c r="RK15">
        <v>353134</v>
      </c>
      <c r="RL15">
        <v>6.3882300000000003E-2</v>
      </c>
      <c r="RM15">
        <v>353134</v>
      </c>
      <c r="RN15">
        <v>6.9639300000000001E-2</v>
      </c>
      <c r="RO15">
        <v>353134</v>
      </c>
      <c r="RP15">
        <v>7.9966800000000005E-2</v>
      </c>
      <c r="RQ15">
        <v>353134</v>
      </c>
      <c r="RR15">
        <v>4.7823200000000003E-2</v>
      </c>
      <c r="RS15">
        <v>353134</v>
      </c>
      <c r="RT15">
        <v>2.82414E-2</v>
      </c>
      <c r="RU15">
        <v>353134</v>
      </c>
      <c r="RV15">
        <v>1.0398299999999999E-2</v>
      </c>
      <c r="RW15">
        <v>353134</v>
      </c>
      <c r="RX15">
        <v>1.11827E-2</v>
      </c>
      <c r="RY15">
        <v>353134</v>
      </c>
      <c r="RZ15">
        <v>3.1565900000000001E-2</v>
      </c>
      <c r="SA15">
        <v>353134</v>
      </c>
      <c r="SB15">
        <v>5.4041800000000001E-2</v>
      </c>
      <c r="SC15">
        <v>353134</v>
      </c>
      <c r="SD15">
        <v>5.87482E-2</v>
      </c>
      <c r="SE15">
        <v>353134</v>
      </c>
      <c r="SF15">
        <v>6.4556199999999994E-2</v>
      </c>
      <c r="SG15">
        <v>353134</v>
      </c>
      <c r="SH15">
        <v>7.5801300000000002E-2</v>
      </c>
      <c r="SI15">
        <v>353134</v>
      </c>
      <c r="SJ15">
        <v>8.2050999999999999E-2</v>
      </c>
      <c r="SK15">
        <v>353134</v>
      </c>
      <c r="SL15">
        <v>8.1716899999999995E-2</v>
      </c>
      <c r="SM15">
        <v>353134</v>
      </c>
      <c r="SN15">
        <v>6.3086500000000004E-2</v>
      </c>
      <c r="SO15">
        <v>353134</v>
      </c>
      <c r="SP15">
        <v>2.3704900000000001E-2</v>
      </c>
      <c r="SQ15">
        <v>353134</v>
      </c>
      <c r="SR15">
        <v>3.3355599999999999E-2</v>
      </c>
      <c r="SS15">
        <v>353134</v>
      </c>
      <c r="ST15">
        <v>1.38078E-2</v>
      </c>
      <c r="SU15">
        <v>353134</v>
      </c>
      <c r="SV15">
        <v>2.4375999999999998E-2</v>
      </c>
      <c r="SW15">
        <v>353134</v>
      </c>
      <c r="SX15">
        <v>2.4500600000000001E-2</v>
      </c>
      <c r="SY15">
        <v>353134</v>
      </c>
      <c r="SZ15">
        <v>1.8616199999999999E-2</v>
      </c>
      <c r="TA15">
        <v>353134</v>
      </c>
      <c r="TB15">
        <v>1.60562E-2</v>
      </c>
      <c r="TC15">
        <v>353134</v>
      </c>
      <c r="TD15">
        <v>2.28808E-2</v>
      </c>
      <c r="TE15">
        <v>562913</v>
      </c>
      <c r="TF15">
        <v>0.50148420000000005</v>
      </c>
      <c r="TG15">
        <v>50525</v>
      </c>
      <c r="TH15">
        <v>0.48332510000000001</v>
      </c>
      <c r="TI15"/>
      <c r="TJ15"/>
      <c r="TK15">
        <v>46233</v>
      </c>
      <c r="TL15">
        <v>0.48854710000000001</v>
      </c>
      <c r="TM15"/>
      <c r="TN15"/>
      <c r="TO15">
        <v>29145</v>
      </c>
      <c r="TP15">
        <v>0.50602159999999996</v>
      </c>
      <c r="TQ15">
        <v>16219</v>
      </c>
      <c r="TR15">
        <v>0.5111289</v>
      </c>
      <c r="TS15">
        <v>456850</v>
      </c>
      <c r="TT15">
        <v>0.49601620000000002</v>
      </c>
      <c r="TU15">
        <v>143196</v>
      </c>
      <c r="TV15">
        <v>0.51868069999999999</v>
      </c>
      <c r="TW15">
        <v>562913</v>
      </c>
      <c r="TX15">
        <v>0.49851580000000001</v>
      </c>
      <c r="TY15">
        <v>50525</v>
      </c>
      <c r="TZ15">
        <v>0.51667490000000005</v>
      </c>
      <c r="UA15"/>
      <c r="UB15"/>
      <c r="UC15">
        <v>46233</v>
      </c>
      <c r="UD15">
        <v>0.51145289999999999</v>
      </c>
      <c r="UE15"/>
      <c r="UF15"/>
      <c r="UG15">
        <v>29145</v>
      </c>
      <c r="UH15">
        <v>0.49397839999999998</v>
      </c>
      <c r="UI15">
        <v>16219</v>
      </c>
      <c r="UJ15">
        <v>0.4888711</v>
      </c>
      <c r="UK15">
        <v>456850</v>
      </c>
      <c r="UL15">
        <v>0.50398379999999998</v>
      </c>
      <c r="UM15">
        <v>143196</v>
      </c>
      <c r="UN15">
        <v>0.48131930000000001</v>
      </c>
      <c r="UO15">
        <v>166453</v>
      </c>
      <c r="UP15">
        <v>166453</v>
      </c>
      <c r="UQ15">
        <v>166453</v>
      </c>
      <c r="UR15">
        <v>137910</v>
      </c>
      <c r="US15">
        <v>137910</v>
      </c>
      <c r="UT15">
        <v>137910</v>
      </c>
      <c r="UU15">
        <v>3.3883400000000001E-2</v>
      </c>
      <c r="UV15">
        <v>0.87428890000000004</v>
      </c>
      <c r="UW15">
        <v>9.1827699999999998E-2</v>
      </c>
      <c r="UX15">
        <v>3.0309999999999998E-3</v>
      </c>
      <c r="UY15">
        <v>0.90395179999999997</v>
      </c>
      <c r="UZ15">
        <v>9.3017199999999994E-2</v>
      </c>
      <c r="VA15">
        <v>12252</v>
      </c>
      <c r="VB15">
        <v>0.20576230000000001</v>
      </c>
      <c r="VC15">
        <v>12252</v>
      </c>
      <c r="VD15">
        <v>0.62463270000000004</v>
      </c>
      <c r="VE15">
        <v>12252</v>
      </c>
      <c r="VF15">
        <v>0.16960500000000001</v>
      </c>
      <c r="VG15">
        <v>17995</v>
      </c>
      <c r="VH15">
        <v>8.4579100000000004E-2</v>
      </c>
      <c r="VI15">
        <v>17995</v>
      </c>
      <c r="VJ15">
        <v>0.79083079999999994</v>
      </c>
      <c r="VK15">
        <v>17995</v>
      </c>
      <c r="VL15">
        <v>0.1245902</v>
      </c>
      <c r="VM15">
        <v>19266</v>
      </c>
      <c r="VN15">
        <v>6.3116400000000003E-2</v>
      </c>
      <c r="VO15">
        <v>19266</v>
      </c>
      <c r="VP15">
        <v>0.85892250000000003</v>
      </c>
      <c r="VQ15">
        <v>19266</v>
      </c>
      <c r="VR15">
        <v>7.7961199999999994E-2</v>
      </c>
      <c r="VS15">
        <v>44871</v>
      </c>
      <c r="VT15">
        <v>8.4910000000000003E-3</v>
      </c>
      <c r="VU15">
        <v>44871</v>
      </c>
      <c r="VV15">
        <v>0.92690159999999999</v>
      </c>
      <c r="VW15">
        <v>44871</v>
      </c>
      <c r="VX15">
        <v>6.4607399999999995E-2</v>
      </c>
      <c r="VY15">
        <v>52540</v>
      </c>
      <c r="VZ15">
        <v>0</v>
      </c>
      <c r="WA15">
        <v>52540</v>
      </c>
      <c r="WB15">
        <v>0.9137419</v>
      </c>
      <c r="WC15">
        <v>52540</v>
      </c>
      <c r="WD15">
        <v>8.6258100000000004E-2</v>
      </c>
      <c r="WE15">
        <v>19529</v>
      </c>
      <c r="WF15">
        <v>0</v>
      </c>
      <c r="WG15">
        <v>19529</v>
      </c>
      <c r="WH15">
        <v>0.89594960000000001</v>
      </c>
      <c r="WI15">
        <v>19529</v>
      </c>
      <c r="WJ15">
        <v>0.1040504</v>
      </c>
      <c r="WK15">
        <v>8501</v>
      </c>
      <c r="WL15">
        <v>2.5173500000000001E-2</v>
      </c>
      <c r="WM15">
        <v>8501</v>
      </c>
      <c r="WN15">
        <v>0.84519469999999997</v>
      </c>
      <c r="WO15">
        <v>8501</v>
      </c>
      <c r="WP15">
        <v>0.12963179999999999</v>
      </c>
      <c r="WQ15">
        <v>14696</v>
      </c>
      <c r="WR15">
        <v>1.3881299999999999E-2</v>
      </c>
      <c r="WS15">
        <v>14696</v>
      </c>
      <c r="WT15">
        <v>0.88452640000000005</v>
      </c>
      <c r="WU15">
        <v>14696</v>
      </c>
      <c r="WV15">
        <v>0.1015923</v>
      </c>
      <c r="WW15">
        <v>14768</v>
      </c>
      <c r="WX15">
        <v>0</v>
      </c>
      <c r="WY15">
        <v>14768</v>
      </c>
      <c r="WZ15">
        <v>0.84777899999999995</v>
      </c>
      <c r="XA15">
        <v>14768</v>
      </c>
      <c r="XB15">
        <v>0.152221</v>
      </c>
      <c r="XC15">
        <v>37734</v>
      </c>
      <c r="XD15">
        <v>0</v>
      </c>
      <c r="XE15">
        <v>37734</v>
      </c>
      <c r="XF15">
        <v>0.92317269999999996</v>
      </c>
      <c r="XG15">
        <v>37734</v>
      </c>
      <c r="XH15">
        <v>7.6827300000000001E-2</v>
      </c>
      <c r="XI15">
        <v>45928</v>
      </c>
      <c r="XJ15">
        <v>0</v>
      </c>
      <c r="XK15">
        <v>45928</v>
      </c>
      <c r="XL15">
        <v>0.91275479999999998</v>
      </c>
      <c r="XM15">
        <v>45928</v>
      </c>
      <c r="XN15">
        <v>8.7245299999999998E-2</v>
      </c>
      <c r="XO15">
        <v>16283</v>
      </c>
      <c r="XP15">
        <v>0</v>
      </c>
      <c r="XQ15">
        <v>16283</v>
      </c>
      <c r="XR15">
        <v>0.93373459999999997</v>
      </c>
      <c r="XS15">
        <v>16283</v>
      </c>
      <c r="XT15">
        <v>6.6265400000000002E-2</v>
      </c>
      <c r="XU15">
        <v>465283</v>
      </c>
      <c r="XV15">
        <v>0.5044457</v>
      </c>
      <c r="XW15">
        <v>234710</v>
      </c>
      <c r="XX15">
        <v>0.84028380000000003</v>
      </c>
      <c r="XY15">
        <v>234710</v>
      </c>
      <c r="XZ15">
        <v>0.1597162</v>
      </c>
      <c r="YA15">
        <v>197223</v>
      </c>
      <c r="YB15">
        <v>0.85074260000000002</v>
      </c>
      <c r="YC15">
        <v>167786</v>
      </c>
      <c r="YD15">
        <v>0.810002</v>
      </c>
      <c r="YE15">
        <v>167786</v>
      </c>
      <c r="YF15">
        <v>1.9244799999999999E-2</v>
      </c>
      <c r="YG15">
        <v>167786</v>
      </c>
      <c r="YH15">
        <v>4.7203000000000002E-2</v>
      </c>
      <c r="YI15">
        <v>167786</v>
      </c>
      <c r="YJ15">
        <v>5.5385999999999998E-2</v>
      </c>
      <c r="YK15">
        <v>167786</v>
      </c>
      <c r="YL15">
        <v>3.2166E-2</v>
      </c>
      <c r="YM15">
        <v>167786</v>
      </c>
      <c r="YN15">
        <v>3.5998200000000001E-2</v>
      </c>
      <c r="YO15">
        <v>197223</v>
      </c>
      <c r="YP15">
        <v>0.1110418</v>
      </c>
      <c r="YQ15">
        <v>21900</v>
      </c>
      <c r="YR15">
        <v>0.34926940000000001</v>
      </c>
      <c r="YS15">
        <v>21900</v>
      </c>
      <c r="YT15">
        <v>3.6346999999999997E-2</v>
      </c>
      <c r="YU15">
        <v>21900</v>
      </c>
      <c r="YV15">
        <v>0.11374430000000001</v>
      </c>
      <c r="YW15">
        <v>21900</v>
      </c>
      <c r="YX15">
        <v>0.17474890000000001</v>
      </c>
      <c r="YY15">
        <v>21900</v>
      </c>
      <c r="YZ15">
        <v>0.1184475</v>
      </c>
      <c r="ZA15">
        <v>21900</v>
      </c>
      <c r="ZB15">
        <v>0.20744290000000001</v>
      </c>
      <c r="ZC15">
        <v>197223</v>
      </c>
      <c r="ZD15">
        <v>3.8215600000000002E-2</v>
      </c>
      <c r="ZE15">
        <v>7537</v>
      </c>
      <c r="ZF15">
        <v>0.15470349999999999</v>
      </c>
      <c r="ZG15">
        <v>7537</v>
      </c>
      <c r="ZH15">
        <v>2.6933800000000001E-2</v>
      </c>
      <c r="ZI15">
        <v>7537</v>
      </c>
      <c r="ZJ15">
        <v>0.1328115</v>
      </c>
      <c r="ZK15">
        <v>7537</v>
      </c>
      <c r="ZL15">
        <v>9.6059400000000003E-2</v>
      </c>
      <c r="ZM15">
        <v>7537</v>
      </c>
      <c r="ZN15">
        <v>9.6192100000000003E-2</v>
      </c>
      <c r="ZO15">
        <v>7537</v>
      </c>
      <c r="ZP15">
        <v>0.49329970000000001</v>
      </c>
      <c r="ZQ15">
        <v>465283</v>
      </c>
      <c r="ZR15">
        <v>0.4955543</v>
      </c>
      <c r="ZS15">
        <v>230573</v>
      </c>
      <c r="ZT15">
        <v>0.72178439999999999</v>
      </c>
      <c r="ZU15">
        <v>230573</v>
      </c>
      <c r="ZV15">
        <v>0.27821560000000001</v>
      </c>
      <c r="ZW15">
        <v>166424</v>
      </c>
      <c r="ZX15">
        <v>0.67440990000000001</v>
      </c>
      <c r="ZY15">
        <v>112238</v>
      </c>
      <c r="ZZ15">
        <v>0.81378850000000003</v>
      </c>
      <c r="AAA15">
        <v>112238</v>
      </c>
      <c r="AAB15">
        <v>1.5306800000000001E-2</v>
      </c>
      <c r="AAC15">
        <v>112238</v>
      </c>
      <c r="AAD15">
        <v>5.1952100000000001E-2</v>
      </c>
      <c r="AAE15">
        <v>112238</v>
      </c>
      <c r="AAF15">
        <v>4.1768399999999997E-2</v>
      </c>
      <c r="AAG15">
        <v>112238</v>
      </c>
      <c r="AAH15">
        <v>3.8908400000000003E-2</v>
      </c>
      <c r="AAI15">
        <v>112238</v>
      </c>
      <c r="AAJ15">
        <v>3.8275799999999999E-2</v>
      </c>
      <c r="AAK15">
        <v>166424</v>
      </c>
      <c r="AAL15">
        <v>0.2450608</v>
      </c>
      <c r="AAM15">
        <v>40784</v>
      </c>
      <c r="AAN15">
        <v>0.56534430000000002</v>
      </c>
      <c r="AAO15">
        <v>40784</v>
      </c>
      <c r="AAP15">
        <v>4.2639299999999998E-2</v>
      </c>
      <c r="AAQ15">
        <v>40784</v>
      </c>
      <c r="AAR15">
        <v>7.8829899999999994E-2</v>
      </c>
      <c r="AAS15">
        <v>40784</v>
      </c>
      <c r="AAT15">
        <v>0.1019027</v>
      </c>
      <c r="AAU15">
        <v>40784</v>
      </c>
      <c r="AAV15">
        <v>9.2879600000000007E-2</v>
      </c>
      <c r="AAW15">
        <v>40784</v>
      </c>
      <c r="AAX15">
        <v>0.1184043</v>
      </c>
      <c r="AAY15">
        <v>166424</v>
      </c>
      <c r="AAZ15">
        <v>8.0529299999999998E-2</v>
      </c>
      <c r="ABA15">
        <v>13402</v>
      </c>
      <c r="ABB15">
        <v>0.21093870000000001</v>
      </c>
      <c r="ABC15">
        <v>13402</v>
      </c>
      <c r="ABD15">
        <v>2.7010900000000001E-2</v>
      </c>
      <c r="ABE15">
        <v>13402</v>
      </c>
      <c r="ABF15">
        <v>0.10222349999999999</v>
      </c>
      <c r="ABG15">
        <v>13402</v>
      </c>
      <c r="ABH15">
        <v>0.20213400000000001</v>
      </c>
      <c r="ABI15">
        <v>13402</v>
      </c>
      <c r="ABJ15">
        <v>0.1029697</v>
      </c>
      <c r="ABK15">
        <v>13402</v>
      </c>
      <c r="ABL15">
        <v>0.35472320000000002</v>
      </c>
      <c r="ABM15">
        <v>240051</v>
      </c>
      <c r="ABN15">
        <v>0.75111119999999998</v>
      </c>
      <c r="ABO15">
        <v>180305</v>
      </c>
      <c r="ABP15">
        <v>0.78810349999999996</v>
      </c>
      <c r="ABQ15">
        <v>180305</v>
      </c>
      <c r="ABR15">
        <v>0.21189649999999999</v>
      </c>
      <c r="ABS15">
        <v>38206</v>
      </c>
      <c r="ABT15">
        <v>0.29236250000000003</v>
      </c>
      <c r="ABU15">
        <v>38206</v>
      </c>
      <c r="ABV15">
        <v>0.70763750000000003</v>
      </c>
      <c r="ABW15">
        <v>240051</v>
      </c>
      <c r="ABX15">
        <v>0.24888879999999999</v>
      </c>
      <c r="ABY15">
        <v>59746</v>
      </c>
      <c r="ABZ15">
        <v>0.88936499999999996</v>
      </c>
      <c r="ACA15">
        <v>59746</v>
      </c>
      <c r="ACB15">
        <v>0.110635</v>
      </c>
      <c r="ACC15">
        <v>551625</v>
      </c>
      <c r="ACD15">
        <v>0.49649850000000001</v>
      </c>
      <c r="ACE15">
        <v>273881</v>
      </c>
      <c r="ACF15">
        <v>0.32871939999999999</v>
      </c>
      <c r="ACG15">
        <v>90030</v>
      </c>
      <c r="ACH15">
        <v>0.20008889999999999</v>
      </c>
      <c r="ACI15">
        <v>90030</v>
      </c>
      <c r="ACJ15">
        <v>0.14797289999999999</v>
      </c>
      <c r="ACK15">
        <v>90030</v>
      </c>
      <c r="ACL15">
        <v>0.2429857</v>
      </c>
      <c r="ACM15">
        <v>90030</v>
      </c>
      <c r="ACN15">
        <v>0.14942800000000001</v>
      </c>
      <c r="ACO15">
        <v>90030</v>
      </c>
      <c r="ACP15">
        <v>7.4719499999999994E-2</v>
      </c>
      <c r="ACQ15">
        <v>90030</v>
      </c>
      <c r="ACR15">
        <v>3.8853699999999998E-2</v>
      </c>
      <c r="ACS15">
        <v>90030</v>
      </c>
      <c r="ACT15">
        <v>3.2633599999999999E-2</v>
      </c>
      <c r="ACU15">
        <v>90030</v>
      </c>
      <c r="ACV15">
        <v>3.7876300000000002E-2</v>
      </c>
      <c r="ACW15">
        <v>90030</v>
      </c>
      <c r="ACX15">
        <v>2.9201399999999999E-2</v>
      </c>
      <c r="ACY15">
        <v>90030</v>
      </c>
      <c r="ACZ15">
        <v>2.3747600000000001E-2</v>
      </c>
      <c r="ADA15">
        <v>90030</v>
      </c>
      <c r="ADB15">
        <v>1.0974100000000001E-2</v>
      </c>
      <c r="ADC15">
        <v>90030</v>
      </c>
      <c r="ADD15">
        <v>6.7200000000000003E-3</v>
      </c>
      <c r="ADE15">
        <v>90030</v>
      </c>
      <c r="ADF15">
        <v>4.0542E-3</v>
      </c>
      <c r="ADG15">
        <v>90030</v>
      </c>
      <c r="ADH15">
        <v>7.4419999999999998E-4</v>
      </c>
      <c r="ADI15">
        <v>273881</v>
      </c>
      <c r="ADJ15">
        <v>0.57491389999999998</v>
      </c>
      <c r="ADK15">
        <v>157458</v>
      </c>
      <c r="ADL15">
        <v>0.92636130000000005</v>
      </c>
      <c r="ADM15">
        <v>145863</v>
      </c>
      <c r="ADN15">
        <v>0</v>
      </c>
      <c r="ADO15">
        <v>145863</v>
      </c>
      <c r="ADP15">
        <v>0</v>
      </c>
      <c r="ADQ15">
        <v>145863</v>
      </c>
      <c r="ADR15">
        <v>5.8891000000000004E-3</v>
      </c>
      <c r="ADS15">
        <v>145863</v>
      </c>
      <c r="ADT15">
        <v>3.5382499999999997E-2</v>
      </c>
      <c r="ADU15">
        <v>145863</v>
      </c>
      <c r="ADV15">
        <v>7.8991900000000004E-2</v>
      </c>
      <c r="ADW15">
        <v>145863</v>
      </c>
      <c r="ADX15">
        <v>0.11314730000000001</v>
      </c>
      <c r="ADY15">
        <v>145863</v>
      </c>
      <c r="ADZ15">
        <v>0.12544649999999999</v>
      </c>
      <c r="AEA15">
        <v>145863</v>
      </c>
      <c r="AEB15">
        <v>0.1362237</v>
      </c>
      <c r="AEC15">
        <v>145863</v>
      </c>
      <c r="AED15">
        <v>0.1402275</v>
      </c>
      <c r="AEE15">
        <v>145863</v>
      </c>
      <c r="AEF15">
        <v>0.11108369999999999</v>
      </c>
      <c r="AEG15">
        <v>145863</v>
      </c>
      <c r="AEH15">
        <v>8.9693800000000004E-2</v>
      </c>
      <c r="AEI15">
        <v>145863</v>
      </c>
      <c r="AEJ15">
        <v>0.10855389999999999</v>
      </c>
      <c r="AEK15">
        <v>145863</v>
      </c>
      <c r="AEL15">
        <v>4.5158799999999999E-2</v>
      </c>
      <c r="AEM15">
        <v>145863</v>
      </c>
      <c r="AEN15">
        <v>1.0201399999999999E-2</v>
      </c>
      <c r="AEO15">
        <v>157458</v>
      </c>
      <c r="AEP15">
        <v>7.3638700000000001E-2</v>
      </c>
      <c r="AEQ15">
        <v>11595</v>
      </c>
      <c r="AER15">
        <v>0.30996119999999999</v>
      </c>
      <c r="AES15">
        <v>3594</v>
      </c>
      <c r="AET15">
        <v>0</v>
      </c>
      <c r="AEU15">
        <v>3594</v>
      </c>
      <c r="AEV15">
        <v>0</v>
      </c>
      <c r="AEW15">
        <v>3594</v>
      </c>
      <c r="AEX15">
        <v>4.1736200000000001E-2</v>
      </c>
      <c r="AEY15">
        <v>3594</v>
      </c>
      <c r="AEZ15">
        <v>2.9493599999999998E-2</v>
      </c>
      <c r="AFA15">
        <v>3594</v>
      </c>
      <c r="AFB15">
        <v>0.1616583</v>
      </c>
      <c r="AFC15">
        <v>3594</v>
      </c>
      <c r="AFD15">
        <v>9.0150300000000003E-2</v>
      </c>
      <c r="AFE15">
        <v>3594</v>
      </c>
      <c r="AFF15">
        <v>9.5158599999999996E-2</v>
      </c>
      <c r="AFG15">
        <v>3594</v>
      </c>
      <c r="AFH15">
        <v>0.1936561</v>
      </c>
      <c r="AFI15">
        <v>3594</v>
      </c>
      <c r="AFJ15">
        <v>0.1029494</v>
      </c>
      <c r="AFK15">
        <v>3594</v>
      </c>
      <c r="AFL15">
        <v>9.7106300000000007E-2</v>
      </c>
      <c r="AFM15">
        <v>3594</v>
      </c>
      <c r="AFN15">
        <v>0.1168614</v>
      </c>
      <c r="AFO15">
        <v>3594</v>
      </c>
      <c r="AFP15">
        <v>6.3160800000000003E-2</v>
      </c>
      <c r="AFQ15">
        <v>3594</v>
      </c>
      <c r="AFR15">
        <v>8.0689999999999998E-3</v>
      </c>
      <c r="AFS15">
        <v>3594</v>
      </c>
      <c r="AFT15">
        <v>0</v>
      </c>
      <c r="AFU15">
        <v>11595</v>
      </c>
      <c r="AFV15">
        <v>0.69003879999999995</v>
      </c>
      <c r="AFW15">
        <v>8001</v>
      </c>
      <c r="AFX15">
        <v>0</v>
      </c>
      <c r="AFY15">
        <v>8001</v>
      </c>
      <c r="AFZ15">
        <v>2.3747E-3</v>
      </c>
      <c r="AGA15">
        <v>8001</v>
      </c>
      <c r="AGB15">
        <v>6.9991300000000006E-2</v>
      </c>
      <c r="AGC15">
        <v>8001</v>
      </c>
      <c r="AGD15">
        <v>0.14360709999999999</v>
      </c>
      <c r="AGE15">
        <v>8001</v>
      </c>
      <c r="AGF15">
        <v>0.1241095</v>
      </c>
      <c r="AGG15">
        <v>8001</v>
      </c>
      <c r="AGH15">
        <v>0.13748279999999999</v>
      </c>
      <c r="AGI15">
        <v>8001</v>
      </c>
      <c r="AGJ15">
        <v>5.0743700000000003E-2</v>
      </c>
      <c r="AGK15">
        <v>8001</v>
      </c>
      <c r="AGL15">
        <v>0.11960999999999999</v>
      </c>
      <c r="AGM15">
        <v>8001</v>
      </c>
      <c r="AGN15">
        <v>7.7990199999999996E-2</v>
      </c>
      <c r="AGO15">
        <v>8001</v>
      </c>
      <c r="AGP15">
        <v>6.4241999999999994E-2</v>
      </c>
      <c r="AGQ15">
        <v>8001</v>
      </c>
      <c r="AGR15">
        <v>6.9741300000000006E-2</v>
      </c>
      <c r="AGS15">
        <v>8001</v>
      </c>
      <c r="AGT15">
        <v>6.9116399999999995E-2</v>
      </c>
      <c r="AGU15">
        <v>8001</v>
      </c>
      <c r="AGV15">
        <v>3.2745900000000001E-2</v>
      </c>
      <c r="AGW15">
        <v>8001</v>
      </c>
      <c r="AGX15">
        <v>3.82452E-2</v>
      </c>
      <c r="AGY15">
        <v>273881</v>
      </c>
      <c r="AGZ15">
        <v>2.11661E-2</v>
      </c>
      <c r="AHA15">
        <v>5797</v>
      </c>
      <c r="AHB15">
        <v>0</v>
      </c>
      <c r="AHC15">
        <v>5797</v>
      </c>
      <c r="AHD15">
        <v>5.1751000000000002E-3</v>
      </c>
      <c r="AHE15">
        <v>5797</v>
      </c>
      <c r="AHF15">
        <v>0</v>
      </c>
      <c r="AHG15">
        <v>5797</v>
      </c>
      <c r="AHH15">
        <v>0</v>
      </c>
      <c r="AHI15">
        <v>5797</v>
      </c>
      <c r="AHJ15">
        <v>0</v>
      </c>
      <c r="AHK15">
        <v>5797</v>
      </c>
      <c r="AHL15">
        <v>0</v>
      </c>
      <c r="AHM15">
        <v>5797</v>
      </c>
      <c r="AHN15">
        <v>6.9001000000000002E-3</v>
      </c>
      <c r="AHO15">
        <v>5797</v>
      </c>
      <c r="AHP15">
        <v>3.1568100000000002E-2</v>
      </c>
      <c r="AHQ15">
        <v>5797</v>
      </c>
      <c r="AHR15">
        <v>0.114542</v>
      </c>
      <c r="AHS15">
        <v>5797</v>
      </c>
      <c r="AHT15">
        <v>5.6925999999999997E-2</v>
      </c>
      <c r="AHU15">
        <v>5797</v>
      </c>
      <c r="AHV15">
        <v>8.5216500000000001E-2</v>
      </c>
      <c r="AHW15">
        <v>5797</v>
      </c>
      <c r="AHX15">
        <v>0.23960670000000001</v>
      </c>
      <c r="AHY15">
        <v>5797</v>
      </c>
      <c r="AHZ15">
        <v>0.21838879999999999</v>
      </c>
      <c r="AIA15">
        <v>5797</v>
      </c>
      <c r="AIB15">
        <v>0.24167669999999999</v>
      </c>
      <c r="AIC15">
        <v>273881</v>
      </c>
      <c r="AID15">
        <v>7.5200500000000003E-2</v>
      </c>
      <c r="AIE15">
        <v>20596</v>
      </c>
      <c r="AIF15">
        <v>0</v>
      </c>
      <c r="AIG15">
        <v>20596</v>
      </c>
      <c r="AIH15">
        <v>2.8161000000000002E-3</v>
      </c>
      <c r="AII15">
        <v>20596</v>
      </c>
      <c r="AIJ15">
        <v>3.3501999999999998E-3</v>
      </c>
      <c r="AIK15">
        <v>20596</v>
      </c>
      <c r="AIL15">
        <v>2.5150499999999999E-2</v>
      </c>
      <c r="AIM15">
        <v>20596</v>
      </c>
      <c r="AIN15">
        <v>3.7337299999999997E-2</v>
      </c>
      <c r="AIO15">
        <v>20596</v>
      </c>
      <c r="AIP15">
        <v>8.8803599999999996E-2</v>
      </c>
      <c r="AIQ15">
        <v>20596</v>
      </c>
      <c r="AIR15">
        <v>9.4144500000000006E-2</v>
      </c>
      <c r="AIS15">
        <v>20596</v>
      </c>
      <c r="AIT15">
        <v>0.1330355</v>
      </c>
      <c r="AIU15">
        <v>20596</v>
      </c>
      <c r="AIV15">
        <v>0.1580404</v>
      </c>
      <c r="AIW15">
        <v>20596</v>
      </c>
      <c r="AIX15">
        <v>0.16765389999999999</v>
      </c>
      <c r="AIY15">
        <v>20596</v>
      </c>
      <c r="AIZ15">
        <v>0.1407069</v>
      </c>
      <c r="AJA15">
        <v>20596</v>
      </c>
      <c r="AJB15">
        <v>8.4239700000000001E-2</v>
      </c>
      <c r="AJC15">
        <v>20596</v>
      </c>
      <c r="AJD15">
        <v>5.6078900000000001E-2</v>
      </c>
      <c r="AJE15">
        <v>20596</v>
      </c>
      <c r="AJF15">
        <v>8.6424999999999991E-3</v>
      </c>
      <c r="AJG15">
        <v>551625</v>
      </c>
      <c r="AJH15">
        <v>0.50350150000000005</v>
      </c>
      <c r="AJI15">
        <v>277744</v>
      </c>
      <c r="AJJ15">
        <v>0.26518659999999999</v>
      </c>
      <c r="AJK15">
        <v>73654</v>
      </c>
      <c r="AJL15">
        <v>0.2270752</v>
      </c>
      <c r="AJM15">
        <v>73654</v>
      </c>
      <c r="AJN15">
        <v>0.13153390000000001</v>
      </c>
      <c r="AJO15">
        <v>73654</v>
      </c>
      <c r="AJP15">
        <v>0.22774050000000001</v>
      </c>
      <c r="AJQ15">
        <v>73654</v>
      </c>
      <c r="AJR15">
        <v>0.14486650000000001</v>
      </c>
      <c r="AJS15">
        <v>73654</v>
      </c>
      <c r="AJT15">
        <v>6.6486500000000004E-2</v>
      </c>
      <c r="AJU15">
        <v>73654</v>
      </c>
      <c r="AJV15">
        <v>4.6297600000000001E-2</v>
      </c>
      <c r="AJW15">
        <v>73654</v>
      </c>
      <c r="AJX15">
        <v>4.3500700000000003E-2</v>
      </c>
      <c r="AJY15">
        <v>73654</v>
      </c>
      <c r="AJZ15">
        <v>2.3271E-2</v>
      </c>
      <c r="AKA15">
        <v>73654</v>
      </c>
      <c r="AKB15">
        <v>2.6868900000000001E-2</v>
      </c>
      <c r="AKC15">
        <v>73654</v>
      </c>
      <c r="AKD15">
        <v>2.1451700000000001E-2</v>
      </c>
      <c r="AKE15">
        <v>73654</v>
      </c>
      <c r="AKF15">
        <v>1.4961800000000001E-2</v>
      </c>
      <c r="AKG15">
        <v>73654</v>
      </c>
      <c r="AKH15">
        <v>1.4187999999999999E-2</v>
      </c>
      <c r="AKI15">
        <v>73654</v>
      </c>
      <c r="AKJ15">
        <v>3.0005000000000001E-3</v>
      </c>
      <c r="AKK15">
        <v>73654</v>
      </c>
      <c r="AKL15">
        <v>8.7571999999999997E-3</v>
      </c>
      <c r="AKM15">
        <v>277744</v>
      </c>
      <c r="AKN15">
        <v>0.55356369999999999</v>
      </c>
      <c r="AKO15">
        <v>153749</v>
      </c>
      <c r="AKP15">
        <v>0.93272149999999998</v>
      </c>
      <c r="AKQ15">
        <v>143405</v>
      </c>
      <c r="AKR15">
        <v>0</v>
      </c>
      <c r="AKS15">
        <v>143405</v>
      </c>
      <c r="AKT15">
        <v>1.604E-4</v>
      </c>
      <c r="AKU15">
        <v>143405</v>
      </c>
      <c r="AKV15">
        <v>7.2592000000000004E-3</v>
      </c>
      <c r="AKW15">
        <v>143405</v>
      </c>
      <c r="AKX15">
        <v>5.1023300000000001E-2</v>
      </c>
      <c r="AKY15">
        <v>143405</v>
      </c>
      <c r="AKZ15">
        <v>9.6942200000000006E-2</v>
      </c>
      <c r="ALA15">
        <v>143405</v>
      </c>
      <c r="ALB15">
        <v>0.1123671</v>
      </c>
      <c r="ALC15">
        <v>143405</v>
      </c>
      <c r="ALD15">
        <v>0.13468150000000001</v>
      </c>
      <c r="ALE15">
        <v>143405</v>
      </c>
      <c r="ALF15">
        <v>0.1407901</v>
      </c>
      <c r="ALG15">
        <v>143405</v>
      </c>
      <c r="ALH15">
        <v>0.14175940000000001</v>
      </c>
      <c r="ALI15">
        <v>143405</v>
      </c>
      <c r="ALJ15">
        <v>0.10646070000000001</v>
      </c>
      <c r="ALK15">
        <v>143405</v>
      </c>
      <c r="ALL15">
        <v>9.0003799999999995E-2</v>
      </c>
      <c r="ALM15">
        <v>143405</v>
      </c>
      <c r="ALN15">
        <v>8.59872E-2</v>
      </c>
      <c r="ALO15">
        <v>143405</v>
      </c>
      <c r="ALP15">
        <v>2.6665700000000001E-2</v>
      </c>
      <c r="ALQ15">
        <v>143405</v>
      </c>
      <c r="ALR15">
        <v>5.8994E-3</v>
      </c>
      <c r="ALS15">
        <v>153749</v>
      </c>
      <c r="ALT15">
        <v>6.7278500000000005E-2</v>
      </c>
      <c r="ALU15">
        <v>10344</v>
      </c>
      <c r="ALV15">
        <v>0.42662410000000001</v>
      </c>
      <c r="ALW15">
        <v>4413</v>
      </c>
      <c r="ALX15">
        <v>0</v>
      </c>
      <c r="ALY15">
        <v>4413</v>
      </c>
      <c r="ALZ15">
        <v>0</v>
      </c>
      <c r="AMA15">
        <v>4413</v>
      </c>
      <c r="AMB15">
        <v>1.7221799999999999E-2</v>
      </c>
      <c r="AMC15">
        <v>4413</v>
      </c>
      <c r="AMD15">
        <v>5.61976E-2</v>
      </c>
      <c r="AME15">
        <v>4413</v>
      </c>
      <c r="AMF15">
        <v>8.7015599999999999E-2</v>
      </c>
      <c r="AMG15">
        <v>4413</v>
      </c>
      <c r="AMH15">
        <v>5.8010399999999997E-2</v>
      </c>
      <c r="AMI15">
        <v>4413</v>
      </c>
      <c r="AMJ15">
        <v>0.1740313</v>
      </c>
      <c r="AMK15">
        <v>4413</v>
      </c>
      <c r="AML15">
        <v>0.28030820000000001</v>
      </c>
      <c r="AMM15">
        <v>4413</v>
      </c>
      <c r="AMN15">
        <v>0.170179</v>
      </c>
      <c r="AMO15">
        <v>4413</v>
      </c>
      <c r="AMP15">
        <v>3.7389499999999999E-2</v>
      </c>
      <c r="AMQ15">
        <v>4413</v>
      </c>
      <c r="AMR15">
        <v>5.6650800000000001E-2</v>
      </c>
      <c r="AMS15">
        <v>4413</v>
      </c>
      <c r="AMT15">
        <v>2.3340099999999999E-2</v>
      </c>
      <c r="AMU15">
        <v>4413</v>
      </c>
      <c r="AMV15">
        <v>3.9655599999999999E-2</v>
      </c>
      <c r="AMW15">
        <v>4413</v>
      </c>
      <c r="AMX15">
        <v>0</v>
      </c>
      <c r="AMY15">
        <v>10344</v>
      </c>
      <c r="AMZ15">
        <v>0.57337590000000005</v>
      </c>
      <c r="ANA15">
        <v>5931</v>
      </c>
      <c r="ANB15">
        <v>2.7482699999999999E-2</v>
      </c>
      <c r="ANC15">
        <v>5931</v>
      </c>
      <c r="AND15">
        <v>4.4174699999999997E-2</v>
      </c>
      <c r="ANE15">
        <v>5931</v>
      </c>
      <c r="ANF15">
        <v>0.1409543</v>
      </c>
      <c r="ANG15">
        <v>5931</v>
      </c>
      <c r="ANH15">
        <v>6.7442299999999997E-2</v>
      </c>
      <c r="ANI15">
        <v>5931</v>
      </c>
      <c r="ANJ15">
        <v>8.2110900000000001E-2</v>
      </c>
      <c r="ANK15">
        <v>5931</v>
      </c>
      <c r="ANL15">
        <v>0.1186984</v>
      </c>
      <c r="ANM15">
        <v>5931</v>
      </c>
      <c r="ANN15">
        <v>4.9907300000000002E-2</v>
      </c>
      <c r="ANO15">
        <v>5931</v>
      </c>
      <c r="ANP15">
        <v>7.2163199999999997E-2</v>
      </c>
      <c r="ANQ15">
        <v>5931</v>
      </c>
      <c r="ANR15">
        <v>3.7767700000000001E-2</v>
      </c>
      <c r="ANS15">
        <v>5931</v>
      </c>
      <c r="ANT15">
        <v>0.16101840000000001</v>
      </c>
      <c r="ANU15">
        <v>5931</v>
      </c>
      <c r="ANV15">
        <v>4.01281E-2</v>
      </c>
      <c r="ANW15">
        <v>5931</v>
      </c>
      <c r="ANX15">
        <v>6.8285299999999993E-2</v>
      </c>
      <c r="ANY15">
        <v>5931</v>
      </c>
      <c r="ANZ15">
        <v>5.7494499999999997E-2</v>
      </c>
      <c r="AOA15">
        <v>5931</v>
      </c>
      <c r="AOB15">
        <v>3.23723E-2</v>
      </c>
      <c r="AOC15">
        <v>277744</v>
      </c>
      <c r="AOD15">
        <v>7.6069999999999999E-2</v>
      </c>
      <c r="AOE15">
        <v>21128</v>
      </c>
      <c r="AOF15">
        <v>0</v>
      </c>
      <c r="AOG15">
        <v>21128</v>
      </c>
      <c r="AOH15">
        <v>0</v>
      </c>
      <c r="AOI15">
        <v>21128</v>
      </c>
      <c r="AOJ15">
        <v>0</v>
      </c>
      <c r="AOK15">
        <v>21128</v>
      </c>
      <c r="AOL15">
        <v>0</v>
      </c>
      <c r="AOM15">
        <v>21128</v>
      </c>
      <c r="AON15">
        <v>1.1359299999999999E-2</v>
      </c>
      <c r="AOO15">
        <v>21128</v>
      </c>
      <c r="AOP15">
        <v>5.3010000000000002E-3</v>
      </c>
      <c r="AOQ15">
        <v>21128</v>
      </c>
      <c r="AOR15">
        <v>1.08387E-2</v>
      </c>
      <c r="AOS15">
        <v>21128</v>
      </c>
      <c r="AOT15">
        <v>1.9074199999999999E-2</v>
      </c>
      <c r="AOU15">
        <v>21128</v>
      </c>
      <c r="AOV15">
        <v>5.4335500000000002E-2</v>
      </c>
      <c r="AOW15">
        <v>21128</v>
      </c>
      <c r="AOX15">
        <v>3.2752700000000003E-2</v>
      </c>
      <c r="AOY15">
        <v>21128</v>
      </c>
      <c r="AOZ15">
        <v>7.9184000000000004E-2</v>
      </c>
      <c r="APA15">
        <v>21128</v>
      </c>
      <c r="APB15">
        <v>0.1893696</v>
      </c>
      <c r="APC15">
        <v>21128</v>
      </c>
      <c r="APD15">
        <v>0.3078379</v>
      </c>
      <c r="APE15">
        <v>21128</v>
      </c>
      <c r="APF15">
        <v>0.28994700000000001</v>
      </c>
      <c r="APG15">
        <v>277744</v>
      </c>
      <c r="APH15">
        <v>0.1051796</v>
      </c>
      <c r="API15">
        <v>29213</v>
      </c>
      <c r="APJ15">
        <v>0</v>
      </c>
      <c r="APK15">
        <v>29213</v>
      </c>
      <c r="APL15">
        <v>0</v>
      </c>
      <c r="APM15">
        <v>29213</v>
      </c>
      <c r="APN15">
        <v>1.4035E-3</v>
      </c>
      <c r="APO15">
        <v>29213</v>
      </c>
      <c r="APP15">
        <v>1.5369900000000001E-2</v>
      </c>
      <c r="APQ15">
        <v>29213</v>
      </c>
      <c r="APR15">
        <v>2.8617400000000001E-2</v>
      </c>
      <c r="APS15">
        <v>29213</v>
      </c>
      <c r="APT15">
        <v>7.5343199999999999E-2</v>
      </c>
      <c r="APU15">
        <v>29213</v>
      </c>
      <c r="APV15">
        <v>0.1012221</v>
      </c>
      <c r="APW15">
        <v>29213</v>
      </c>
      <c r="APX15">
        <v>0.17125940000000001</v>
      </c>
      <c r="APY15">
        <v>29213</v>
      </c>
      <c r="APZ15">
        <v>0.1515079</v>
      </c>
      <c r="AQA15">
        <v>29213</v>
      </c>
      <c r="AQB15">
        <v>0.1238832</v>
      </c>
      <c r="AQC15">
        <v>29213</v>
      </c>
      <c r="AQD15">
        <v>0.13624069999999999</v>
      </c>
      <c r="AQE15">
        <v>29213</v>
      </c>
      <c r="AQF15">
        <v>0.14551739999999999</v>
      </c>
      <c r="AQG15">
        <v>29213</v>
      </c>
      <c r="AQH15">
        <v>4.0358699999999997E-2</v>
      </c>
      <c r="AQI15">
        <v>29213</v>
      </c>
      <c r="AQJ15">
        <v>9.2767000000000006E-3</v>
      </c>
      <c r="AQK15">
        <v>94202</v>
      </c>
      <c r="AQL15">
        <v>0.16756550000000001</v>
      </c>
      <c r="AQM15">
        <v>240051</v>
      </c>
      <c r="AQN15">
        <v>0.76739939999999995</v>
      </c>
      <c r="AQO15">
        <v>184215</v>
      </c>
      <c r="AQP15">
        <v>0.7989252</v>
      </c>
      <c r="AQQ15">
        <v>147174</v>
      </c>
      <c r="AQR15">
        <v>0.85469580000000001</v>
      </c>
      <c r="AQS15">
        <v>125789</v>
      </c>
      <c r="AQT15">
        <v>0.49317509999999998</v>
      </c>
      <c r="AQU15">
        <v>125789</v>
      </c>
      <c r="AQV15">
        <v>0.50682490000000002</v>
      </c>
      <c r="AQW15">
        <v>147174</v>
      </c>
      <c r="AQX15">
        <v>0.14530419999999999</v>
      </c>
      <c r="AQY15">
        <v>21385</v>
      </c>
      <c r="AQZ15">
        <v>0.28931489999999999</v>
      </c>
      <c r="ARA15">
        <v>6187</v>
      </c>
      <c r="ARB15">
        <v>0.52076940000000005</v>
      </c>
      <c r="ARC15">
        <v>6187</v>
      </c>
      <c r="ARD15">
        <v>0.47923060000000001</v>
      </c>
      <c r="ARE15">
        <v>21385</v>
      </c>
      <c r="ARF15">
        <v>0.71068509999999996</v>
      </c>
      <c r="ARG15">
        <v>15198</v>
      </c>
      <c r="ARH15">
        <v>0.4384787</v>
      </c>
      <c r="ARI15">
        <v>15198</v>
      </c>
      <c r="ARJ15">
        <v>0.56152120000000005</v>
      </c>
      <c r="ARK15">
        <v>184215</v>
      </c>
      <c r="ARL15">
        <v>0.2010748</v>
      </c>
      <c r="ARM15">
        <v>240051</v>
      </c>
      <c r="ARN15">
        <v>0.23260059999999999</v>
      </c>
      <c r="ARO15">
        <v>55836</v>
      </c>
      <c r="ARP15">
        <v>0.59336270000000002</v>
      </c>
      <c r="ARQ15">
        <v>33131</v>
      </c>
      <c r="ARR15">
        <v>0.49228820000000001</v>
      </c>
      <c r="ARS15">
        <v>16310</v>
      </c>
      <c r="ART15">
        <v>0.64187620000000001</v>
      </c>
      <c r="ARU15">
        <v>16310</v>
      </c>
      <c r="ARV15">
        <v>0.35812379999999999</v>
      </c>
      <c r="ARW15">
        <v>33131</v>
      </c>
      <c r="ARX15">
        <v>0.50771180000000005</v>
      </c>
      <c r="ARY15">
        <v>16821</v>
      </c>
      <c r="ARZ15">
        <v>0.29623680000000002</v>
      </c>
      <c r="ASA15">
        <v>4983</v>
      </c>
      <c r="ASB15">
        <v>0.53983550000000002</v>
      </c>
      <c r="ASC15">
        <v>4983</v>
      </c>
      <c r="ASD15">
        <v>0.46016449999999998</v>
      </c>
      <c r="ASE15">
        <v>16821</v>
      </c>
      <c r="ASF15">
        <v>0.70376309999999997</v>
      </c>
      <c r="ASG15">
        <v>11838</v>
      </c>
      <c r="ASH15">
        <v>0.77048490000000003</v>
      </c>
      <c r="ASI15">
        <v>11838</v>
      </c>
      <c r="ASJ15">
        <v>0.2295151</v>
      </c>
      <c r="ASK15">
        <v>55836</v>
      </c>
      <c r="ASL15">
        <v>0.40663729999999998</v>
      </c>
      <c r="ASM15">
        <v>226569</v>
      </c>
      <c r="ASN15">
        <v>0.5915108</v>
      </c>
      <c r="ASO15">
        <v>134018</v>
      </c>
      <c r="ASP15">
        <v>0.47731649999999998</v>
      </c>
      <c r="ASQ15">
        <v>63969</v>
      </c>
      <c r="ASR15">
        <v>0.57177690000000003</v>
      </c>
      <c r="ASS15">
        <v>36576</v>
      </c>
      <c r="AST15">
        <v>0.74431320000000001</v>
      </c>
      <c r="ASU15">
        <v>36576</v>
      </c>
      <c r="ASV15">
        <v>0.25568679999999999</v>
      </c>
      <c r="ASW15">
        <v>63969</v>
      </c>
      <c r="ASX15">
        <v>0.20494299999999999</v>
      </c>
      <c r="ASY15">
        <v>13110</v>
      </c>
      <c r="ASZ15">
        <v>0.54332570000000002</v>
      </c>
      <c r="ATA15">
        <v>13110</v>
      </c>
      <c r="ATB15">
        <v>0.32181539999999997</v>
      </c>
      <c r="ATC15">
        <v>13110</v>
      </c>
      <c r="ATD15">
        <v>0.1348589</v>
      </c>
      <c r="ATE15">
        <v>63969</v>
      </c>
      <c r="ATF15">
        <v>0.16615859999999999</v>
      </c>
      <c r="ATG15">
        <v>10629</v>
      </c>
      <c r="ATH15">
        <v>0.1780977</v>
      </c>
      <c r="ATI15">
        <v>10629</v>
      </c>
      <c r="ATJ15">
        <v>0.35064450000000003</v>
      </c>
      <c r="ATK15">
        <v>10629</v>
      </c>
      <c r="ATL15">
        <v>0.30614360000000002</v>
      </c>
      <c r="ATM15">
        <v>10629</v>
      </c>
      <c r="ATN15">
        <v>0.16511429999999999</v>
      </c>
      <c r="ATO15">
        <v>63969</v>
      </c>
      <c r="ATP15">
        <v>5.7121400000000003E-2</v>
      </c>
      <c r="ATQ15">
        <v>3654</v>
      </c>
      <c r="ATR15">
        <v>0.79392450000000003</v>
      </c>
      <c r="ATS15">
        <v>3654</v>
      </c>
      <c r="ATT15">
        <v>0.20607549999999999</v>
      </c>
      <c r="ATU15">
        <v>134018</v>
      </c>
      <c r="ATV15">
        <v>0.1118656</v>
      </c>
      <c r="ATW15">
        <v>14992</v>
      </c>
      <c r="ATX15">
        <v>4.0421600000000002E-2</v>
      </c>
      <c r="ATY15">
        <v>14992</v>
      </c>
      <c r="ATZ15">
        <v>0.2145811</v>
      </c>
      <c r="AUA15">
        <v>3217</v>
      </c>
      <c r="AUB15">
        <v>0.59403170000000005</v>
      </c>
      <c r="AUC15">
        <v>3217</v>
      </c>
      <c r="AUD15">
        <v>0.4059683</v>
      </c>
      <c r="AUE15">
        <v>14992</v>
      </c>
      <c r="AUF15">
        <v>0.2707444</v>
      </c>
      <c r="AUG15">
        <v>14992</v>
      </c>
      <c r="AUH15">
        <v>0.40574969999999999</v>
      </c>
      <c r="AUI15">
        <v>14992</v>
      </c>
      <c r="AUJ15">
        <v>6.85032E-2</v>
      </c>
      <c r="AUK15">
        <v>134018</v>
      </c>
      <c r="AUL15">
        <v>0.18507960000000001</v>
      </c>
      <c r="AUM15">
        <v>24804</v>
      </c>
      <c r="AUN15">
        <v>0.65695049999999999</v>
      </c>
      <c r="AUO15">
        <v>24804</v>
      </c>
      <c r="AUP15">
        <v>0.34304950000000001</v>
      </c>
      <c r="AUQ15">
        <v>134018</v>
      </c>
      <c r="AUR15">
        <v>0.100494</v>
      </c>
      <c r="AUS15">
        <v>13468</v>
      </c>
      <c r="AUT15">
        <v>1.8636799999999999E-2</v>
      </c>
      <c r="AUU15">
        <v>13468</v>
      </c>
      <c r="AUV15">
        <v>0.52427979999999996</v>
      </c>
      <c r="AUW15">
        <v>13468</v>
      </c>
      <c r="AUX15">
        <v>0.45708349999999998</v>
      </c>
      <c r="AUY15">
        <v>134018</v>
      </c>
      <c r="AUZ15">
        <v>0.12524440000000001</v>
      </c>
      <c r="AVA15">
        <v>16785</v>
      </c>
      <c r="AVB15">
        <v>0.4859696</v>
      </c>
      <c r="AVC15">
        <v>16785</v>
      </c>
      <c r="AVD15">
        <v>0.28412270000000001</v>
      </c>
      <c r="AVE15">
        <v>16785</v>
      </c>
      <c r="AVF15">
        <v>0.22990769999999999</v>
      </c>
      <c r="AVG15">
        <v>226569</v>
      </c>
      <c r="AVH15">
        <v>0.4084893</v>
      </c>
      <c r="AVI15">
        <v>92551</v>
      </c>
      <c r="AVJ15">
        <v>0.46947090000000002</v>
      </c>
      <c r="AVK15">
        <v>43450</v>
      </c>
      <c r="AVL15">
        <v>0.48126580000000002</v>
      </c>
      <c r="AVM15">
        <v>20911</v>
      </c>
      <c r="AVN15">
        <v>0.61431780000000002</v>
      </c>
      <c r="AVO15">
        <v>20911</v>
      </c>
      <c r="AVP15">
        <v>0.38568219999999998</v>
      </c>
      <c r="AVQ15">
        <v>43450</v>
      </c>
      <c r="AVR15">
        <v>0.1093441</v>
      </c>
      <c r="AVS15">
        <v>4751</v>
      </c>
      <c r="AVT15">
        <v>0.5161019</v>
      </c>
      <c r="AVU15">
        <v>4751</v>
      </c>
      <c r="AVV15">
        <v>0.22121660000000001</v>
      </c>
      <c r="AVW15">
        <v>4751</v>
      </c>
      <c r="AVX15">
        <v>0.26268150000000001</v>
      </c>
      <c r="AVY15">
        <v>43450</v>
      </c>
      <c r="AVZ15">
        <v>0.28055239999999998</v>
      </c>
      <c r="AWA15">
        <v>12190</v>
      </c>
      <c r="AWB15">
        <v>0.1216571</v>
      </c>
      <c r="AWC15">
        <v>12190</v>
      </c>
      <c r="AWD15">
        <v>0.1132896</v>
      </c>
      <c r="AWE15">
        <v>12190</v>
      </c>
      <c r="AWF15">
        <v>0.64856440000000004</v>
      </c>
      <c r="AWG15">
        <v>12190</v>
      </c>
      <c r="AWH15">
        <v>0.11648890000000001</v>
      </c>
      <c r="AWI15">
        <v>43450</v>
      </c>
      <c r="AWJ15">
        <v>0.1288377</v>
      </c>
      <c r="AWK15">
        <v>5598</v>
      </c>
      <c r="AWL15">
        <v>0.69524830000000004</v>
      </c>
      <c r="AWM15">
        <v>5598</v>
      </c>
      <c r="AWN15">
        <v>0.30475170000000001</v>
      </c>
      <c r="AWO15">
        <v>92551</v>
      </c>
      <c r="AWP15">
        <v>9.83242E-2</v>
      </c>
      <c r="AWQ15">
        <v>9100</v>
      </c>
      <c r="AWR15">
        <v>0.1951648</v>
      </c>
      <c r="AWS15">
        <v>9100</v>
      </c>
      <c r="AWT15">
        <v>3.5164800000000003E-2</v>
      </c>
      <c r="AWU15">
        <v>320</v>
      </c>
      <c r="AWV15">
        <v>0.8</v>
      </c>
      <c r="AWW15">
        <v>320</v>
      </c>
      <c r="AWX15">
        <v>0.2</v>
      </c>
      <c r="AWY15">
        <v>9100</v>
      </c>
      <c r="AWZ15">
        <v>0.20945050000000001</v>
      </c>
      <c r="AXA15">
        <v>9100</v>
      </c>
      <c r="AXB15">
        <v>0.21230769999999999</v>
      </c>
      <c r="AXC15">
        <v>9100</v>
      </c>
      <c r="AXD15">
        <v>0.3479121</v>
      </c>
      <c r="AXE15">
        <v>92551</v>
      </c>
      <c r="AXF15">
        <v>0.35421550000000002</v>
      </c>
      <c r="AXG15">
        <v>32783</v>
      </c>
      <c r="AXH15">
        <v>0.36049170000000003</v>
      </c>
      <c r="AXI15">
        <v>32783</v>
      </c>
      <c r="AXJ15">
        <v>0.63950830000000003</v>
      </c>
      <c r="AXK15">
        <v>92551</v>
      </c>
      <c r="AXL15">
        <v>2.9172999999999998E-3</v>
      </c>
      <c r="AXM15">
        <v>270</v>
      </c>
      <c r="AXN15">
        <v>0</v>
      </c>
      <c r="AXO15">
        <v>270</v>
      </c>
      <c r="AXP15">
        <v>0.50740739999999995</v>
      </c>
      <c r="AXQ15">
        <v>270</v>
      </c>
      <c r="AXR15">
        <v>0.49259259999999999</v>
      </c>
      <c r="AXS15">
        <v>92551</v>
      </c>
      <c r="AXT15">
        <v>7.5072100000000003E-2</v>
      </c>
      <c r="AXU15">
        <v>6948</v>
      </c>
      <c r="AXV15">
        <v>0.82225099999999995</v>
      </c>
      <c r="AXW15">
        <v>6948</v>
      </c>
      <c r="AXX15">
        <v>6.8652900000000003E-2</v>
      </c>
      <c r="AXY15">
        <v>6948</v>
      </c>
      <c r="AXZ15">
        <v>0.1090961</v>
      </c>
      <c r="AYA15">
        <v>36943</v>
      </c>
      <c r="AYB15">
        <v>1.1504199999999999E-2</v>
      </c>
      <c r="AYC15">
        <v>36943</v>
      </c>
      <c r="AYD15">
        <v>0.13650760000000001</v>
      </c>
      <c r="AYE15">
        <v>36943</v>
      </c>
      <c r="AYF15">
        <v>0.38678509999999999</v>
      </c>
      <c r="AYG15">
        <v>36943</v>
      </c>
      <c r="AYH15">
        <v>0.34472019999999998</v>
      </c>
      <c r="AYI15">
        <v>36943</v>
      </c>
      <c r="AYJ15">
        <v>2.5255099999999999E-2</v>
      </c>
      <c r="AYK15">
        <v>36943</v>
      </c>
      <c r="AYL15">
        <v>9.3305899999999997E-2</v>
      </c>
      <c r="AYM15">
        <v>36943</v>
      </c>
      <c r="AYN15">
        <v>1.9219E-3</v>
      </c>
      <c r="AYO15">
        <v>40979</v>
      </c>
      <c r="AYP15">
        <v>4.58772E-2</v>
      </c>
      <c r="AYQ15">
        <v>40979</v>
      </c>
      <c r="AYR15">
        <v>6.6326700000000002E-2</v>
      </c>
      <c r="AYS15">
        <v>40979</v>
      </c>
      <c r="AYT15">
        <v>0.2529344</v>
      </c>
      <c r="AYU15">
        <v>40979</v>
      </c>
      <c r="AYV15">
        <v>0.2336319</v>
      </c>
      <c r="AYW15">
        <v>40979</v>
      </c>
      <c r="AYX15">
        <v>6.5789799999999996E-2</v>
      </c>
      <c r="AYY15">
        <v>40979</v>
      </c>
      <c r="AYZ15">
        <v>0.22753119999999999</v>
      </c>
      <c r="AZA15">
        <v>40979</v>
      </c>
      <c r="AZB15">
        <v>0.1079089</v>
      </c>
      <c r="AZC15">
        <v>47218</v>
      </c>
      <c r="AZD15">
        <v>8.4628700000000001E-2</v>
      </c>
      <c r="AZE15">
        <v>47218</v>
      </c>
      <c r="AZF15">
        <v>6.6055299999999997E-2</v>
      </c>
      <c r="AZG15">
        <v>47218</v>
      </c>
      <c r="AZH15">
        <v>0.20742089999999999</v>
      </c>
      <c r="AZI15">
        <v>47218</v>
      </c>
      <c r="AZJ15">
        <v>0.15352199999999999</v>
      </c>
      <c r="AZK15">
        <v>47218</v>
      </c>
      <c r="AZL15">
        <v>3.8269299999999999E-2</v>
      </c>
      <c r="AZM15">
        <v>47218</v>
      </c>
      <c r="AZN15">
        <v>0.25668180000000002</v>
      </c>
      <c r="AZO15">
        <v>47218</v>
      </c>
      <c r="AZP15">
        <v>0.19342200000000001</v>
      </c>
      <c r="AZQ15">
        <v>97280</v>
      </c>
      <c r="AZR15">
        <v>5.1058800000000001E-2</v>
      </c>
      <c r="AZS15">
        <v>97280</v>
      </c>
      <c r="AZT15">
        <v>5.0956000000000001E-2</v>
      </c>
      <c r="AZU15">
        <v>97280</v>
      </c>
      <c r="AZV15">
        <v>0.18445719999999999</v>
      </c>
      <c r="AZW15">
        <v>97280</v>
      </c>
      <c r="AZX15">
        <v>0.17969779999999999</v>
      </c>
      <c r="AZY15">
        <v>97280</v>
      </c>
      <c r="AZZ15">
        <v>5.6990100000000002E-2</v>
      </c>
      <c r="BAA15">
        <v>97280</v>
      </c>
      <c r="BAB15">
        <v>0.2656867</v>
      </c>
      <c r="BAC15">
        <v>97280</v>
      </c>
      <c r="BAD15">
        <v>0.21115339999999999</v>
      </c>
      <c r="BAE15">
        <v>33447</v>
      </c>
      <c r="BAF15">
        <v>7.8332899999999997E-2</v>
      </c>
      <c r="BAG15">
        <v>33447</v>
      </c>
      <c r="BAH15">
        <v>8.8288900000000003E-2</v>
      </c>
      <c r="BAI15">
        <v>33447</v>
      </c>
      <c r="BAJ15">
        <v>0.26151819999999998</v>
      </c>
      <c r="BAK15">
        <v>33447</v>
      </c>
      <c r="BAL15">
        <v>0.1600443</v>
      </c>
      <c r="BAM15">
        <v>33447</v>
      </c>
      <c r="BAN15">
        <v>1.4321199999999999E-2</v>
      </c>
      <c r="BAO15">
        <v>33447</v>
      </c>
      <c r="BAP15">
        <v>0.1864741</v>
      </c>
      <c r="BAQ15">
        <v>33447</v>
      </c>
      <c r="BAR15">
        <v>0.2110204</v>
      </c>
      <c r="BAS15">
        <v>28741</v>
      </c>
      <c r="BAT15">
        <v>9.6378000000000002E-3</v>
      </c>
      <c r="BAU15">
        <v>28741</v>
      </c>
      <c r="BAV15">
        <v>0.12146410000000001</v>
      </c>
      <c r="BAW15">
        <v>28741</v>
      </c>
      <c r="BAX15">
        <v>0.25120910000000002</v>
      </c>
      <c r="BAY15">
        <v>28741</v>
      </c>
      <c r="BAZ15">
        <v>0.43150899999999998</v>
      </c>
      <c r="BBA15">
        <v>28741</v>
      </c>
      <c r="BBB15">
        <v>4.05692E-2</v>
      </c>
      <c r="BBC15">
        <v>28741</v>
      </c>
      <c r="BBD15">
        <v>0.14282729999999999</v>
      </c>
      <c r="BBE15">
        <v>28741</v>
      </c>
      <c r="BBF15">
        <v>2.7834999999999999E-3</v>
      </c>
      <c r="BBG15">
        <v>39830</v>
      </c>
      <c r="BBH15">
        <v>6.5076599999999998E-2</v>
      </c>
      <c r="BBI15">
        <v>39830</v>
      </c>
      <c r="BBJ15">
        <v>6.3896599999999998E-2</v>
      </c>
      <c r="BBK15">
        <v>39830</v>
      </c>
      <c r="BBL15">
        <v>0.1860658</v>
      </c>
      <c r="BBM15">
        <v>39830</v>
      </c>
      <c r="BBN15">
        <v>0.19952300000000001</v>
      </c>
      <c r="BBO15">
        <v>39830</v>
      </c>
      <c r="BBP15">
        <v>6.8014099999999994E-2</v>
      </c>
      <c r="BBQ15">
        <v>39830</v>
      </c>
      <c r="BBR15">
        <v>0.26469999999999999</v>
      </c>
      <c r="BBS15">
        <v>39830</v>
      </c>
      <c r="BBT15">
        <v>0.1527241</v>
      </c>
      <c r="BBU15">
        <v>49565</v>
      </c>
      <c r="BBV15">
        <v>5.5946700000000002E-2</v>
      </c>
      <c r="BBW15">
        <v>49565</v>
      </c>
      <c r="BBX15">
        <v>4.6746700000000002E-2</v>
      </c>
      <c r="BBY15">
        <v>49565</v>
      </c>
      <c r="BBZ15">
        <v>0.16549990000000001</v>
      </c>
      <c r="BCA15">
        <v>49565</v>
      </c>
      <c r="BCB15">
        <v>0.16332089999999999</v>
      </c>
      <c r="BCC15">
        <v>49565</v>
      </c>
      <c r="BCD15">
        <v>7.0614300000000005E-2</v>
      </c>
      <c r="BCE15">
        <v>49565</v>
      </c>
      <c r="BCF15">
        <v>0.31974180000000002</v>
      </c>
      <c r="BCG15">
        <v>49565</v>
      </c>
      <c r="BCH15">
        <v>0.1781297</v>
      </c>
      <c r="BCI15">
        <v>100260</v>
      </c>
      <c r="BCJ15">
        <v>4.4693799999999999E-2</v>
      </c>
      <c r="BCK15">
        <v>100260</v>
      </c>
      <c r="BCL15">
        <v>3.6983799999999997E-2</v>
      </c>
      <c r="BCM15">
        <v>100260</v>
      </c>
      <c r="BCN15">
        <v>0.18668460000000001</v>
      </c>
      <c r="BCO15">
        <v>100260</v>
      </c>
      <c r="BCP15">
        <v>0.22450629999999999</v>
      </c>
      <c r="BCQ15">
        <v>100260</v>
      </c>
      <c r="BCR15">
        <v>7.2152400000000005E-2</v>
      </c>
      <c r="BCS15">
        <v>100260</v>
      </c>
      <c r="BCT15">
        <v>0.26578889999999999</v>
      </c>
      <c r="BCU15">
        <v>100260</v>
      </c>
      <c r="BCV15">
        <v>0.16919010000000001</v>
      </c>
      <c r="BCW15">
        <v>42460</v>
      </c>
      <c r="BCX15">
        <v>6.3942499999999999E-2</v>
      </c>
      <c r="BCY15">
        <v>42460</v>
      </c>
      <c r="BCZ15">
        <v>6.9971699999999998E-2</v>
      </c>
      <c r="BDA15">
        <v>42460</v>
      </c>
      <c r="BDB15">
        <v>0.38273669999999999</v>
      </c>
      <c r="BDC15">
        <v>42460</v>
      </c>
      <c r="BDD15">
        <v>0.19764480000000001</v>
      </c>
      <c r="BDE15">
        <v>42460</v>
      </c>
      <c r="BDF15">
        <v>5.1153999999999998E-2</v>
      </c>
      <c r="BDG15">
        <v>42460</v>
      </c>
      <c r="BDH15">
        <v>0.15025910000000001</v>
      </c>
      <c r="BDI15">
        <v>42460</v>
      </c>
      <c r="BDJ15">
        <v>8.4291099999999994E-2</v>
      </c>
      <c r="BDK15">
        <v>165371</v>
      </c>
      <c r="BDL15">
        <v>4.8013300000000002E-2</v>
      </c>
      <c r="BDM15">
        <v>7940</v>
      </c>
      <c r="BDN15">
        <v>0.67858940000000001</v>
      </c>
      <c r="BDO15">
        <v>5388</v>
      </c>
      <c r="BDP15">
        <v>0.61488489999999996</v>
      </c>
      <c r="BDQ15">
        <v>5388</v>
      </c>
      <c r="BDR15">
        <v>0.38511509999999999</v>
      </c>
      <c r="BDS15">
        <v>7940</v>
      </c>
      <c r="BDT15">
        <v>0.32141059999999999</v>
      </c>
      <c r="BDU15">
        <v>2552</v>
      </c>
      <c r="BDV15">
        <v>0.74451409999999996</v>
      </c>
      <c r="BDW15">
        <v>2552</v>
      </c>
      <c r="BDX15">
        <v>0.25548589999999999</v>
      </c>
      <c r="BDY15">
        <v>165371</v>
      </c>
      <c r="BDZ15">
        <v>0.95198669999999996</v>
      </c>
      <c r="BEA15">
        <v>157431</v>
      </c>
      <c r="BEB15">
        <v>0.53124229999999995</v>
      </c>
      <c r="BEC15">
        <v>83634</v>
      </c>
      <c r="BED15">
        <v>0.72294760000000002</v>
      </c>
      <c r="BEE15">
        <v>83634</v>
      </c>
      <c r="BEF15">
        <v>0.27705239999999998</v>
      </c>
      <c r="BEG15">
        <v>157431</v>
      </c>
      <c r="BEH15">
        <v>0.4687577</v>
      </c>
      <c r="BEI15">
        <v>73797</v>
      </c>
      <c r="BEJ15">
        <v>0.71382310000000004</v>
      </c>
      <c r="BEK15">
        <v>73797</v>
      </c>
      <c r="BEL15">
        <v>0.28617690000000001</v>
      </c>
      <c r="BEM15">
        <v>335134</v>
      </c>
      <c r="BEN15">
        <v>0.54761680000000001</v>
      </c>
      <c r="BEO15">
        <v>183525</v>
      </c>
      <c r="BEP15">
        <v>0.92834760000000005</v>
      </c>
      <c r="BEQ15">
        <v>170375</v>
      </c>
      <c r="BER15">
        <v>0.21566540000000001</v>
      </c>
      <c r="BES15">
        <v>170375</v>
      </c>
      <c r="BET15">
        <v>0.78433450000000005</v>
      </c>
      <c r="BEU15">
        <v>183525</v>
      </c>
      <c r="BEV15">
        <v>7.1652400000000005E-2</v>
      </c>
      <c r="BEW15">
        <v>335134</v>
      </c>
      <c r="BEX15">
        <v>0.45238319999999999</v>
      </c>
      <c r="BEY15">
        <v>151609</v>
      </c>
      <c r="BEZ15">
        <v>0.92466150000000003</v>
      </c>
      <c r="BFA15">
        <v>140187</v>
      </c>
      <c r="BFB15">
        <v>0.2070449</v>
      </c>
      <c r="BFC15">
        <v>140187</v>
      </c>
      <c r="BFD15">
        <v>0.79295510000000002</v>
      </c>
      <c r="BFE15">
        <v>151609</v>
      </c>
      <c r="BFF15">
        <v>7.5338500000000003E-2</v>
      </c>
      <c r="BFG15">
        <v>353088</v>
      </c>
      <c r="BFH15">
        <v>0.27534500000000001</v>
      </c>
      <c r="BFI15">
        <v>97221</v>
      </c>
      <c r="BFJ15">
        <v>0.95943270000000003</v>
      </c>
      <c r="BFK15">
        <v>97221</v>
      </c>
      <c r="BFL15">
        <v>4.0567400000000003E-2</v>
      </c>
      <c r="BFM15">
        <v>3944</v>
      </c>
      <c r="BFN15">
        <v>0.18990870000000001</v>
      </c>
      <c r="BFO15">
        <v>3944</v>
      </c>
      <c r="BFP15">
        <v>0.81009129999999996</v>
      </c>
      <c r="BFQ15">
        <v>353088</v>
      </c>
      <c r="BFR15">
        <v>0.72465500000000005</v>
      </c>
      <c r="BFS15">
        <v>255867</v>
      </c>
      <c r="BFT15">
        <v>0.76050839999999997</v>
      </c>
      <c r="BFU15">
        <v>255867</v>
      </c>
      <c r="BFV15">
        <v>0.2394916</v>
      </c>
      <c r="BFW15">
        <v>61278</v>
      </c>
      <c r="BFX15">
        <v>0.46894479999999999</v>
      </c>
      <c r="BFY15">
        <v>61278</v>
      </c>
      <c r="BFZ15">
        <v>0.53105519999999995</v>
      </c>
      <c r="BGA15">
        <v>353134</v>
      </c>
      <c r="BGB15">
        <v>0.26131159999999998</v>
      </c>
      <c r="BGC15">
        <v>92278</v>
      </c>
      <c r="BGD15">
        <v>0.95511389999999996</v>
      </c>
      <c r="BGE15">
        <v>92278</v>
      </c>
      <c r="BGF15">
        <v>4.4886099999999998E-2</v>
      </c>
      <c r="BGG15">
        <v>4142</v>
      </c>
      <c r="BGH15">
        <v>0.4022211</v>
      </c>
      <c r="BGI15">
        <v>4142</v>
      </c>
      <c r="BGJ15">
        <v>0.5977789</v>
      </c>
      <c r="BGK15">
        <v>353134</v>
      </c>
      <c r="BGL15">
        <v>0.73868840000000002</v>
      </c>
      <c r="BGM15">
        <v>260856</v>
      </c>
      <c r="BGN15">
        <v>0.76859650000000002</v>
      </c>
      <c r="BGO15">
        <v>260856</v>
      </c>
      <c r="BGP15">
        <v>0.23140350000000001</v>
      </c>
      <c r="BGQ15">
        <v>60363</v>
      </c>
      <c r="BGR15">
        <v>0.4838229</v>
      </c>
      <c r="BGS15">
        <v>60363</v>
      </c>
      <c r="BGT15">
        <v>0.51617710000000006</v>
      </c>
    </row>
    <row r="16" spans="1:1554" x14ac:dyDescent="0.25">
      <c r="A16" t="s">
        <v>133</v>
      </c>
      <c r="B16">
        <v>2012</v>
      </c>
      <c r="C16">
        <v>1</v>
      </c>
      <c r="D16" t="s">
        <v>562</v>
      </c>
      <c r="E16">
        <v>63298</v>
      </c>
      <c r="F16">
        <v>0.4660337</v>
      </c>
      <c r="G16">
        <v>29499</v>
      </c>
      <c r="H16">
        <v>0.11054609999999999</v>
      </c>
      <c r="I16">
        <v>29499</v>
      </c>
      <c r="J16">
        <v>2.8577200000000001E-2</v>
      </c>
      <c r="K16">
        <v>29499</v>
      </c>
      <c r="L16">
        <v>0.13519100000000001</v>
      </c>
      <c r="M16">
        <v>29499</v>
      </c>
      <c r="N16">
        <v>4.5120199999999999E-2</v>
      </c>
      <c r="O16">
        <v>29499</v>
      </c>
      <c r="P16">
        <v>2.47805E-2</v>
      </c>
      <c r="Q16">
        <v>29499</v>
      </c>
      <c r="R16">
        <v>4.36625E-2</v>
      </c>
      <c r="S16">
        <v>29499</v>
      </c>
      <c r="T16">
        <v>0.1111224</v>
      </c>
      <c r="U16">
        <v>29499</v>
      </c>
      <c r="V16">
        <v>0.1154954</v>
      </c>
      <c r="W16">
        <v>29499</v>
      </c>
      <c r="X16">
        <v>0.12685179999999999</v>
      </c>
      <c r="Y16">
        <v>29499</v>
      </c>
      <c r="Z16">
        <v>0.1018001</v>
      </c>
      <c r="AA16">
        <v>29499</v>
      </c>
      <c r="AB16">
        <v>0.1041391</v>
      </c>
      <c r="AC16">
        <v>29499</v>
      </c>
      <c r="AD16">
        <v>3.5865599999999997E-2</v>
      </c>
      <c r="AE16">
        <v>29499</v>
      </c>
      <c r="AF16">
        <v>1.6847999999999998E-2</v>
      </c>
      <c r="AG16">
        <v>63298</v>
      </c>
      <c r="AH16">
        <v>0.5339663</v>
      </c>
      <c r="AI16">
        <v>33799</v>
      </c>
      <c r="AJ16">
        <v>0.1181692</v>
      </c>
      <c r="AK16">
        <v>33799</v>
      </c>
      <c r="AL16">
        <v>3.7841399999999997E-2</v>
      </c>
      <c r="AM16">
        <v>33799</v>
      </c>
      <c r="AN16">
        <v>0.114678</v>
      </c>
      <c r="AO16">
        <v>33799</v>
      </c>
      <c r="AP16">
        <v>6.3492999999999994E-2</v>
      </c>
      <c r="AQ16">
        <v>33799</v>
      </c>
      <c r="AR16">
        <v>6.8049E-3</v>
      </c>
      <c r="AS16">
        <v>33799</v>
      </c>
      <c r="AT16">
        <v>4.2368099999999999E-2</v>
      </c>
      <c r="AU16">
        <v>33799</v>
      </c>
      <c r="AV16">
        <v>9.7073900000000005E-2</v>
      </c>
      <c r="AW16">
        <v>33799</v>
      </c>
      <c r="AX16">
        <v>0.14956059999999999</v>
      </c>
      <c r="AY16">
        <v>33799</v>
      </c>
      <c r="AZ16">
        <v>0.114678</v>
      </c>
      <c r="BA16">
        <v>33799</v>
      </c>
      <c r="BB16">
        <v>0.1027545</v>
      </c>
      <c r="BC16">
        <v>33799</v>
      </c>
      <c r="BD16">
        <v>6.6806699999999997E-2</v>
      </c>
      <c r="BE16">
        <v>33799</v>
      </c>
      <c r="BF16">
        <v>3.6510000000000001E-2</v>
      </c>
      <c r="BG16">
        <v>33799</v>
      </c>
      <c r="BH16">
        <v>4.9261800000000001E-2</v>
      </c>
      <c r="BI16">
        <v>620887</v>
      </c>
      <c r="BJ16">
        <v>0.49720959999999997</v>
      </c>
      <c r="BK16">
        <v>308711</v>
      </c>
      <c r="BL16">
        <v>6.2608700000000003E-2</v>
      </c>
      <c r="BM16">
        <v>308711</v>
      </c>
      <c r="BN16">
        <v>1.21732E-2</v>
      </c>
      <c r="BO16">
        <v>308711</v>
      </c>
      <c r="BP16">
        <v>8.58149E-2</v>
      </c>
      <c r="BQ16">
        <v>308711</v>
      </c>
      <c r="BR16">
        <v>5.42838E-2</v>
      </c>
      <c r="BS16">
        <v>308711</v>
      </c>
      <c r="BT16">
        <v>1.76638E-2</v>
      </c>
      <c r="BU16">
        <v>308711</v>
      </c>
      <c r="BV16">
        <v>3.2347399999999998E-2</v>
      </c>
      <c r="BW16">
        <v>308711</v>
      </c>
      <c r="BX16">
        <v>8.5364599999999999E-2</v>
      </c>
      <c r="BY16">
        <v>308711</v>
      </c>
      <c r="BZ16">
        <v>0.1137893</v>
      </c>
      <c r="CA16">
        <v>308711</v>
      </c>
      <c r="CB16">
        <v>0.13822309999999999</v>
      </c>
      <c r="CC16">
        <v>308711</v>
      </c>
      <c r="CD16">
        <v>0.16638539999999999</v>
      </c>
      <c r="CE16">
        <v>308711</v>
      </c>
      <c r="CF16">
        <v>0.12590419999999999</v>
      </c>
      <c r="CG16">
        <v>308711</v>
      </c>
      <c r="CH16">
        <v>6.5799399999999994E-2</v>
      </c>
      <c r="CI16">
        <v>308711</v>
      </c>
      <c r="CJ16">
        <v>3.9642299999999998E-2</v>
      </c>
      <c r="CK16">
        <v>620887</v>
      </c>
      <c r="CL16">
        <v>0.50279039999999997</v>
      </c>
      <c r="CM16">
        <v>312176</v>
      </c>
      <c r="CN16">
        <v>5.56737E-2</v>
      </c>
      <c r="CO16">
        <v>312176</v>
      </c>
      <c r="CP16">
        <v>1.3662199999999999E-2</v>
      </c>
      <c r="CQ16">
        <v>312176</v>
      </c>
      <c r="CR16">
        <v>8.2671300000000003E-2</v>
      </c>
      <c r="CS16">
        <v>312176</v>
      </c>
      <c r="CT16">
        <v>4.4042499999999998E-2</v>
      </c>
      <c r="CU16">
        <v>312176</v>
      </c>
      <c r="CV16">
        <v>1.4597499999999999E-2</v>
      </c>
      <c r="CW16">
        <v>312176</v>
      </c>
      <c r="CX16">
        <v>3.3061500000000001E-2</v>
      </c>
      <c r="CY16">
        <v>312176</v>
      </c>
      <c r="CZ16">
        <v>7.6927800000000005E-2</v>
      </c>
      <c r="DA16">
        <v>312176</v>
      </c>
      <c r="DB16">
        <v>0.1059114</v>
      </c>
      <c r="DC16">
        <v>312176</v>
      </c>
      <c r="DD16">
        <v>0.14373939999999999</v>
      </c>
      <c r="DE16">
        <v>312176</v>
      </c>
      <c r="DF16">
        <v>0.1707979</v>
      </c>
      <c r="DG16">
        <v>312176</v>
      </c>
      <c r="DH16">
        <v>0.13200249999999999</v>
      </c>
      <c r="DI16">
        <v>312176</v>
      </c>
      <c r="DJ16">
        <v>7.1655099999999999E-2</v>
      </c>
      <c r="DK16">
        <v>312176</v>
      </c>
      <c r="DL16">
        <v>5.5257300000000002E-2</v>
      </c>
      <c r="DM16">
        <v>445004</v>
      </c>
      <c r="DN16">
        <v>7.2673500000000002E-2</v>
      </c>
      <c r="DO16">
        <v>32340</v>
      </c>
      <c r="DP16">
        <v>0.45698820000000001</v>
      </c>
      <c r="DQ16">
        <v>215362</v>
      </c>
      <c r="DR16">
        <v>6.8624000000000004E-2</v>
      </c>
      <c r="DS16">
        <v>14779</v>
      </c>
      <c r="DT16">
        <v>0.35401579999999999</v>
      </c>
      <c r="DU16">
        <v>25941</v>
      </c>
      <c r="DV16">
        <v>0.20168849999999999</v>
      </c>
      <c r="DW16">
        <v>14779</v>
      </c>
      <c r="DX16">
        <v>0.33622030000000003</v>
      </c>
      <c r="DY16">
        <v>46390</v>
      </c>
      <c r="DZ16">
        <v>0.1071136</v>
      </c>
      <c r="EA16">
        <v>14779</v>
      </c>
      <c r="EB16">
        <v>0.16888829999999999</v>
      </c>
      <c r="EC16">
        <v>48567</v>
      </c>
      <c r="ED16">
        <v>5.1392899999999998E-2</v>
      </c>
      <c r="EE16">
        <v>14779</v>
      </c>
      <c r="EF16">
        <v>0.14087559999999999</v>
      </c>
      <c r="EG16">
        <v>94464</v>
      </c>
      <c r="EH16">
        <v>2.20401E-2</v>
      </c>
      <c r="EI16">
        <v>32340</v>
      </c>
      <c r="EJ16">
        <v>0.54301169999999999</v>
      </c>
      <c r="EK16">
        <v>229642</v>
      </c>
      <c r="EL16">
        <v>7.6471200000000003E-2</v>
      </c>
      <c r="EM16">
        <v>17561</v>
      </c>
      <c r="EN16">
        <v>0.282501</v>
      </c>
      <c r="EO16">
        <v>23286</v>
      </c>
      <c r="EP16">
        <v>0.2130465</v>
      </c>
      <c r="EQ16">
        <v>17561</v>
      </c>
      <c r="ER16">
        <v>0.3104037</v>
      </c>
      <c r="ES16">
        <v>48910</v>
      </c>
      <c r="ET16">
        <v>0.1114496</v>
      </c>
      <c r="EU16">
        <v>17561</v>
      </c>
      <c r="EV16">
        <v>0.27350380000000002</v>
      </c>
      <c r="EW16">
        <v>61478</v>
      </c>
      <c r="EX16">
        <v>7.8125500000000001E-2</v>
      </c>
      <c r="EY16">
        <v>17561</v>
      </c>
      <c r="EZ16">
        <v>0.1335915</v>
      </c>
      <c r="FA16">
        <v>95968</v>
      </c>
      <c r="FB16">
        <v>2.4445600000000001E-2</v>
      </c>
      <c r="FC16">
        <v>445004</v>
      </c>
      <c r="FD16">
        <v>0.92732650000000005</v>
      </c>
      <c r="FE16">
        <v>412664</v>
      </c>
      <c r="FF16">
        <v>0.48606860000000002</v>
      </c>
      <c r="FG16">
        <v>215362</v>
      </c>
      <c r="FH16">
        <v>0.93137599999999998</v>
      </c>
      <c r="FI16">
        <v>200583</v>
      </c>
      <c r="FJ16">
        <v>0.103244</v>
      </c>
      <c r="FK16">
        <v>25941</v>
      </c>
      <c r="FL16">
        <v>0.79831149999999995</v>
      </c>
      <c r="FM16">
        <v>200583</v>
      </c>
      <c r="FN16">
        <v>0.20650299999999999</v>
      </c>
      <c r="FO16">
        <v>46390</v>
      </c>
      <c r="FP16">
        <v>0.89288639999999997</v>
      </c>
      <c r="FQ16">
        <v>200583</v>
      </c>
      <c r="FR16">
        <v>0.22968549999999999</v>
      </c>
      <c r="FS16">
        <v>48567</v>
      </c>
      <c r="FT16">
        <v>0.94860710000000004</v>
      </c>
      <c r="FU16">
        <v>200583</v>
      </c>
      <c r="FV16">
        <v>0.46056740000000002</v>
      </c>
      <c r="FW16">
        <v>94464</v>
      </c>
      <c r="FX16">
        <v>0.97795989999999999</v>
      </c>
      <c r="FY16">
        <v>412664</v>
      </c>
      <c r="FZ16">
        <v>0.51393149999999999</v>
      </c>
      <c r="GA16">
        <v>229642</v>
      </c>
      <c r="GB16">
        <v>0.92352880000000004</v>
      </c>
      <c r="GC16">
        <v>212081</v>
      </c>
      <c r="GD16">
        <v>8.6405700000000002E-2</v>
      </c>
      <c r="GE16">
        <v>23286</v>
      </c>
      <c r="GF16">
        <v>0.78695349999999997</v>
      </c>
      <c r="GG16">
        <v>212081</v>
      </c>
      <c r="GH16">
        <v>0.20491699999999999</v>
      </c>
      <c r="GI16">
        <v>48910</v>
      </c>
      <c r="GJ16">
        <v>0.88855039999999996</v>
      </c>
      <c r="GK16">
        <v>212081</v>
      </c>
      <c r="GL16">
        <v>0.26723279999999999</v>
      </c>
      <c r="GM16">
        <v>61478</v>
      </c>
      <c r="GN16">
        <v>0.92187450000000004</v>
      </c>
      <c r="GO16">
        <v>212081</v>
      </c>
      <c r="GP16">
        <v>0.44144450000000002</v>
      </c>
      <c r="GQ16">
        <v>95968</v>
      </c>
      <c r="GR16">
        <v>0.97555429999999999</v>
      </c>
      <c r="GS16">
        <v>524958</v>
      </c>
      <c r="GT16">
        <v>7.9280600000000007E-2</v>
      </c>
      <c r="GU16">
        <v>41619</v>
      </c>
      <c r="GV16">
        <v>0.46481169999999999</v>
      </c>
      <c r="GW16">
        <v>19345</v>
      </c>
      <c r="GX16">
        <v>0.10819330000000001</v>
      </c>
      <c r="GY16">
        <v>19345</v>
      </c>
      <c r="GZ16">
        <v>0.3775136</v>
      </c>
      <c r="HA16">
        <v>19345</v>
      </c>
      <c r="HB16">
        <v>0.51429309999999995</v>
      </c>
      <c r="HC16">
        <v>19345</v>
      </c>
      <c r="HD16">
        <v>0.62512279999999998</v>
      </c>
      <c r="HE16">
        <v>19345</v>
      </c>
      <c r="HF16">
        <v>0.37487720000000002</v>
      </c>
      <c r="HG16">
        <v>12093</v>
      </c>
      <c r="HH16">
        <v>0.5763665</v>
      </c>
      <c r="HI16">
        <v>12093</v>
      </c>
      <c r="HJ16">
        <v>0.4236335</v>
      </c>
      <c r="HK16">
        <v>41619</v>
      </c>
      <c r="HL16">
        <v>0.53518829999999995</v>
      </c>
      <c r="HM16">
        <v>22274</v>
      </c>
      <c r="HN16">
        <v>6.5232999999999999E-2</v>
      </c>
      <c r="HO16">
        <v>22274</v>
      </c>
      <c r="HP16">
        <v>0.27835149999999997</v>
      </c>
      <c r="HQ16">
        <v>22274</v>
      </c>
      <c r="HR16">
        <v>0.65641550000000004</v>
      </c>
      <c r="HS16">
        <v>22274</v>
      </c>
      <c r="HT16">
        <v>0.41882910000000001</v>
      </c>
      <c r="HU16">
        <v>22274</v>
      </c>
      <c r="HV16">
        <v>0.58117090000000005</v>
      </c>
      <c r="HW16">
        <v>9329</v>
      </c>
      <c r="HX16">
        <v>0.68131629999999999</v>
      </c>
      <c r="HY16">
        <v>9329</v>
      </c>
      <c r="HZ16">
        <v>0.31868370000000001</v>
      </c>
      <c r="IA16">
        <v>524958</v>
      </c>
      <c r="IB16">
        <v>0.92071939999999997</v>
      </c>
      <c r="IC16">
        <v>483339</v>
      </c>
      <c r="ID16">
        <v>0.49017769999999999</v>
      </c>
      <c r="IE16">
        <v>236922</v>
      </c>
      <c r="IF16">
        <v>0.56449800000000006</v>
      </c>
      <c r="IG16">
        <v>236922</v>
      </c>
      <c r="IH16">
        <v>0.2272478</v>
      </c>
      <c r="II16">
        <v>236922</v>
      </c>
      <c r="IJ16">
        <v>0.2082542</v>
      </c>
      <c r="IK16">
        <v>235827</v>
      </c>
      <c r="IL16">
        <v>0.78850169999999997</v>
      </c>
      <c r="IM16">
        <v>235827</v>
      </c>
      <c r="IN16">
        <v>0.2114983</v>
      </c>
      <c r="IO16">
        <v>185950</v>
      </c>
      <c r="IP16">
        <v>0.92093579999999997</v>
      </c>
      <c r="IQ16">
        <v>185950</v>
      </c>
      <c r="IR16">
        <v>7.9064300000000004E-2</v>
      </c>
      <c r="IS16">
        <v>483339</v>
      </c>
      <c r="IT16">
        <v>0.50982229999999995</v>
      </c>
      <c r="IU16">
        <v>246417</v>
      </c>
      <c r="IV16">
        <v>0.39538259999999997</v>
      </c>
      <c r="IW16">
        <v>246417</v>
      </c>
      <c r="IX16">
        <v>0.28207470000000001</v>
      </c>
      <c r="IY16">
        <v>246417</v>
      </c>
      <c r="IZ16">
        <v>0.32254270000000002</v>
      </c>
      <c r="JA16">
        <v>245916</v>
      </c>
      <c r="JB16">
        <v>0.65180389999999999</v>
      </c>
      <c r="JC16">
        <v>245916</v>
      </c>
      <c r="JD16">
        <v>0.34819610000000001</v>
      </c>
      <c r="JE16">
        <v>160289</v>
      </c>
      <c r="JF16">
        <v>0.94156799999999996</v>
      </c>
      <c r="JG16">
        <v>160289</v>
      </c>
      <c r="JH16">
        <v>5.8431999999999998E-2</v>
      </c>
      <c r="JI16">
        <v>177587</v>
      </c>
      <c r="JJ16">
        <v>0.1149521</v>
      </c>
      <c r="JK16">
        <v>20414</v>
      </c>
      <c r="JL16">
        <v>0.4268149</v>
      </c>
      <c r="JM16">
        <v>8713</v>
      </c>
      <c r="JN16">
        <v>0.74635600000000002</v>
      </c>
      <c r="JO16">
        <v>8713</v>
      </c>
      <c r="JP16">
        <v>0.74635600000000002</v>
      </c>
      <c r="JQ16">
        <v>8713</v>
      </c>
      <c r="JR16">
        <v>0.74635600000000002</v>
      </c>
      <c r="JS16">
        <v>8713</v>
      </c>
      <c r="JT16">
        <v>0.74635600000000002</v>
      </c>
      <c r="JU16">
        <v>8713</v>
      </c>
      <c r="JV16">
        <v>0.25364399999999998</v>
      </c>
      <c r="JW16">
        <v>20414</v>
      </c>
      <c r="JX16">
        <v>0.5731851</v>
      </c>
      <c r="JY16">
        <v>11701</v>
      </c>
      <c r="JZ16">
        <v>0.24237249999999999</v>
      </c>
      <c r="KA16">
        <v>2836</v>
      </c>
      <c r="KB16">
        <v>0.75740479999999999</v>
      </c>
      <c r="KC16">
        <v>2148</v>
      </c>
      <c r="KD16">
        <v>0.2555866</v>
      </c>
      <c r="KE16">
        <v>2148</v>
      </c>
      <c r="KF16">
        <v>0.26862200000000003</v>
      </c>
      <c r="KG16">
        <v>2148</v>
      </c>
      <c r="KH16">
        <v>0.47579139999999998</v>
      </c>
      <c r="KI16">
        <v>2836</v>
      </c>
      <c r="KJ16">
        <v>0.24259520000000001</v>
      </c>
      <c r="KK16">
        <v>11701</v>
      </c>
      <c r="KL16">
        <v>0.75762750000000001</v>
      </c>
      <c r="KM16">
        <v>8865</v>
      </c>
      <c r="KN16">
        <v>0.85290469999999996</v>
      </c>
      <c r="KO16">
        <v>7561</v>
      </c>
      <c r="KP16">
        <v>0.31107000000000001</v>
      </c>
      <c r="KQ16">
        <v>7561</v>
      </c>
      <c r="KR16">
        <v>0.27020240000000001</v>
      </c>
      <c r="KS16">
        <v>7561</v>
      </c>
      <c r="KT16">
        <v>0.41872769999999998</v>
      </c>
      <c r="KU16">
        <v>8865</v>
      </c>
      <c r="KV16">
        <v>0.14709530000000001</v>
      </c>
      <c r="KW16">
        <v>177587</v>
      </c>
      <c r="KX16">
        <v>2.9202599999999999E-2</v>
      </c>
      <c r="KY16">
        <v>5186</v>
      </c>
      <c r="KZ16">
        <v>0.72695719999999997</v>
      </c>
      <c r="LA16">
        <v>3770</v>
      </c>
      <c r="LB16">
        <v>0.86233420000000005</v>
      </c>
      <c r="LC16">
        <v>3770</v>
      </c>
      <c r="LD16">
        <v>0.86233420000000005</v>
      </c>
      <c r="LE16">
        <v>3770</v>
      </c>
      <c r="LF16">
        <v>0.86233420000000005</v>
      </c>
      <c r="LG16">
        <v>3770</v>
      </c>
      <c r="LH16">
        <v>0.86233420000000005</v>
      </c>
      <c r="LI16">
        <v>3770</v>
      </c>
      <c r="LJ16">
        <v>0.1376658</v>
      </c>
      <c r="LK16">
        <v>5186</v>
      </c>
      <c r="LL16">
        <v>0.27304279999999997</v>
      </c>
      <c r="LM16">
        <v>1416</v>
      </c>
      <c r="LN16">
        <v>9.8870100000000002E-2</v>
      </c>
      <c r="LO16">
        <v>140</v>
      </c>
      <c r="LP16">
        <v>0.3142857</v>
      </c>
      <c r="LQ16">
        <v>44</v>
      </c>
      <c r="LR16">
        <v>0</v>
      </c>
      <c r="LS16">
        <v>44</v>
      </c>
      <c r="LT16">
        <v>1</v>
      </c>
      <c r="LU16">
        <v>44</v>
      </c>
      <c r="LV16">
        <v>0</v>
      </c>
      <c r="LW16">
        <v>140</v>
      </c>
      <c r="LX16">
        <v>0.6857143</v>
      </c>
      <c r="LY16">
        <v>1416</v>
      </c>
      <c r="LZ16">
        <v>0.90112999999999999</v>
      </c>
      <c r="MA16">
        <v>1276</v>
      </c>
      <c r="MB16">
        <v>0.83934169999999997</v>
      </c>
      <c r="MC16">
        <v>1071</v>
      </c>
      <c r="MD16">
        <v>0.17647060000000001</v>
      </c>
      <c r="ME16">
        <v>1071</v>
      </c>
      <c r="MF16">
        <v>0.16153129999999999</v>
      </c>
      <c r="MG16">
        <v>1071</v>
      </c>
      <c r="MH16">
        <v>0.66199819999999998</v>
      </c>
      <c r="MI16">
        <v>1276</v>
      </c>
      <c r="MJ16">
        <v>0.1606583</v>
      </c>
      <c r="MK16">
        <v>177587</v>
      </c>
      <c r="ML16">
        <v>3.4918100000000001E-2</v>
      </c>
      <c r="MM16">
        <v>6201</v>
      </c>
      <c r="MN16">
        <v>0.69263019999999997</v>
      </c>
      <c r="MO16">
        <v>4295</v>
      </c>
      <c r="MP16">
        <v>0.71850990000000003</v>
      </c>
      <c r="MQ16">
        <v>4295</v>
      </c>
      <c r="MR16">
        <v>0.71850990000000003</v>
      </c>
      <c r="MS16">
        <v>4295</v>
      </c>
      <c r="MT16">
        <v>0.71850990000000003</v>
      </c>
      <c r="MU16">
        <v>4295</v>
      </c>
      <c r="MV16">
        <v>0.71850990000000003</v>
      </c>
      <c r="MW16">
        <v>4295</v>
      </c>
      <c r="MX16">
        <v>0.28149010000000002</v>
      </c>
      <c r="MY16">
        <v>6201</v>
      </c>
      <c r="MZ16">
        <v>0.30736980000000003</v>
      </c>
      <c r="NA16">
        <v>1906</v>
      </c>
      <c r="NB16">
        <v>0.252361</v>
      </c>
      <c r="NC16">
        <v>481</v>
      </c>
      <c r="ND16">
        <v>0.86278589999999999</v>
      </c>
      <c r="NE16">
        <v>415</v>
      </c>
      <c r="NF16">
        <v>0.25542169999999997</v>
      </c>
      <c r="NG16">
        <v>415</v>
      </c>
      <c r="NH16">
        <v>0</v>
      </c>
      <c r="NI16">
        <v>415</v>
      </c>
      <c r="NJ16">
        <v>0.74457830000000003</v>
      </c>
      <c r="NK16">
        <v>481</v>
      </c>
      <c r="NL16">
        <v>0.13721410000000001</v>
      </c>
      <c r="NM16">
        <v>1906</v>
      </c>
      <c r="NN16">
        <v>0.7476391</v>
      </c>
      <c r="NO16">
        <v>1425</v>
      </c>
      <c r="NP16">
        <v>0.67157889999999998</v>
      </c>
      <c r="NQ16">
        <v>957</v>
      </c>
      <c r="NR16">
        <v>0.17450370000000001</v>
      </c>
      <c r="NS16">
        <v>957</v>
      </c>
      <c r="NT16">
        <v>7.4190199999999998E-2</v>
      </c>
      <c r="NU16">
        <v>957</v>
      </c>
      <c r="NV16">
        <v>0.75130620000000004</v>
      </c>
      <c r="NW16">
        <v>1425</v>
      </c>
      <c r="NX16">
        <v>0.32842110000000002</v>
      </c>
      <c r="NY16">
        <v>177587</v>
      </c>
      <c r="NZ16">
        <v>0.82092719999999997</v>
      </c>
      <c r="OA16">
        <v>145786</v>
      </c>
      <c r="OB16">
        <v>0.85884110000000002</v>
      </c>
      <c r="OC16">
        <v>125207</v>
      </c>
      <c r="OD16">
        <v>0.46199489999999999</v>
      </c>
      <c r="OE16">
        <v>125207</v>
      </c>
      <c r="OF16">
        <v>0.46199489999999999</v>
      </c>
      <c r="OG16">
        <v>125207</v>
      </c>
      <c r="OH16">
        <v>0.46199489999999999</v>
      </c>
      <c r="OI16">
        <v>125207</v>
      </c>
      <c r="OJ16">
        <v>0.46199489999999999</v>
      </c>
      <c r="OK16">
        <v>125207</v>
      </c>
      <c r="OL16">
        <v>0.53800510000000001</v>
      </c>
      <c r="OM16">
        <v>145786</v>
      </c>
      <c r="ON16">
        <v>0.14115900000000001</v>
      </c>
      <c r="OO16">
        <v>20579</v>
      </c>
      <c r="OP16">
        <v>0.28159770000000001</v>
      </c>
      <c r="OQ16">
        <v>5795</v>
      </c>
      <c r="OR16">
        <v>0.40431410000000001</v>
      </c>
      <c r="OS16">
        <v>2343</v>
      </c>
      <c r="OT16">
        <v>0.1506615</v>
      </c>
      <c r="OU16">
        <v>2343</v>
      </c>
      <c r="OV16">
        <v>0.18651300000000001</v>
      </c>
      <c r="OW16">
        <v>2343</v>
      </c>
      <c r="OX16">
        <v>0.66282549999999996</v>
      </c>
      <c r="OY16">
        <v>5795</v>
      </c>
      <c r="OZ16">
        <v>0.59568600000000005</v>
      </c>
      <c r="PA16">
        <v>20579</v>
      </c>
      <c r="PB16">
        <v>0.71840230000000005</v>
      </c>
      <c r="PC16">
        <v>14784</v>
      </c>
      <c r="PD16">
        <v>0.57366070000000002</v>
      </c>
      <c r="PE16">
        <v>8481</v>
      </c>
      <c r="PF16">
        <v>0.14255390000000001</v>
      </c>
      <c r="PG16">
        <v>8481</v>
      </c>
      <c r="PH16">
        <v>0.1821719</v>
      </c>
      <c r="PI16">
        <v>8481</v>
      </c>
      <c r="PJ16">
        <v>0.67527409999999999</v>
      </c>
      <c r="PK16">
        <v>14784</v>
      </c>
      <c r="PL16">
        <v>0.42633929999999998</v>
      </c>
      <c r="PM16">
        <v>702120</v>
      </c>
      <c r="PN16">
        <v>0.49918960000000001</v>
      </c>
      <c r="PO16">
        <v>350491</v>
      </c>
      <c r="PP16">
        <v>6.4734899999999998E-2</v>
      </c>
      <c r="PQ16">
        <v>350491</v>
      </c>
      <c r="PR16">
        <v>7.3636699999999999E-2</v>
      </c>
      <c r="PS16">
        <v>350491</v>
      </c>
      <c r="PT16">
        <v>8.1705399999999997E-2</v>
      </c>
      <c r="PU16">
        <v>350491</v>
      </c>
      <c r="PV16">
        <v>5.0007000000000003E-2</v>
      </c>
      <c r="PW16">
        <v>350491</v>
      </c>
      <c r="PX16">
        <v>3.6049400000000002E-2</v>
      </c>
      <c r="PY16">
        <v>350491</v>
      </c>
      <c r="PZ16">
        <v>1.72216E-2</v>
      </c>
      <c r="QA16">
        <v>350491</v>
      </c>
      <c r="QB16">
        <v>1.55496E-2</v>
      </c>
      <c r="QC16">
        <v>350491</v>
      </c>
      <c r="QD16">
        <v>3.5652799999999998E-2</v>
      </c>
      <c r="QE16">
        <v>350491</v>
      </c>
      <c r="QF16">
        <v>5.7510699999999998E-2</v>
      </c>
      <c r="QG16">
        <v>350491</v>
      </c>
      <c r="QH16">
        <v>5.7596300000000003E-2</v>
      </c>
      <c r="QI16">
        <v>350491</v>
      </c>
      <c r="QJ16">
        <v>6.2965999999999994E-2</v>
      </c>
      <c r="QK16">
        <v>350491</v>
      </c>
      <c r="QL16">
        <v>6.9864800000000005E-2</v>
      </c>
      <c r="QM16">
        <v>350491</v>
      </c>
      <c r="QN16">
        <v>7.7126100000000003E-2</v>
      </c>
      <c r="QO16">
        <v>350491</v>
      </c>
      <c r="QP16">
        <v>7.9930699999999993E-2</v>
      </c>
      <c r="QQ16">
        <v>350491</v>
      </c>
      <c r="QR16">
        <v>6.6980300000000006E-2</v>
      </c>
      <c r="QS16">
        <v>350491</v>
      </c>
      <c r="QT16">
        <v>2.1318699999999999E-2</v>
      </c>
      <c r="QU16">
        <v>350491</v>
      </c>
      <c r="QV16">
        <v>3.2137800000000001E-2</v>
      </c>
      <c r="QW16">
        <v>350491</v>
      </c>
      <c r="QX16">
        <v>1.5726500000000001E-2</v>
      </c>
      <c r="QY16">
        <v>350491</v>
      </c>
      <c r="QZ16">
        <v>1.9124599999999999E-2</v>
      </c>
      <c r="RA16">
        <v>350491</v>
      </c>
      <c r="RB16">
        <v>2.7278899999999998E-2</v>
      </c>
      <c r="RC16">
        <v>350491</v>
      </c>
      <c r="RD16">
        <v>1.43056E-2</v>
      </c>
      <c r="RE16">
        <v>350491</v>
      </c>
      <c r="RF16">
        <v>1.1986E-2</v>
      </c>
      <c r="RG16">
        <v>350491</v>
      </c>
      <c r="RH16">
        <v>1.1589500000000001E-2</v>
      </c>
      <c r="RI16">
        <v>702120</v>
      </c>
      <c r="RJ16">
        <v>0.50081039999999999</v>
      </c>
      <c r="RK16">
        <v>351629</v>
      </c>
      <c r="RL16">
        <v>6.2028399999999997E-2</v>
      </c>
      <c r="RM16">
        <v>351629</v>
      </c>
      <c r="RN16">
        <v>6.7465999999999998E-2</v>
      </c>
      <c r="RO16">
        <v>351629</v>
      </c>
      <c r="RP16">
        <v>7.9720399999999997E-2</v>
      </c>
      <c r="RQ16">
        <v>351629</v>
      </c>
      <c r="RR16">
        <v>4.7058099999999999E-2</v>
      </c>
      <c r="RS16">
        <v>351629</v>
      </c>
      <c r="RT16">
        <v>2.8444799999999999E-2</v>
      </c>
      <c r="RU16">
        <v>351629</v>
      </c>
      <c r="RV16">
        <v>1.2396600000000001E-2</v>
      </c>
      <c r="RW16">
        <v>351629</v>
      </c>
      <c r="RX16">
        <v>1.12391E-2</v>
      </c>
      <c r="RY16">
        <v>351629</v>
      </c>
      <c r="RZ16">
        <v>3.1118E-2</v>
      </c>
      <c r="SA16">
        <v>351629</v>
      </c>
      <c r="SB16">
        <v>5.2771499999999999E-2</v>
      </c>
      <c r="SC16">
        <v>351629</v>
      </c>
      <c r="SD16">
        <v>5.7731299999999999E-2</v>
      </c>
      <c r="SE16">
        <v>351629</v>
      </c>
      <c r="SF16">
        <v>6.4206899999999997E-2</v>
      </c>
      <c r="SG16">
        <v>351629</v>
      </c>
      <c r="SH16">
        <v>7.4427900000000005E-2</v>
      </c>
      <c r="SI16">
        <v>351629</v>
      </c>
      <c r="SJ16">
        <v>7.9956399999999997E-2</v>
      </c>
      <c r="SK16">
        <v>351629</v>
      </c>
      <c r="SL16">
        <v>8.1975599999999996E-2</v>
      </c>
      <c r="SM16">
        <v>351629</v>
      </c>
      <c r="SN16">
        <v>6.5648700000000004E-2</v>
      </c>
      <c r="SO16">
        <v>351629</v>
      </c>
      <c r="SP16">
        <v>2.8430500000000001E-2</v>
      </c>
      <c r="SQ16">
        <v>351629</v>
      </c>
      <c r="SR16">
        <v>2.9556700000000002E-2</v>
      </c>
      <c r="SS16">
        <v>351629</v>
      </c>
      <c r="ST16">
        <v>1.84683E-2</v>
      </c>
      <c r="SU16">
        <v>351629</v>
      </c>
      <c r="SV16">
        <v>2.1337800000000001E-2</v>
      </c>
      <c r="SW16">
        <v>351629</v>
      </c>
      <c r="SX16">
        <v>2.77395E-2</v>
      </c>
      <c r="SY16">
        <v>351629</v>
      </c>
      <c r="SZ16">
        <v>1.73876E-2</v>
      </c>
      <c r="TA16">
        <v>351629</v>
      </c>
      <c r="TB16">
        <v>2.0419199999999998E-2</v>
      </c>
      <c r="TC16">
        <v>351629</v>
      </c>
      <c r="TD16">
        <v>2.04704E-2</v>
      </c>
      <c r="TE16">
        <v>572072</v>
      </c>
      <c r="TF16">
        <v>0.50137920000000002</v>
      </c>
      <c r="TG16">
        <v>50271</v>
      </c>
      <c r="TH16">
        <v>0.49133690000000002</v>
      </c>
      <c r="TI16"/>
      <c r="TJ16"/>
      <c r="TK16">
        <v>44814</v>
      </c>
      <c r="TL16">
        <v>0.48259469999999999</v>
      </c>
      <c r="TM16"/>
      <c r="TN16"/>
      <c r="TO16">
        <v>15638</v>
      </c>
      <c r="TP16">
        <v>0.51886429999999995</v>
      </c>
      <c r="TQ16">
        <v>17591</v>
      </c>
      <c r="TR16">
        <v>0.48530499999999999</v>
      </c>
      <c r="TS16">
        <v>451690</v>
      </c>
      <c r="TT16">
        <v>0.49573159999999999</v>
      </c>
      <c r="TU16">
        <v>143780</v>
      </c>
      <c r="TV16">
        <v>0.51786759999999998</v>
      </c>
      <c r="TW16">
        <v>572072</v>
      </c>
      <c r="TX16">
        <v>0.49862079999999998</v>
      </c>
      <c r="TY16">
        <v>50271</v>
      </c>
      <c r="TZ16">
        <v>0.50866310000000003</v>
      </c>
      <c r="UA16"/>
      <c r="UB16"/>
      <c r="UC16">
        <v>44814</v>
      </c>
      <c r="UD16">
        <v>0.51740529999999996</v>
      </c>
      <c r="UE16"/>
      <c r="UF16"/>
      <c r="UG16">
        <v>15638</v>
      </c>
      <c r="UH16">
        <v>0.4811357</v>
      </c>
      <c r="UI16">
        <v>17591</v>
      </c>
      <c r="UJ16">
        <v>0.51469500000000001</v>
      </c>
      <c r="UK16">
        <v>451690</v>
      </c>
      <c r="UL16">
        <v>0.50426839999999995</v>
      </c>
      <c r="UM16">
        <v>143780</v>
      </c>
      <c r="UN16">
        <v>0.48213240000000002</v>
      </c>
      <c r="UO16">
        <v>164046</v>
      </c>
      <c r="UP16">
        <v>164046</v>
      </c>
      <c r="UQ16">
        <v>164046</v>
      </c>
      <c r="UR16">
        <v>137990</v>
      </c>
      <c r="US16">
        <v>137990</v>
      </c>
      <c r="UT16">
        <v>137990</v>
      </c>
      <c r="UU16">
        <v>2.7297200000000001E-2</v>
      </c>
      <c r="UV16">
        <v>0.88755600000000001</v>
      </c>
      <c r="UW16">
        <v>8.5146899999999998E-2</v>
      </c>
      <c r="UX16">
        <v>1.00152E-2</v>
      </c>
      <c r="UY16">
        <v>0.92184219999999994</v>
      </c>
      <c r="UZ16">
        <v>6.8142599999999998E-2</v>
      </c>
      <c r="VA16">
        <v>11004</v>
      </c>
      <c r="VB16">
        <v>0.18020720000000001</v>
      </c>
      <c r="VC16">
        <v>11004</v>
      </c>
      <c r="VD16">
        <v>0.68157040000000002</v>
      </c>
      <c r="VE16">
        <v>11004</v>
      </c>
      <c r="VF16">
        <v>0.1382225</v>
      </c>
      <c r="VG16">
        <v>19093</v>
      </c>
      <c r="VH16">
        <v>7.2487300000000005E-2</v>
      </c>
      <c r="VI16">
        <v>19093</v>
      </c>
      <c r="VJ16">
        <v>0.84350290000000006</v>
      </c>
      <c r="VK16">
        <v>19093</v>
      </c>
      <c r="VL16">
        <v>8.4009799999999996E-2</v>
      </c>
      <c r="VM16">
        <v>19198</v>
      </c>
      <c r="VN16">
        <v>3.5472400000000001E-2</v>
      </c>
      <c r="VO16">
        <v>19198</v>
      </c>
      <c r="VP16">
        <v>0.86561100000000002</v>
      </c>
      <c r="VQ16">
        <v>19198</v>
      </c>
      <c r="VR16">
        <v>9.8916599999999993E-2</v>
      </c>
      <c r="VS16">
        <v>44084</v>
      </c>
      <c r="VT16">
        <v>8.0528000000000006E-3</v>
      </c>
      <c r="VU16">
        <v>44084</v>
      </c>
      <c r="VV16">
        <v>0.93201610000000001</v>
      </c>
      <c r="VW16">
        <v>44084</v>
      </c>
      <c r="VX16">
        <v>5.9930999999999998E-2</v>
      </c>
      <c r="VY16">
        <v>50945</v>
      </c>
      <c r="VZ16">
        <v>1.4721999999999999E-3</v>
      </c>
      <c r="WA16">
        <v>50945</v>
      </c>
      <c r="WB16">
        <v>0.91439789999999999</v>
      </c>
      <c r="WC16">
        <v>50945</v>
      </c>
      <c r="WD16">
        <v>8.4129899999999994E-2</v>
      </c>
      <c r="WE16">
        <v>19722</v>
      </c>
      <c r="WF16">
        <v>0</v>
      </c>
      <c r="WG16">
        <v>19722</v>
      </c>
      <c r="WH16">
        <v>0.89777910000000005</v>
      </c>
      <c r="WI16">
        <v>19722</v>
      </c>
      <c r="WJ16">
        <v>0.1022209</v>
      </c>
      <c r="WK16">
        <v>8718</v>
      </c>
      <c r="WL16">
        <v>5.4255600000000001E-2</v>
      </c>
      <c r="WM16">
        <v>8718</v>
      </c>
      <c r="WN16">
        <v>0.82232170000000004</v>
      </c>
      <c r="WO16">
        <v>8718</v>
      </c>
      <c r="WP16">
        <v>0.1234228</v>
      </c>
      <c r="WQ16">
        <v>15138</v>
      </c>
      <c r="WR16">
        <v>3.7257199999999997E-2</v>
      </c>
      <c r="WS16">
        <v>15138</v>
      </c>
      <c r="WT16">
        <v>0.8817545</v>
      </c>
      <c r="WU16">
        <v>15138</v>
      </c>
      <c r="WV16">
        <v>8.0988199999999996E-2</v>
      </c>
      <c r="WW16">
        <v>15519</v>
      </c>
      <c r="WX16">
        <v>0</v>
      </c>
      <c r="WY16">
        <v>15519</v>
      </c>
      <c r="WZ16">
        <v>0.95044790000000001</v>
      </c>
      <c r="XA16">
        <v>15519</v>
      </c>
      <c r="XB16">
        <v>4.9552199999999998E-2</v>
      </c>
      <c r="XC16">
        <v>37504</v>
      </c>
      <c r="XD16">
        <v>7.9991000000000003E-3</v>
      </c>
      <c r="XE16">
        <v>37504</v>
      </c>
      <c r="XF16">
        <v>0.93419370000000002</v>
      </c>
      <c r="XG16">
        <v>37504</v>
      </c>
      <c r="XH16">
        <v>5.7807200000000003E-2</v>
      </c>
      <c r="XI16">
        <v>44741</v>
      </c>
      <c r="XJ16">
        <v>1.0058000000000001E-3</v>
      </c>
      <c r="XK16">
        <v>44741</v>
      </c>
      <c r="XL16">
        <v>0.92697969999999996</v>
      </c>
      <c r="XM16">
        <v>44741</v>
      </c>
      <c r="XN16">
        <v>7.2014499999999995E-2</v>
      </c>
      <c r="XO16">
        <v>16370</v>
      </c>
      <c r="XP16">
        <v>0</v>
      </c>
      <c r="XQ16">
        <v>16370</v>
      </c>
      <c r="XR16">
        <v>0.94245570000000001</v>
      </c>
      <c r="XS16">
        <v>16370</v>
      </c>
      <c r="XT16">
        <v>5.75443E-2</v>
      </c>
      <c r="XU16">
        <v>461152</v>
      </c>
      <c r="XV16">
        <v>0.50334599999999996</v>
      </c>
      <c r="XW16">
        <v>232119</v>
      </c>
      <c r="XX16">
        <v>0.84034909999999996</v>
      </c>
      <c r="XY16">
        <v>232119</v>
      </c>
      <c r="XZ16">
        <v>0.15965090000000001</v>
      </c>
      <c r="YA16">
        <v>195061</v>
      </c>
      <c r="YB16">
        <v>0.84633009999999997</v>
      </c>
      <c r="YC16">
        <v>165086</v>
      </c>
      <c r="YD16">
        <v>0.82765350000000004</v>
      </c>
      <c r="YE16">
        <v>165086</v>
      </c>
      <c r="YF16">
        <v>1.1285E-2</v>
      </c>
      <c r="YG16">
        <v>165086</v>
      </c>
      <c r="YH16">
        <v>4.5606500000000001E-2</v>
      </c>
      <c r="YI16">
        <v>165086</v>
      </c>
      <c r="YJ16">
        <v>5.3541800000000001E-2</v>
      </c>
      <c r="YK16">
        <v>165086</v>
      </c>
      <c r="YL16">
        <v>2.18795E-2</v>
      </c>
      <c r="YM16">
        <v>165086</v>
      </c>
      <c r="YN16">
        <v>4.0033699999999998E-2</v>
      </c>
      <c r="YO16">
        <v>195061</v>
      </c>
      <c r="YP16">
        <v>0.1213569</v>
      </c>
      <c r="YQ16">
        <v>23672</v>
      </c>
      <c r="YR16">
        <v>0.45141940000000003</v>
      </c>
      <c r="YS16">
        <v>23672</v>
      </c>
      <c r="YT16">
        <v>4.1061199999999999E-2</v>
      </c>
      <c r="YU16">
        <v>23672</v>
      </c>
      <c r="YV16">
        <v>0.1061592</v>
      </c>
      <c r="YW16">
        <v>23672</v>
      </c>
      <c r="YX16">
        <v>0.1445167</v>
      </c>
      <c r="YY16">
        <v>23672</v>
      </c>
      <c r="YZ16">
        <v>8.0770499999999995E-2</v>
      </c>
      <c r="ZA16">
        <v>23672</v>
      </c>
      <c r="ZB16">
        <v>0.17607300000000001</v>
      </c>
      <c r="ZC16">
        <v>195061</v>
      </c>
      <c r="ZD16">
        <v>3.2313000000000001E-2</v>
      </c>
      <c r="ZE16">
        <v>6303</v>
      </c>
      <c r="ZF16">
        <v>0.27018880000000001</v>
      </c>
      <c r="ZG16">
        <v>6303</v>
      </c>
      <c r="ZH16">
        <v>1.57068E-2</v>
      </c>
      <c r="ZI16">
        <v>6303</v>
      </c>
      <c r="ZJ16">
        <v>6.3461799999999999E-2</v>
      </c>
      <c r="ZK16">
        <v>6303</v>
      </c>
      <c r="ZL16">
        <v>5.9336800000000002E-2</v>
      </c>
      <c r="ZM16">
        <v>6303</v>
      </c>
      <c r="ZN16">
        <v>0.1131207</v>
      </c>
      <c r="ZO16">
        <v>6303</v>
      </c>
      <c r="ZP16">
        <v>0.47818500000000003</v>
      </c>
      <c r="ZQ16">
        <v>461152</v>
      </c>
      <c r="ZR16">
        <v>0.49665399999999998</v>
      </c>
      <c r="ZS16">
        <v>229033</v>
      </c>
      <c r="ZT16">
        <v>0.73492029999999997</v>
      </c>
      <c r="ZU16">
        <v>229033</v>
      </c>
      <c r="ZV16">
        <v>0.26507969999999997</v>
      </c>
      <c r="ZW16">
        <v>168321</v>
      </c>
      <c r="ZX16">
        <v>0.6863612</v>
      </c>
      <c r="ZY16">
        <v>115529</v>
      </c>
      <c r="ZZ16">
        <v>0.83660380000000001</v>
      </c>
      <c r="AAA16">
        <v>115529</v>
      </c>
      <c r="AAB16">
        <v>1.43427E-2</v>
      </c>
      <c r="AAC16">
        <v>115529</v>
      </c>
      <c r="AAD16">
        <v>4.5339299999999999E-2</v>
      </c>
      <c r="AAE16">
        <v>115529</v>
      </c>
      <c r="AAF16">
        <v>4.0509299999999998E-2</v>
      </c>
      <c r="AAG16">
        <v>115529</v>
      </c>
      <c r="AAH16">
        <v>2.3994000000000001E-2</v>
      </c>
      <c r="AAI16">
        <v>115529</v>
      </c>
      <c r="AAJ16">
        <v>3.92109E-2</v>
      </c>
      <c r="AAK16">
        <v>168321</v>
      </c>
      <c r="AAL16">
        <v>0.2409384</v>
      </c>
      <c r="AAM16">
        <v>40555</v>
      </c>
      <c r="AAN16">
        <v>0.54269509999999999</v>
      </c>
      <c r="AAO16">
        <v>40555</v>
      </c>
      <c r="AAP16">
        <v>2.9022300000000001E-2</v>
      </c>
      <c r="AAQ16">
        <v>40555</v>
      </c>
      <c r="AAR16">
        <v>8.2776500000000003E-2</v>
      </c>
      <c r="AAS16">
        <v>40555</v>
      </c>
      <c r="AAT16">
        <v>0.1064727</v>
      </c>
      <c r="AAU16">
        <v>40555</v>
      </c>
      <c r="AAV16">
        <v>0.1089878</v>
      </c>
      <c r="AAW16">
        <v>40555</v>
      </c>
      <c r="AAX16">
        <v>0.13004560000000001</v>
      </c>
      <c r="AAY16">
        <v>168321</v>
      </c>
      <c r="AAZ16">
        <v>7.2700399999999998E-2</v>
      </c>
      <c r="ABA16">
        <v>12237</v>
      </c>
      <c r="ABB16">
        <v>0.35245569999999998</v>
      </c>
      <c r="ABC16">
        <v>12237</v>
      </c>
      <c r="ABD16">
        <v>4.1840299999999997E-2</v>
      </c>
      <c r="ABE16">
        <v>12237</v>
      </c>
      <c r="ABF16">
        <v>4.7724099999999998E-2</v>
      </c>
      <c r="ABG16">
        <v>12237</v>
      </c>
      <c r="ABH16">
        <v>9.7164299999999995E-2</v>
      </c>
      <c r="ABI16">
        <v>12237</v>
      </c>
      <c r="ABJ16">
        <v>0.15502170000000001</v>
      </c>
      <c r="ABK16">
        <v>12237</v>
      </c>
      <c r="ABL16">
        <v>0.30579390000000001</v>
      </c>
      <c r="ABM16">
        <v>241819</v>
      </c>
      <c r="ABN16">
        <v>0.73437980000000003</v>
      </c>
      <c r="ABO16">
        <v>177587</v>
      </c>
      <c r="ABP16">
        <v>0.7995236</v>
      </c>
      <c r="ABQ16">
        <v>177587</v>
      </c>
      <c r="ABR16">
        <v>0.2004764</v>
      </c>
      <c r="ABS16">
        <v>35602</v>
      </c>
      <c r="ABT16">
        <v>0.25987300000000002</v>
      </c>
      <c r="ABU16">
        <v>35602</v>
      </c>
      <c r="ABV16">
        <v>0.74012699999999998</v>
      </c>
      <c r="ABW16">
        <v>241819</v>
      </c>
      <c r="ABX16">
        <v>0.26562010000000003</v>
      </c>
      <c r="ABY16">
        <v>64232</v>
      </c>
      <c r="ABZ16">
        <v>0.83681030000000001</v>
      </c>
      <c r="ACA16">
        <v>64232</v>
      </c>
      <c r="ACB16">
        <v>0.16318969999999999</v>
      </c>
      <c r="ACC16">
        <v>551419</v>
      </c>
      <c r="ACD16">
        <v>0.4957319</v>
      </c>
      <c r="ACE16">
        <v>273356</v>
      </c>
      <c r="ACF16">
        <v>0.33728180000000002</v>
      </c>
      <c r="ACG16">
        <v>92198</v>
      </c>
      <c r="ACH16">
        <v>0.18813859999999999</v>
      </c>
      <c r="ACI16">
        <v>92198</v>
      </c>
      <c r="ACJ16">
        <v>0.1358055</v>
      </c>
      <c r="ACK16">
        <v>92198</v>
      </c>
      <c r="ACL16">
        <v>0.24193580000000001</v>
      </c>
      <c r="ACM16">
        <v>92198</v>
      </c>
      <c r="ACN16">
        <v>0.152563</v>
      </c>
      <c r="ACO16">
        <v>92198</v>
      </c>
      <c r="ACP16">
        <v>8.0262E-2</v>
      </c>
      <c r="ACQ16">
        <v>92198</v>
      </c>
      <c r="ACR16">
        <v>4.2636500000000001E-2</v>
      </c>
      <c r="ACS16">
        <v>92198</v>
      </c>
      <c r="ACT16">
        <v>3.7690599999999998E-2</v>
      </c>
      <c r="ACU16">
        <v>92198</v>
      </c>
      <c r="ACV16">
        <v>3.3677499999999999E-2</v>
      </c>
      <c r="ACW16">
        <v>92198</v>
      </c>
      <c r="ACX16">
        <v>2.9154599999999999E-2</v>
      </c>
      <c r="ACY16">
        <v>92198</v>
      </c>
      <c r="ACZ16">
        <v>2.3048200000000001E-2</v>
      </c>
      <c r="ADA16">
        <v>92198</v>
      </c>
      <c r="ADB16">
        <v>1.48051E-2</v>
      </c>
      <c r="ADC16">
        <v>92198</v>
      </c>
      <c r="ADD16">
        <v>1.7310599999999999E-2</v>
      </c>
      <c r="ADE16">
        <v>92198</v>
      </c>
      <c r="ADF16">
        <v>1.2799E-3</v>
      </c>
      <c r="ADG16">
        <v>92198</v>
      </c>
      <c r="ADH16">
        <v>1.6919999999999999E-3</v>
      </c>
      <c r="ADI16">
        <v>273356</v>
      </c>
      <c r="ADJ16">
        <v>0.56807240000000003</v>
      </c>
      <c r="ADK16">
        <v>155286</v>
      </c>
      <c r="ADL16">
        <v>0.93298820000000005</v>
      </c>
      <c r="ADM16">
        <v>144880</v>
      </c>
      <c r="ADN16">
        <v>0</v>
      </c>
      <c r="ADO16">
        <v>144880</v>
      </c>
      <c r="ADP16">
        <v>7.8689999999999999E-4</v>
      </c>
      <c r="ADQ16">
        <v>144880</v>
      </c>
      <c r="ADR16">
        <v>5.7910000000000001E-3</v>
      </c>
      <c r="ADS16">
        <v>144880</v>
      </c>
      <c r="ADT16">
        <v>3.36761E-2</v>
      </c>
      <c r="ADU16">
        <v>144880</v>
      </c>
      <c r="ADV16">
        <v>6.7055500000000004E-2</v>
      </c>
      <c r="ADW16">
        <v>144880</v>
      </c>
      <c r="ADX16">
        <v>0.1023744</v>
      </c>
      <c r="ADY16">
        <v>144880</v>
      </c>
      <c r="ADZ16">
        <v>0.1209691</v>
      </c>
      <c r="AEA16">
        <v>144880</v>
      </c>
      <c r="AEB16">
        <v>0.13567090000000001</v>
      </c>
      <c r="AEC16">
        <v>144880</v>
      </c>
      <c r="AED16">
        <v>0.1408614</v>
      </c>
      <c r="AEE16">
        <v>144880</v>
      </c>
      <c r="AEF16">
        <v>0.11573029999999999</v>
      </c>
      <c r="AEG16">
        <v>144880</v>
      </c>
      <c r="AEH16">
        <v>0.1013805</v>
      </c>
      <c r="AEI16">
        <v>144880</v>
      </c>
      <c r="AEJ16">
        <v>0.1124034</v>
      </c>
      <c r="AEK16">
        <v>144880</v>
      </c>
      <c r="AEL16">
        <v>4.76187E-2</v>
      </c>
      <c r="AEM16">
        <v>144880</v>
      </c>
      <c r="AEN16">
        <v>1.5681899999999999E-2</v>
      </c>
      <c r="AEO16">
        <v>155286</v>
      </c>
      <c r="AEP16">
        <v>6.7011799999999996E-2</v>
      </c>
      <c r="AEQ16">
        <v>10406</v>
      </c>
      <c r="AER16">
        <v>0.35489140000000002</v>
      </c>
      <c r="AES16">
        <v>3693</v>
      </c>
      <c r="AET16">
        <v>3.4930999999999997E-2</v>
      </c>
      <c r="AEU16">
        <v>3693</v>
      </c>
      <c r="AEV16">
        <v>0</v>
      </c>
      <c r="AEW16">
        <v>3693</v>
      </c>
      <c r="AEX16">
        <v>5.0636300000000002E-2</v>
      </c>
      <c r="AEY16">
        <v>3693</v>
      </c>
      <c r="AEZ16">
        <v>4.9824E-2</v>
      </c>
      <c r="AFA16">
        <v>3693</v>
      </c>
      <c r="AFB16">
        <v>0.1080422</v>
      </c>
      <c r="AFC16">
        <v>3693</v>
      </c>
      <c r="AFD16">
        <v>0.1903601</v>
      </c>
      <c r="AFE16">
        <v>3693</v>
      </c>
      <c r="AFF16">
        <v>0.16003249999999999</v>
      </c>
      <c r="AFG16">
        <v>3693</v>
      </c>
      <c r="AFH16">
        <v>8.6379600000000001E-2</v>
      </c>
      <c r="AFI16">
        <v>3693</v>
      </c>
      <c r="AFJ16">
        <v>0.1156242</v>
      </c>
      <c r="AFK16">
        <v>3693</v>
      </c>
      <c r="AFL16">
        <v>0.15082590000000001</v>
      </c>
      <c r="AFM16">
        <v>3693</v>
      </c>
      <c r="AFN16">
        <v>1.8413200000000001E-2</v>
      </c>
      <c r="AFO16">
        <v>3693</v>
      </c>
      <c r="AFP16">
        <v>2.81614E-2</v>
      </c>
      <c r="AFQ16">
        <v>3693</v>
      </c>
      <c r="AFR16">
        <v>6.7695999999999997E-3</v>
      </c>
      <c r="AFS16">
        <v>3693</v>
      </c>
      <c r="AFT16">
        <v>0</v>
      </c>
      <c r="AFU16">
        <v>10406</v>
      </c>
      <c r="AFV16">
        <v>0.64510860000000003</v>
      </c>
      <c r="AFW16">
        <v>6713</v>
      </c>
      <c r="AFX16">
        <v>7.7462E-3</v>
      </c>
      <c r="AFY16">
        <v>6713</v>
      </c>
      <c r="AFZ16">
        <v>0</v>
      </c>
      <c r="AGA16">
        <v>6713</v>
      </c>
      <c r="AGB16">
        <v>9.6827099999999999E-2</v>
      </c>
      <c r="AGC16">
        <v>6713</v>
      </c>
      <c r="AGD16">
        <v>0.1117235</v>
      </c>
      <c r="AGE16">
        <v>6713</v>
      </c>
      <c r="AGF16">
        <v>0.1677343</v>
      </c>
      <c r="AGG16">
        <v>6713</v>
      </c>
      <c r="AGH16">
        <v>6.7332000000000003E-2</v>
      </c>
      <c r="AGI16">
        <v>6713</v>
      </c>
      <c r="AGJ16">
        <v>0.12900339999999999</v>
      </c>
      <c r="AGK16">
        <v>6713</v>
      </c>
      <c r="AGL16">
        <v>0.1190228</v>
      </c>
      <c r="AGM16">
        <v>6713</v>
      </c>
      <c r="AGN16">
        <v>8.2228499999999996E-2</v>
      </c>
      <c r="AGO16">
        <v>6713</v>
      </c>
      <c r="AGP16">
        <v>0.1167883</v>
      </c>
      <c r="AGQ16">
        <v>6713</v>
      </c>
      <c r="AGR16">
        <v>1.0725500000000001E-2</v>
      </c>
      <c r="AGS16">
        <v>6713</v>
      </c>
      <c r="AGT16">
        <v>4.26039E-2</v>
      </c>
      <c r="AGU16">
        <v>6713</v>
      </c>
      <c r="AGV16">
        <v>3.5155699999999998E-2</v>
      </c>
      <c r="AGW16">
        <v>6713</v>
      </c>
      <c r="AGX16">
        <v>1.31089E-2</v>
      </c>
      <c r="AGY16">
        <v>273356</v>
      </c>
      <c r="AGZ16">
        <v>2.0211699999999999E-2</v>
      </c>
      <c r="AHA16">
        <v>5525</v>
      </c>
      <c r="AHB16">
        <v>0</v>
      </c>
      <c r="AHC16">
        <v>5525</v>
      </c>
      <c r="AHD16">
        <v>0</v>
      </c>
      <c r="AHE16">
        <v>5525</v>
      </c>
      <c r="AHF16">
        <v>0</v>
      </c>
      <c r="AHG16">
        <v>5525</v>
      </c>
      <c r="AHH16">
        <v>7.9638E-3</v>
      </c>
      <c r="AHI16">
        <v>5525</v>
      </c>
      <c r="AHJ16">
        <v>1.1583700000000001E-2</v>
      </c>
      <c r="AHK16">
        <v>5525</v>
      </c>
      <c r="AHL16">
        <v>1.59276E-2</v>
      </c>
      <c r="AHM16">
        <v>5525</v>
      </c>
      <c r="AHN16">
        <v>5.4479600000000003E-2</v>
      </c>
      <c r="AHO16">
        <v>5525</v>
      </c>
      <c r="AHP16">
        <v>1.99095E-2</v>
      </c>
      <c r="AHQ16">
        <v>5525</v>
      </c>
      <c r="AHR16">
        <v>8.8687999999999996E-3</v>
      </c>
      <c r="AHS16">
        <v>5525</v>
      </c>
      <c r="AHT16">
        <v>2.3348399999999998E-2</v>
      </c>
      <c r="AHU16">
        <v>5525</v>
      </c>
      <c r="AHV16">
        <v>7.9819000000000001E-2</v>
      </c>
      <c r="AHW16">
        <v>5525</v>
      </c>
      <c r="AHX16">
        <v>0.23040720000000001</v>
      </c>
      <c r="AHY16">
        <v>5525</v>
      </c>
      <c r="AHZ16">
        <v>0.30009049999999998</v>
      </c>
      <c r="AIA16">
        <v>5525</v>
      </c>
      <c r="AIB16">
        <v>0.24760180000000001</v>
      </c>
      <c r="AIC16">
        <v>273356</v>
      </c>
      <c r="AID16">
        <v>7.4434100000000003E-2</v>
      </c>
      <c r="AIE16">
        <v>20347</v>
      </c>
      <c r="AIF16">
        <v>0</v>
      </c>
      <c r="AIG16">
        <v>20347</v>
      </c>
      <c r="AIH16">
        <v>0</v>
      </c>
      <c r="AII16">
        <v>20347</v>
      </c>
      <c r="AIJ16">
        <v>0</v>
      </c>
      <c r="AIK16">
        <v>20347</v>
      </c>
      <c r="AIL16">
        <v>1.15005E-2</v>
      </c>
      <c r="AIM16">
        <v>20347</v>
      </c>
      <c r="AIN16">
        <v>7.2885400000000003E-2</v>
      </c>
      <c r="AIO16">
        <v>20347</v>
      </c>
      <c r="AIP16">
        <v>0.10139090000000001</v>
      </c>
      <c r="AIQ16">
        <v>20347</v>
      </c>
      <c r="AIR16">
        <v>8.4926500000000002E-2</v>
      </c>
      <c r="AIS16">
        <v>20347</v>
      </c>
      <c r="AIT16">
        <v>0.1495552</v>
      </c>
      <c r="AIU16">
        <v>20347</v>
      </c>
      <c r="AIV16">
        <v>0.19123209999999999</v>
      </c>
      <c r="AIW16">
        <v>20347</v>
      </c>
      <c r="AIX16">
        <v>0.15304470000000001</v>
      </c>
      <c r="AIY16">
        <v>20347</v>
      </c>
      <c r="AIZ16">
        <v>0.1033076</v>
      </c>
      <c r="AJA16">
        <v>20347</v>
      </c>
      <c r="AJB16">
        <v>0.1096968</v>
      </c>
      <c r="AJC16">
        <v>20347</v>
      </c>
      <c r="AJD16">
        <v>1.37121E-2</v>
      </c>
      <c r="AJE16">
        <v>20347</v>
      </c>
      <c r="AJF16">
        <v>8.7481999999999994E-3</v>
      </c>
      <c r="AJG16">
        <v>551419</v>
      </c>
      <c r="AJH16">
        <v>0.5042681</v>
      </c>
      <c r="AJI16">
        <v>278063</v>
      </c>
      <c r="AJJ16">
        <v>0.25682310000000003</v>
      </c>
      <c r="AJK16">
        <v>71413</v>
      </c>
      <c r="AJL16">
        <v>0.23110639999999999</v>
      </c>
      <c r="AJM16">
        <v>71413</v>
      </c>
      <c r="AJN16">
        <v>0.1351715</v>
      </c>
      <c r="AJO16">
        <v>71413</v>
      </c>
      <c r="AJP16">
        <v>0.21463879999999999</v>
      </c>
      <c r="AJQ16">
        <v>71413</v>
      </c>
      <c r="AJR16">
        <v>0.1483623</v>
      </c>
      <c r="AJS16">
        <v>71413</v>
      </c>
      <c r="AJT16">
        <v>7.5714500000000004E-2</v>
      </c>
      <c r="AJU16">
        <v>71413</v>
      </c>
      <c r="AJV16">
        <v>5.6362299999999997E-2</v>
      </c>
      <c r="AJW16">
        <v>71413</v>
      </c>
      <c r="AJX16">
        <v>2.94484E-2</v>
      </c>
      <c r="AJY16">
        <v>71413</v>
      </c>
      <c r="AJZ16">
        <v>3.2164999999999999E-2</v>
      </c>
      <c r="AKA16">
        <v>71413</v>
      </c>
      <c r="AKB16">
        <v>2.6423800000000001E-2</v>
      </c>
      <c r="AKC16">
        <v>71413</v>
      </c>
      <c r="AKD16">
        <v>1.9198199999999999E-2</v>
      </c>
      <c r="AKE16">
        <v>71413</v>
      </c>
      <c r="AKF16">
        <v>1.4003099999999999E-2</v>
      </c>
      <c r="AKG16">
        <v>71413</v>
      </c>
      <c r="AKH16">
        <v>9.1579999999999995E-3</v>
      </c>
      <c r="AKI16">
        <v>71413</v>
      </c>
      <c r="AKJ16">
        <v>7.5615999999999999E-3</v>
      </c>
      <c r="AKK16">
        <v>71413</v>
      </c>
      <c r="AKL16">
        <v>6.8610000000000003E-4</v>
      </c>
      <c r="AKM16">
        <v>278063</v>
      </c>
      <c r="AKN16">
        <v>0.56943569999999999</v>
      </c>
      <c r="AKO16">
        <v>158339</v>
      </c>
      <c r="AKP16">
        <v>0.92430789999999996</v>
      </c>
      <c r="AKQ16">
        <v>146354</v>
      </c>
      <c r="AKR16">
        <v>0</v>
      </c>
      <c r="AKS16">
        <v>146354</v>
      </c>
      <c r="AKT16">
        <v>7.448E-4</v>
      </c>
      <c r="AKU16">
        <v>146354</v>
      </c>
      <c r="AKV16">
        <v>1.3344399999999999E-2</v>
      </c>
      <c r="AKW16">
        <v>146354</v>
      </c>
      <c r="AKX16">
        <v>4.4050699999999998E-2</v>
      </c>
      <c r="AKY16">
        <v>146354</v>
      </c>
      <c r="AKZ16">
        <v>8.43024E-2</v>
      </c>
      <c r="ALA16">
        <v>146354</v>
      </c>
      <c r="ALB16">
        <v>0.1015756</v>
      </c>
      <c r="ALC16">
        <v>146354</v>
      </c>
      <c r="ALD16">
        <v>0.13621079999999999</v>
      </c>
      <c r="ALE16">
        <v>146354</v>
      </c>
      <c r="ALF16">
        <v>0.14051549999999999</v>
      </c>
      <c r="ALG16">
        <v>146354</v>
      </c>
      <c r="ALH16">
        <v>0.13887559999999999</v>
      </c>
      <c r="ALI16">
        <v>146354</v>
      </c>
      <c r="ALJ16">
        <v>0.1086749</v>
      </c>
      <c r="ALK16">
        <v>146354</v>
      </c>
      <c r="ALL16">
        <v>9.47292E-2</v>
      </c>
      <c r="ALM16">
        <v>146354</v>
      </c>
      <c r="ALN16">
        <v>9.3635999999999997E-2</v>
      </c>
      <c r="ALO16">
        <v>146354</v>
      </c>
      <c r="ALP16">
        <v>3.6712399999999999E-2</v>
      </c>
      <c r="ALQ16">
        <v>146354</v>
      </c>
      <c r="ALR16">
        <v>6.6277999999999997E-3</v>
      </c>
      <c r="ALS16">
        <v>158339</v>
      </c>
      <c r="ALT16">
        <v>7.5691999999999995E-2</v>
      </c>
      <c r="ALU16">
        <v>11985</v>
      </c>
      <c r="ALV16">
        <v>0.45715479999999997</v>
      </c>
      <c r="ALW16">
        <v>5479</v>
      </c>
      <c r="ALX16">
        <v>7.8481000000000002E-3</v>
      </c>
      <c r="ALY16">
        <v>5479</v>
      </c>
      <c r="ALZ16">
        <v>0</v>
      </c>
      <c r="AMA16">
        <v>5479</v>
      </c>
      <c r="AMB16">
        <v>0.1100566</v>
      </c>
      <c r="AMC16">
        <v>5479</v>
      </c>
      <c r="AMD16">
        <v>4.43512E-2</v>
      </c>
      <c r="AME16">
        <v>5479</v>
      </c>
      <c r="AMF16">
        <v>0.1098741</v>
      </c>
      <c r="AMG16">
        <v>5479</v>
      </c>
      <c r="AMH16">
        <v>0.13086329999999999</v>
      </c>
      <c r="AMI16">
        <v>5479</v>
      </c>
      <c r="AMJ16">
        <v>9.8193100000000005E-2</v>
      </c>
      <c r="AMK16">
        <v>5479</v>
      </c>
      <c r="AML16">
        <v>0.16846140000000001</v>
      </c>
      <c r="AMM16">
        <v>5479</v>
      </c>
      <c r="AMN16">
        <v>0.15039240000000001</v>
      </c>
      <c r="AMO16">
        <v>5479</v>
      </c>
      <c r="AMP16">
        <v>5.6397200000000001E-2</v>
      </c>
      <c r="AMQ16">
        <v>5479</v>
      </c>
      <c r="AMR16">
        <v>7.19109E-2</v>
      </c>
      <c r="AMS16">
        <v>5479</v>
      </c>
      <c r="AMT16">
        <v>5.1651799999999998E-2</v>
      </c>
      <c r="AMU16">
        <v>5479</v>
      </c>
      <c r="AMV16">
        <v>0</v>
      </c>
      <c r="AMW16">
        <v>5479</v>
      </c>
      <c r="AMX16">
        <v>0</v>
      </c>
      <c r="AMY16">
        <v>11985</v>
      </c>
      <c r="AMZ16">
        <v>0.54284520000000003</v>
      </c>
      <c r="ANA16">
        <v>6506</v>
      </c>
      <c r="ANB16">
        <v>0</v>
      </c>
      <c r="ANC16">
        <v>6506</v>
      </c>
      <c r="AND16">
        <v>3.6888999999999998E-2</v>
      </c>
      <c r="ANE16">
        <v>6506</v>
      </c>
      <c r="ANF16">
        <v>0.1870581</v>
      </c>
      <c r="ANG16">
        <v>6506</v>
      </c>
      <c r="ANH16">
        <v>8.2231799999999994E-2</v>
      </c>
      <c r="ANI16">
        <v>6506</v>
      </c>
      <c r="ANJ16">
        <v>9.1146599999999994E-2</v>
      </c>
      <c r="ANK16">
        <v>6506</v>
      </c>
      <c r="ANL16">
        <v>8.7611400000000006E-2</v>
      </c>
      <c r="ANM16">
        <v>6506</v>
      </c>
      <c r="ANN16">
        <v>0.1035967</v>
      </c>
      <c r="ANO16">
        <v>6506</v>
      </c>
      <c r="ANP16">
        <v>6.7015099999999994E-2</v>
      </c>
      <c r="ANQ16">
        <v>6506</v>
      </c>
      <c r="ANR16">
        <v>0.1118967</v>
      </c>
      <c r="ANS16">
        <v>6506</v>
      </c>
      <c r="ANT16">
        <v>7.0704000000000003E-2</v>
      </c>
      <c r="ANU16">
        <v>6506</v>
      </c>
      <c r="ANV16">
        <v>5.10298E-2</v>
      </c>
      <c r="ANW16">
        <v>6506</v>
      </c>
      <c r="ANX16">
        <v>3.9348300000000003E-2</v>
      </c>
      <c r="ANY16">
        <v>6506</v>
      </c>
      <c r="ANZ16">
        <v>3.5352000000000001E-2</v>
      </c>
      <c r="AOA16">
        <v>6506</v>
      </c>
      <c r="AOB16">
        <v>3.61205E-2</v>
      </c>
      <c r="AOC16">
        <v>278063</v>
      </c>
      <c r="AOD16">
        <v>7.6475500000000002E-2</v>
      </c>
      <c r="AOE16">
        <v>21265</v>
      </c>
      <c r="AOF16">
        <v>0</v>
      </c>
      <c r="AOG16">
        <v>21265</v>
      </c>
      <c r="AOH16">
        <v>0</v>
      </c>
      <c r="AOI16">
        <v>21265</v>
      </c>
      <c r="AOJ16">
        <v>0</v>
      </c>
      <c r="AOK16">
        <v>21265</v>
      </c>
      <c r="AOL16">
        <v>0</v>
      </c>
      <c r="AOM16">
        <v>21265</v>
      </c>
      <c r="AON16">
        <v>0</v>
      </c>
      <c r="AOO16">
        <v>21265</v>
      </c>
      <c r="AOP16">
        <v>0</v>
      </c>
      <c r="AOQ16">
        <v>21265</v>
      </c>
      <c r="AOR16">
        <v>2.9626000000000001E-3</v>
      </c>
      <c r="AOS16">
        <v>21265</v>
      </c>
      <c r="AOT16">
        <v>1.20856E-2</v>
      </c>
      <c r="AOU16">
        <v>21265</v>
      </c>
      <c r="AOV16">
        <v>4.1382599999999999E-2</v>
      </c>
      <c r="AOW16">
        <v>21265</v>
      </c>
      <c r="AOX16">
        <v>7.8203599999999998E-2</v>
      </c>
      <c r="AOY16">
        <v>21265</v>
      </c>
      <c r="AOZ16">
        <v>8.9489799999999994E-2</v>
      </c>
      <c r="APA16">
        <v>21265</v>
      </c>
      <c r="APB16">
        <v>0.2291089</v>
      </c>
      <c r="APC16">
        <v>21265</v>
      </c>
      <c r="APD16">
        <v>0.28102519999999998</v>
      </c>
      <c r="APE16">
        <v>21265</v>
      </c>
      <c r="APF16">
        <v>0.26574179999999997</v>
      </c>
      <c r="APG16">
        <v>278063</v>
      </c>
      <c r="APH16">
        <v>9.7265699999999997E-2</v>
      </c>
      <c r="API16">
        <v>27046</v>
      </c>
      <c r="APJ16">
        <v>0</v>
      </c>
      <c r="APK16">
        <v>27046</v>
      </c>
      <c r="APL16">
        <v>0</v>
      </c>
      <c r="APM16">
        <v>27046</v>
      </c>
      <c r="APN16">
        <v>5.6201000000000003E-3</v>
      </c>
      <c r="APO16">
        <v>27046</v>
      </c>
      <c r="APP16">
        <v>2.7212900000000002E-2</v>
      </c>
      <c r="APQ16">
        <v>27046</v>
      </c>
      <c r="APR16">
        <v>5.0284700000000002E-2</v>
      </c>
      <c r="APS16">
        <v>27046</v>
      </c>
      <c r="APT16">
        <v>8.8700699999999993E-2</v>
      </c>
      <c r="APU16">
        <v>27046</v>
      </c>
      <c r="APV16">
        <v>0.1056718</v>
      </c>
      <c r="APW16">
        <v>27046</v>
      </c>
      <c r="APX16">
        <v>0.1344746</v>
      </c>
      <c r="APY16">
        <v>27046</v>
      </c>
      <c r="APZ16">
        <v>0.15458849999999999</v>
      </c>
      <c r="AQA16">
        <v>27046</v>
      </c>
      <c r="AQB16">
        <v>0.1248244</v>
      </c>
      <c r="AQC16">
        <v>27046</v>
      </c>
      <c r="AQD16">
        <v>0.1071138</v>
      </c>
      <c r="AQE16">
        <v>27046</v>
      </c>
      <c r="AQF16">
        <v>0.14723059999999999</v>
      </c>
      <c r="AQG16">
        <v>27046</v>
      </c>
      <c r="AQH16">
        <v>4.3444499999999997E-2</v>
      </c>
      <c r="AQI16">
        <v>27046</v>
      </c>
      <c r="AQJ16">
        <v>1.08334E-2</v>
      </c>
      <c r="AQK16">
        <v>88738</v>
      </c>
      <c r="AQL16">
        <v>0.1766549</v>
      </c>
      <c r="AQM16">
        <v>241819</v>
      </c>
      <c r="AQN16">
        <v>0.74624000000000001</v>
      </c>
      <c r="AQO16">
        <v>180455</v>
      </c>
      <c r="AQP16">
        <v>0.78523180000000004</v>
      </c>
      <c r="AQQ16">
        <v>141699</v>
      </c>
      <c r="AQR16">
        <v>0.86005540000000003</v>
      </c>
      <c r="AQS16">
        <v>121869</v>
      </c>
      <c r="AQT16">
        <v>0.45224789999999998</v>
      </c>
      <c r="AQU16">
        <v>121869</v>
      </c>
      <c r="AQV16">
        <v>0.54775209999999996</v>
      </c>
      <c r="AQW16">
        <v>141699</v>
      </c>
      <c r="AQX16">
        <v>0.1399445</v>
      </c>
      <c r="AQY16">
        <v>19830</v>
      </c>
      <c r="AQZ16">
        <v>0.26359050000000001</v>
      </c>
      <c r="ARA16">
        <v>5227</v>
      </c>
      <c r="ARB16">
        <v>0.42223070000000001</v>
      </c>
      <c r="ARC16">
        <v>5227</v>
      </c>
      <c r="ARD16">
        <v>0.57776930000000004</v>
      </c>
      <c r="ARE16">
        <v>19830</v>
      </c>
      <c r="ARF16">
        <v>0.73640950000000005</v>
      </c>
      <c r="ARG16">
        <v>14603</v>
      </c>
      <c r="ARH16">
        <v>0.4673697</v>
      </c>
      <c r="ARI16">
        <v>14603</v>
      </c>
      <c r="ARJ16">
        <v>0.5326303</v>
      </c>
      <c r="ARK16">
        <v>180455</v>
      </c>
      <c r="ARL16">
        <v>0.21476819999999999</v>
      </c>
      <c r="ARM16">
        <v>241819</v>
      </c>
      <c r="ARN16">
        <v>0.25375999999999999</v>
      </c>
      <c r="ARO16">
        <v>61364</v>
      </c>
      <c r="ARP16">
        <v>0.58483799999999997</v>
      </c>
      <c r="ARQ16">
        <v>35888</v>
      </c>
      <c r="ARR16">
        <v>0.56052159999999995</v>
      </c>
      <c r="ARS16">
        <v>20116</v>
      </c>
      <c r="ART16">
        <v>0.65355929999999995</v>
      </c>
      <c r="ARU16">
        <v>20116</v>
      </c>
      <c r="ARV16">
        <v>0.34644059999999999</v>
      </c>
      <c r="ARW16">
        <v>35888</v>
      </c>
      <c r="ARX16">
        <v>0.43947839999999999</v>
      </c>
      <c r="ARY16">
        <v>15772</v>
      </c>
      <c r="ARZ16">
        <v>0.25519910000000001</v>
      </c>
      <c r="ASA16">
        <v>4025</v>
      </c>
      <c r="ASB16">
        <v>0.64422360000000001</v>
      </c>
      <c r="ASC16">
        <v>4025</v>
      </c>
      <c r="ASD16">
        <v>0.35577639999999999</v>
      </c>
      <c r="ASE16">
        <v>15772</v>
      </c>
      <c r="ASF16">
        <v>0.74480089999999999</v>
      </c>
      <c r="ASG16">
        <v>11747</v>
      </c>
      <c r="ASH16">
        <v>0.75346900000000006</v>
      </c>
      <c r="ASI16">
        <v>11747</v>
      </c>
      <c r="ASJ16">
        <v>0.246531</v>
      </c>
      <c r="ASK16">
        <v>61364</v>
      </c>
      <c r="ASL16">
        <v>0.41516199999999998</v>
      </c>
      <c r="ASM16">
        <v>232462</v>
      </c>
      <c r="ASN16">
        <v>0.57836980000000004</v>
      </c>
      <c r="ASO16">
        <v>134449</v>
      </c>
      <c r="ASP16">
        <v>0.45887289999999997</v>
      </c>
      <c r="ASQ16">
        <v>61695</v>
      </c>
      <c r="ASR16">
        <v>0.55720879999999995</v>
      </c>
      <c r="ASS16">
        <v>34377</v>
      </c>
      <c r="AST16">
        <v>0.7454693</v>
      </c>
      <c r="ASU16">
        <v>34377</v>
      </c>
      <c r="ASV16">
        <v>0.2545306</v>
      </c>
      <c r="ASW16">
        <v>61695</v>
      </c>
      <c r="ASX16">
        <v>0.2467299</v>
      </c>
      <c r="ASY16">
        <v>15222</v>
      </c>
      <c r="ASZ16">
        <v>0.60668770000000005</v>
      </c>
      <c r="ATA16">
        <v>15222</v>
      </c>
      <c r="ATB16">
        <v>0.30409930000000002</v>
      </c>
      <c r="ATC16">
        <v>15222</v>
      </c>
      <c r="ATD16">
        <v>8.9213000000000001E-2</v>
      </c>
      <c r="ATE16">
        <v>61695</v>
      </c>
      <c r="ATF16">
        <v>0.14103250000000001</v>
      </c>
      <c r="ATG16">
        <v>8701</v>
      </c>
      <c r="ATH16">
        <v>8.6541800000000002E-2</v>
      </c>
      <c r="ATI16">
        <v>8701</v>
      </c>
      <c r="ATJ16">
        <v>0.3066314</v>
      </c>
      <c r="ATK16">
        <v>8701</v>
      </c>
      <c r="ATL16">
        <v>0.28226639999999997</v>
      </c>
      <c r="ATM16">
        <v>8701</v>
      </c>
      <c r="ATN16">
        <v>0.32456040000000003</v>
      </c>
      <c r="ATO16">
        <v>61695</v>
      </c>
      <c r="ATP16">
        <v>5.5028800000000003E-2</v>
      </c>
      <c r="ATQ16">
        <v>3395</v>
      </c>
      <c r="ATR16">
        <v>0.84153169999999999</v>
      </c>
      <c r="ATS16">
        <v>3395</v>
      </c>
      <c r="ATT16">
        <v>0.15846830000000001</v>
      </c>
      <c r="ATU16">
        <v>134449</v>
      </c>
      <c r="ATV16">
        <v>0.10415099999999999</v>
      </c>
      <c r="ATW16">
        <v>14003</v>
      </c>
      <c r="ATX16">
        <v>2.2280899999999999E-2</v>
      </c>
      <c r="ATY16">
        <v>14003</v>
      </c>
      <c r="ATZ16">
        <v>0.1735342</v>
      </c>
      <c r="AUA16">
        <v>2430</v>
      </c>
      <c r="AUB16">
        <v>0.57901230000000004</v>
      </c>
      <c r="AUC16">
        <v>2430</v>
      </c>
      <c r="AUD16">
        <v>0.42098770000000002</v>
      </c>
      <c r="AUE16">
        <v>14003</v>
      </c>
      <c r="AUF16">
        <v>0.31186180000000002</v>
      </c>
      <c r="AUG16">
        <v>14003</v>
      </c>
      <c r="AUH16">
        <v>0.358209</v>
      </c>
      <c r="AUI16">
        <v>14003</v>
      </c>
      <c r="AUJ16">
        <v>0.13411410000000001</v>
      </c>
      <c r="AUK16">
        <v>134449</v>
      </c>
      <c r="AUL16">
        <v>0.20979700000000001</v>
      </c>
      <c r="AUM16">
        <v>28207</v>
      </c>
      <c r="AUN16">
        <v>0.64420180000000005</v>
      </c>
      <c r="AUO16">
        <v>28207</v>
      </c>
      <c r="AUP16">
        <v>0.35579820000000001</v>
      </c>
      <c r="AUQ16">
        <v>134449</v>
      </c>
      <c r="AUR16">
        <v>8.8256500000000002E-2</v>
      </c>
      <c r="AUS16">
        <v>11866</v>
      </c>
      <c r="AUT16">
        <v>3.6237999999999999E-3</v>
      </c>
      <c r="AUU16">
        <v>11866</v>
      </c>
      <c r="AUV16">
        <v>0.47362209999999999</v>
      </c>
      <c r="AUW16">
        <v>11866</v>
      </c>
      <c r="AUX16">
        <v>0.5227541</v>
      </c>
      <c r="AUY16">
        <v>134449</v>
      </c>
      <c r="AUZ16">
        <v>0.13892260000000001</v>
      </c>
      <c r="AVA16">
        <v>18678</v>
      </c>
      <c r="AVB16">
        <v>0.59706599999999999</v>
      </c>
      <c r="AVC16">
        <v>18678</v>
      </c>
      <c r="AVD16">
        <v>0.25714740000000003</v>
      </c>
      <c r="AVE16">
        <v>18678</v>
      </c>
      <c r="AVF16">
        <v>0.14578650000000001</v>
      </c>
      <c r="AVG16">
        <v>232462</v>
      </c>
      <c r="AVH16">
        <v>0.42163020000000001</v>
      </c>
      <c r="AVI16">
        <v>98013</v>
      </c>
      <c r="AVJ16">
        <v>0.46580559999999999</v>
      </c>
      <c r="AVK16">
        <v>45655</v>
      </c>
      <c r="AVL16">
        <v>0.47696860000000002</v>
      </c>
      <c r="AVM16">
        <v>21776</v>
      </c>
      <c r="AVN16">
        <v>0.6039677</v>
      </c>
      <c r="AVO16">
        <v>21776</v>
      </c>
      <c r="AVP16">
        <v>0.3960323</v>
      </c>
      <c r="AVQ16">
        <v>45655</v>
      </c>
      <c r="AVR16">
        <v>0.1166137</v>
      </c>
      <c r="AVS16">
        <v>5324</v>
      </c>
      <c r="AVT16">
        <v>0.62396689999999999</v>
      </c>
      <c r="AVU16">
        <v>5324</v>
      </c>
      <c r="AVV16">
        <v>0.1703606</v>
      </c>
      <c r="AVW16">
        <v>5324</v>
      </c>
      <c r="AVX16">
        <v>0.20567240000000001</v>
      </c>
      <c r="AVY16">
        <v>45655</v>
      </c>
      <c r="AVZ16">
        <v>0.24426680000000001</v>
      </c>
      <c r="AWA16">
        <v>11152</v>
      </c>
      <c r="AWB16">
        <v>0.12383429999999999</v>
      </c>
      <c r="AWC16">
        <v>11152</v>
      </c>
      <c r="AWD16">
        <v>7.3529399999999995E-2</v>
      </c>
      <c r="AWE16">
        <v>11152</v>
      </c>
      <c r="AWF16">
        <v>0.66113699999999997</v>
      </c>
      <c r="AWG16">
        <v>11152</v>
      </c>
      <c r="AWH16">
        <v>0.14149929999999999</v>
      </c>
      <c r="AWI16">
        <v>45655</v>
      </c>
      <c r="AWJ16">
        <v>0.16215089999999999</v>
      </c>
      <c r="AWK16">
        <v>7403</v>
      </c>
      <c r="AWL16">
        <v>0.77090369999999997</v>
      </c>
      <c r="AWM16">
        <v>7403</v>
      </c>
      <c r="AWN16">
        <v>0.2290963</v>
      </c>
      <c r="AWO16">
        <v>98013</v>
      </c>
      <c r="AWP16">
        <v>0.12766669999999999</v>
      </c>
      <c r="AWQ16">
        <v>12513</v>
      </c>
      <c r="AWR16">
        <v>0.23543510000000001</v>
      </c>
      <c r="AWS16">
        <v>12513</v>
      </c>
      <c r="AWT16">
        <v>3.7241299999999998E-2</v>
      </c>
      <c r="AWU16">
        <v>466</v>
      </c>
      <c r="AWV16">
        <v>0.92274679999999998</v>
      </c>
      <c r="AWW16">
        <v>466</v>
      </c>
      <c r="AWX16">
        <v>7.7253199999999994E-2</v>
      </c>
      <c r="AWY16">
        <v>12513</v>
      </c>
      <c r="AWZ16">
        <v>0.20954210000000001</v>
      </c>
      <c r="AXA16">
        <v>12513</v>
      </c>
      <c r="AXB16">
        <v>0.22600500000000001</v>
      </c>
      <c r="AXC16">
        <v>12513</v>
      </c>
      <c r="AXD16">
        <v>0.29177649999999999</v>
      </c>
      <c r="AXE16">
        <v>98013</v>
      </c>
      <c r="AXF16">
        <v>0.32270209999999999</v>
      </c>
      <c r="AXG16">
        <v>31629</v>
      </c>
      <c r="AXH16">
        <v>0.32476519999999998</v>
      </c>
      <c r="AXI16">
        <v>31629</v>
      </c>
      <c r="AXJ16">
        <v>0.67523469999999997</v>
      </c>
      <c r="AXK16">
        <v>98013</v>
      </c>
      <c r="AXL16">
        <v>5.5401000000000001E-3</v>
      </c>
      <c r="AXM16">
        <v>543</v>
      </c>
      <c r="AXN16">
        <v>9.9447499999999994E-2</v>
      </c>
      <c r="AXO16">
        <v>543</v>
      </c>
      <c r="AXP16">
        <v>0.36095769999999999</v>
      </c>
      <c r="AXQ16">
        <v>543</v>
      </c>
      <c r="AXR16">
        <v>0.53959480000000004</v>
      </c>
      <c r="AXS16">
        <v>98013</v>
      </c>
      <c r="AXT16">
        <v>7.8285499999999994E-2</v>
      </c>
      <c r="AXU16">
        <v>7673</v>
      </c>
      <c r="AXV16">
        <v>0.76879969999999997</v>
      </c>
      <c r="AXW16">
        <v>7673</v>
      </c>
      <c r="AXX16">
        <v>7.5850399999999998E-2</v>
      </c>
      <c r="AXY16">
        <v>7673</v>
      </c>
      <c r="AXZ16">
        <v>0.15534990000000001</v>
      </c>
      <c r="AYA16">
        <v>36617</v>
      </c>
      <c r="AYB16">
        <v>1.64405E-2</v>
      </c>
      <c r="AYC16">
        <v>36617</v>
      </c>
      <c r="AYD16">
        <v>0.1173772</v>
      </c>
      <c r="AYE16">
        <v>36617</v>
      </c>
      <c r="AYF16">
        <v>0.38793460000000002</v>
      </c>
      <c r="AYG16">
        <v>36617</v>
      </c>
      <c r="AYH16">
        <v>0.32154460000000001</v>
      </c>
      <c r="AYI16">
        <v>36617</v>
      </c>
      <c r="AYJ16">
        <v>5.6695000000000002E-2</v>
      </c>
      <c r="AYK16">
        <v>36617</v>
      </c>
      <c r="AYL16">
        <v>9.3426499999999996E-2</v>
      </c>
      <c r="AYM16">
        <v>36617</v>
      </c>
      <c r="AYN16">
        <v>6.5816E-3</v>
      </c>
      <c r="AYO16">
        <v>40344</v>
      </c>
      <c r="AYP16">
        <v>4.2707700000000001E-2</v>
      </c>
      <c r="AYQ16">
        <v>40344</v>
      </c>
      <c r="AYR16">
        <v>0.1103262</v>
      </c>
      <c r="AYS16">
        <v>40344</v>
      </c>
      <c r="AYT16">
        <v>0.2342851</v>
      </c>
      <c r="AYU16">
        <v>40344</v>
      </c>
      <c r="AYV16">
        <v>0.21210090000000001</v>
      </c>
      <c r="AYW16">
        <v>40344</v>
      </c>
      <c r="AYX16">
        <v>7.09399E-2</v>
      </c>
      <c r="AYY16">
        <v>40344</v>
      </c>
      <c r="AYZ16">
        <v>0.27034999999999998</v>
      </c>
      <c r="AZA16">
        <v>40344</v>
      </c>
      <c r="AZB16">
        <v>5.9290099999999998E-2</v>
      </c>
      <c r="AZC16">
        <v>46556</v>
      </c>
      <c r="AZD16">
        <v>7.1354899999999999E-2</v>
      </c>
      <c r="AZE16">
        <v>46556</v>
      </c>
      <c r="AZF16">
        <v>4.9102199999999999E-2</v>
      </c>
      <c r="AZG16">
        <v>46556</v>
      </c>
      <c r="AZH16">
        <v>0.2205086</v>
      </c>
      <c r="AZI16">
        <v>46556</v>
      </c>
      <c r="AZJ16">
        <v>0.1772919</v>
      </c>
      <c r="AZK16">
        <v>46556</v>
      </c>
      <c r="AZL16">
        <v>5.0734599999999998E-2</v>
      </c>
      <c r="AZM16">
        <v>46556</v>
      </c>
      <c r="AZN16">
        <v>0.25360860000000002</v>
      </c>
      <c r="AZO16">
        <v>46556</v>
      </c>
      <c r="AZP16">
        <v>0.17739930000000001</v>
      </c>
      <c r="AZQ16">
        <v>97259</v>
      </c>
      <c r="AZR16">
        <v>4.7049599999999997E-2</v>
      </c>
      <c r="AZS16">
        <v>97259</v>
      </c>
      <c r="AZT16">
        <v>5.7681000000000003E-2</v>
      </c>
      <c r="AZU16">
        <v>97259</v>
      </c>
      <c r="AZV16">
        <v>0.1984804</v>
      </c>
      <c r="AZW16">
        <v>97259</v>
      </c>
      <c r="AZX16">
        <v>0.1741741</v>
      </c>
      <c r="AZY16">
        <v>97259</v>
      </c>
      <c r="AZZ16">
        <v>4.2042400000000001E-2</v>
      </c>
      <c r="BAA16">
        <v>97259</v>
      </c>
      <c r="BAB16">
        <v>0.2600479</v>
      </c>
      <c r="BAC16">
        <v>97259</v>
      </c>
      <c r="BAD16">
        <v>0.22052459999999999</v>
      </c>
      <c r="BAE16">
        <v>35053</v>
      </c>
      <c r="BAF16">
        <v>5.44889E-2</v>
      </c>
      <c r="BAG16">
        <v>35053</v>
      </c>
      <c r="BAH16">
        <v>7.1177900000000002E-2</v>
      </c>
      <c r="BAI16">
        <v>35053</v>
      </c>
      <c r="BAJ16">
        <v>0.2338459</v>
      </c>
      <c r="BAK16">
        <v>35053</v>
      </c>
      <c r="BAL16">
        <v>0.1630103</v>
      </c>
      <c r="BAM16">
        <v>35053</v>
      </c>
      <c r="BAN16">
        <v>3.7999600000000001E-2</v>
      </c>
      <c r="BAO16">
        <v>35053</v>
      </c>
      <c r="BAP16">
        <v>0.21555930000000001</v>
      </c>
      <c r="BAQ16">
        <v>35053</v>
      </c>
      <c r="BAR16">
        <v>0.22391810000000001</v>
      </c>
      <c r="BAS16">
        <v>29255</v>
      </c>
      <c r="BAT16">
        <v>1.03914E-2</v>
      </c>
      <c r="BAU16">
        <v>29255</v>
      </c>
      <c r="BAV16">
        <v>0.12110750000000001</v>
      </c>
      <c r="BAW16">
        <v>29255</v>
      </c>
      <c r="BAX16">
        <v>0.27041530000000003</v>
      </c>
      <c r="BAY16">
        <v>29255</v>
      </c>
      <c r="BAZ16">
        <v>0.41295500000000002</v>
      </c>
      <c r="BBA16">
        <v>29255</v>
      </c>
      <c r="BBB16">
        <v>5.85199E-2</v>
      </c>
      <c r="BBC16">
        <v>29255</v>
      </c>
      <c r="BBD16">
        <v>0.10859679999999999</v>
      </c>
      <c r="BBE16">
        <v>29255</v>
      </c>
      <c r="BBF16">
        <v>1.8013999999999999E-2</v>
      </c>
      <c r="BBG16">
        <v>38856</v>
      </c>
      <c r="BBH16">
        <v>6.8200499999999997E-2</v>
      </c>
      <c r="BBI16">
        <v>38856</v>
      </c>
      <c r="BBJ16">
        <v>5.2166999999999998E-2</v>
      </c>
      <c r="BBK16">
        <v>38856</v>
      </c>
      <c r="BBL16">
        <v>0.19574839999999999</v>
      </c>
      <c r="BBM16">
        <v>38856</v>
      </c>
      <c r="BBN16">
        <v>0.19217110000000001</v>
      </c>
      <c r="BBO16">
        <v>38856</v>
      </c>
      <c r="BBP16">
        <v>8.2844299999999996E-2</v>
      </c>
      <c r="BBQ16">
        <v>38856</v>
      </c>
      <c r="BBR16">
        <v>0.26361440000000003</v>
      </c>
      <c r="BBS16">
        <v>38856</v>
      </c>
      <c r="BBT16">
        <v>0.1452543</v>
      </c>
      <c r="BBU16">
        <v>48748</v>
      </c>
      <c r="BBV16">
        <v>5.60844E-2</v>
      </c>
      <c r="BBW16">
        <v>48748</v>
      </c>
      <c r="BBX16">
        <v>3.7498999999999998E-2</v>
      </c>
      <c r="BBY16">
        <v>48748</v>
      </c>
      <c r="BBZ16">
        <v>0.17223269999999999</v>
      </c>
      <c r="BCA16">
        <v>48748</v>
      </c>
      <c r="BCB16">
        <v>0.15225240000000001</v>
      </c>
      <c r="BCC16">
        <v>48748</v>
      </c>
      <c r="BCD16">
        <v>8.2403400000000002E-2</v>
      </c>
      <c r="BCE16">
        <v>48748</v>
      </c>
      <c r="BCF16">
        <v>0.30372529999999998</v>
      </c>
      <c r="BCG16">
        <v>48748</v>
      </c>
      <c r="BCH16">
        <v>0.1958029</v>
      </c>
      <c r="BCI16">
        <v>100414</v>
      </c>
      <c r="BCJ16">
        <v>4.2733100000000003E-2</v>
      </c>
      <c r="BCK16">
        <v>100414</v>
      </c>
      <c r="BCL16">
        <v>3.59014E-2</v>
      </c>
      <c r="BCM16">
        <v>100414</v>
      </c>
      <c r="BCN16">
        <v>0.19360849999999999</v>
      </c>
      <c r="BCO16">
        <v>100414</v>
      </c>
      <c r="BCP16">
        <v>0.19411639999999999</v>
      </c>
      <c r="BCQ16">
        <v>100414</v>
      </c>
      <c r="BCR16">
        <v>9.0953500000000007E-2</v>
      </c>
      <c r="BCS16">
        <v>100414</v>
      </c>
      <c r="BCT16">
        <v>0.28184320000000002</v>
      </c>
      <c r="BCU16">
        <v>100414</v>
      </c>
      <c r="BCV16">
        <v>0.16084409999999999</v>
      </c>
      <c r="BCW16">
        <v>44243</v>
      </c>
      <c r="BCX16">
        <v>7.8679100000000002E-2</v>
      </c>
      <c r="BCY16">
        <v>44243</v>
      </c>
      <c r="BCZ16">
        <v>6.9231299999999996E-2</v>
      </c>
      <c r="BDA16">
        <v>44243</v>
      </c>
      <c r="BDB16">
        <v>0.32875260000000001</v>
      </c>
      <c r="BDC16">
        <v>44243</v>
      </c>
      <c r="BDD16">
        <v>0.22358339999999999</v>
      </c>
      <c r="BDE16">
        <v>44243</v>
      </c>
      <c r="BDF16">
        <v>3.26153E-2</v>
      </c>
      <c r="BDG16">
        <v>44243</v>
      </c>
      <c r="BDH16">
        <v>0.17270530000000001</v>
      </c>
      <c r="BDI16">
        <v>44243</v>
      </c>
      <c r="BDJ16">
        <v>9.4433000000000003E-2</v>
      </c>
      <c r="BDK16">
        <v>162192</v>
      </c>
      <c r="BDL16">
        <v>5.4928699999999997E-2</v>
      </c>
      <c r="BDM16">
        <v>8909</v>
      </c>
      <c r="BDN16">
        <v>0.78740600000000005</v>
      </c>
      <c r="BDO16">
        <v>7015</v>
      </c>
      <c r="BDP16">
        <v>0.6142552</v>
      </c>
      <c r="BDQ16">
        <v>7015</v>
      </c>
      <c r="BDR16">
        <v>0.3857448</v>
      </c>
      <c r="BDS16">
        <v>8909</v>
      </c>
      <c r="BDT16">
        <v>0.21259400000000001</v>
      </c>
      <c r="BDU16">
        <v>1894</v>
      </c>
      <c r="BDV16">
        <v>0.74392820000000004</v>
      </c>
      <c r="BDW16">
        <v>1894</v>
      </c>
      <c r="BDX16">
        <v>0.25607180000000002</v>
      </c>
      <c r="BDY16">
        <v>162192</v>
      </c>
      <c r="BDZ16">
        <v>0.94507129999999995</v>
      </c>
      <c r="BEA16">
        <v>153283</v>
      </c>
      <c r="BEB16">
        <v>0.5297326</v>
      </c>
      <c r="BEC16">
        <v>81199</v>
      </c>
      <c r="BED16">
        <v>0.74005840000000001</v>
      </c>
      <c r="BEE16">
        <v>81199</v>
      </c>
      <c r="BEF16">
        <v>0.25994159999999999</v>
      </c>
      <c r="BEG16">
        <v>153283</v>
      </c>
      <c r="BEH16">
        <v>0.4702674</v>
      </c>
      <c r="BEI16">
        <v>72084</v>
      </c>
      <c r="BEJ16">
        <v>0.72221299999999999</v>
      </c>
      <c r="BEK16">
        <v>72084</v>
      </c>
      <c r="BEL16">
        <v>0.27778700000000001</v>
      </c>
      <c r="BEM16">
        <v>341554</v>
      </c>
      <c r="BEN16">
        <v>0.54012249999999995</v>
      </c>
      <c r="BEO16">
        <v>184481</v>
      </c>
      <c r="BEP16">
        <v>0.92784630000000001</v>
      </c>
      <c r="BEQ16">
        <v>171170</v>
      </c>
      <c r="BER16">
        <v>0.20387920000000001</v>
      </c>
      <c r="BES16">
        <v>171170</v>
      </c>
      <c r="BET16">
        <v>0.79612079999999996</v>
      </c>
      <c r="BEU16">
        <v>184481</v>
      </c>
      <c r="BEV16">
        <v>7.2153800000000004E-2</v>
      </c>
      <c r="BEW16">
        <v>341554</v>
      </c>
      <c r="BEX16">
        <v>0.45987749999999999</v>
      </c>
      <c r="BEY16">
        <v>157073</v>
      </c>
      <c r="BEZ16">
        <v>0.93378240000000001</v>
      </c>
      <c r="BFA16">
        <v>146672</v>
      </c>
      <c r="BFB16">
        <v>0.221576</v>
      </c>
      <c r="BFC16">
        <v>146672</v>
      </c>
      <c r="BFD16">
        <v>0.778424</v>
      </c>
      <c r="BFE16">
        <v>157073</v>
      </c>
      <c r="BFF16">
        <v>6.6217600000000001E-2</v>
      </c>
      <c r="BFG16">
        <v>350491</v>
      </c>
      <c r="BFH16">
        <v>0.27008399999999999</v>
      </c>
      <c r="BFI16">
        <v>94662</v>
      </c>
      <c r="BFJ16">
        <v>0.96535040000000005</v>
      </c>
      <c r="BFK16">
        <v>94662</v>
      </c>
      <c r="BFL16">
        <v>3.4649600000000003E-2</v>
      </c>
      <c r="BFM16">
        <v>3280</v>
      </c>
      <c r="BFN16">
        <v>0.29817070000000001</v>
      </c>
      <c r="BFO16">
        <v>3280</v>
      </c>
      <c r="BFP16">
        <v>0.70182929999999999</v>
      </c>
      <c r="BFQ16">
        <v>350491</v>
      </c>
      <c r="BFR16">
        <v>0.72991600000000001</v>
      </c>
      <c r="BFS16">
        <v>255829</v>
      </c>
      <c r="BFT16">
        <v>0.76527679999999998</v>
      </c>
      <c r="BFU16">
        <v>255829</v>
      </c>
      <c r="BFV16">
        <v>0.23472319999999999</v>
      </c>
      <c r="BFW16">
        <v>60049</v>
      </c>
      <c r="BFX16">
        <v>0.4851705</v>
      </c>
      <c r="BFY16">
        <v>60049</v>
      </c>
      <c r="BFZ16">
        <v>0.5148296</v>
      </c>
      <c r="BGA16">
        <v>351629</v>
      </c>
      <c r="BGB16">
        <v>0.25627290000000003</v>
      </c>
      <c r="BGC16">
        <v>90113</v>
      </c>
      <c r="BGD16">
        <v>0.96403399999999995</v>
      </c>
      <c r="BGE16">
        <v>90113</v>
      </c>
      <c r="BGF16">
        <v>3.5965999999999998E-2</v>
      </c>
      <c r="BGG16">
        <v>3241</v>
      </c>
      <c r="BGH16">
        <v>0.29527920000000002</v>
      </c>
      <c r="BGI16">
        <v>3241</v>
      </c>
      <c r="BGJ16">
        <v>0.70472069999999998</v>
      </c>
      <c r="BGK16">
        <v>351629</v>
      </c>
      <c r="BGL16">
        <v>0.74372700000000003</v>
      </c>
      <c r="BGM16">
        <v>261516</v>
      </c>
      <c r="BGN16">
        <v>0.76677910000000005</v>
      </c>
      <c r="BGO16">
        <v>261516</v>
      </c>
      <c r="BGP16">
        <v>0.23322090000000001</v>
      </c>
      <c r="BGQ16">
        <v>60991</v>
      </c>
      <c r="BGR16">
        <v>0.49194139999999997</v>
      </c>
      <c r="BGS16">
        <v>60991</v>
      </c>
      <c r="BGT16">
        <v>0.50805849999999997</v>
      </c>
    </row>
    <row r="17" spans="1:1554" x14ac:dyDescent="0.25">
      <c r="A17" t="s">
        <v>134</v>
      </c>
      <c r="B17">
        <v>2008</v>
      </c>
      <c r="C17">
        <v>1</v>
      </c>
      <c r="D17" t="s">
        <v>537</v>
      </c>
      <c r="E17">
        <v>47297</v>
      </c>
      <c r="F17">
        <v>0.45873950000000002</v>
      </c>
      <c r="G17">
        <v>21697</v>
      </c>
      <c r="H17">
        <v>0.1902567</v>
      </c>
      <c r="I17">
        <v>21697</v>
      </c>
      <c r="J17">
        <v>3.2953900000000001E-2</v>
      </c>
      <c r="K17">
        <v>21697</v>
      </c>
      <c r="L17">
        <v>0.13725399999999999</v>
      </c>
      <c r="M17">
        <v>21697</v>
      </c>
      <c r="N17">
        <v>8.9182800000000007E-2</v>
      </c>
      <c r="O17">
        <v>21697</v>
      </c>
      <c r="P17">
        <v>1.33198E-2</v>
      </c>
      <c r="Q17">
        <v>21697</v>
      </c>
      <c r="R17">
        <v>3.6917499999999999E-2</v>
      </c>
      <c r="S17">
        <v>21697</v>
      </c>
      <c r="T17">
        <v>7.7706600000000001E-2</v>
      </c>
      <c r="U17">
        <v>21697</v>
      </c>
      <c r="V17">
        <v>0.17080699999999999</v>
      </c>
      <c r="W17">
        <v>21697</v>
      </c>
      <c r="X17">
        <v>0.10789509999999999</v>
      </c>
      <c r="Y17">
        <v>21697</v>
      </c>
      <c r="Z17">
        <v>4.5905000000000001E-2</v>
      </c>
      <c r="AA17">
        <v>21697</v>
      </c>
      <c r="AB17">
        <v>2.7469199999999999E-2</v>
      </c>
      <c r="AC17">
        <v>21697</v>
      </c>
      <c r="AD17">
        <v>3.9129799999999999E-2</v>
      </c>
      <c r="AE17">
        <v>21697</v>
      </c>
      <c r="AF17">
        <v>3.1202500000000001E-2</v>
      </c>
      <c r="AG17">
        <v>47297</v>
      </c>
      <c r="AH17">
        <v>0.54126050000000003</v>
      </c>
      <c r="AI17">
        <v>25600</v>
      </c>
      <c r="AJ17">
        <v>0.21445310000000001</v>
      </c>
      <c r="AK17">
        <v>25600</v>
      </c>
      <c r="AL17">
        <v>4.48828E-2</v>
      </c>
      <c r="AM17">
        <v>25600</v>
      </c>
      <c r="AN17">
        <v>9.6445299999999998E-2</v>
      </c>
      <c r="AO17">
        <v>25600</v>
      </c>
      <c r="AP17">
        <v>2.5898399999999999E-2</v>
      </c>
      <c r="AQ17">
        <v>25600</v>
      </c>
      <c r="AR17">
        <v>6.8358999999999998E-3</v>
      </c>
      <c r="AS17">
        <v>25600</v>
      </c>
      <c r="AT17">
        <v>1.8437499999999999E-2</v>
      </c>
      <c r="AU17">
        <v>25600</v>
      </c>
      <c r="AV17">
        <v>9.4921900000000003E-2</v>
      </c>
      <c r="AW17">
        <v>25600</v>
      </c>
      <c r="AX17">
        <v>0.2046094</v>
      </c>
      <c r="AY17">
        <v>25600</v>
      </c>
      <c r="AZ17">
        <v>7.8007800000000002E-2</v>
      </c>
      <c r="BA17">
        <v>25600</v>
      </c>
      <c r="BB17">
        <v>8.2070299999999999E-2</v>
      </c>
      <c r="BC17">
        <v>25600</v>
      </c>
      <c r="BD17">
        <v>5.9374999999999997E-2</v>
      </c>
      <c r="BE17">
        <v>25600</v>
      </c>
      <c r="BF17">
        <v>3.1992199999999998E-2</v>
      </c>
      <c r="BG17">
        <v>25600</v>
      </c>
      <c r="BH17">
        <v>4.2070299999999998E-2</v>
      </c>
      <c r="BI17">
        <v>450341</v>
      </c>
      <c r="BJ17">
        <v>0.51069739999999997</v>
      </c>
      <c r="BK17">
        <v>229988</v>
      </c>
      <c r="BL17">
        <v>7.5647400000000004E-2</v>
      </c>
      <c r="BM17">
        <v>229988</v>
      </c>
      <c r="BN17">
        <v>1.25007E-2</v>
      </c>
      <c r="BO17">
        <v>229988</v>
      </c>
      <c r="BP17">
        <v>9.3117900000000003E-2</v>
      </c>
      <c r="BQ17">
        <v>229988</v>
      </c>
      <c r="BR17">
        <v>5.2624499999999998E-2</v>
      </c>
      <c r="BS17">
        <v>229988</v>
      </c>
      <c r="BT17">
        <v>1.42399E-2</v>
      </c>
      <c r="BU17">
        <v>229988</v>
      </c>
      <c r="BV17">
        <v>3.4062599999999998E-2</v>
      </c>
      <c r="BW17">
        <v>229988</v>
      </c>
      <c r="BX17">
        <v>9.1469999999999996E-2</v>
      </c>
      <c r="BY17">
        <v>229988</v>
      </c>
      <c r="BZ17">
        <v>0.1523253</v>
      </c>
      <c r="CA17">
        <v>229988</v>
      </c>
      <c r="CB17">
        <v>0.1511209</v>
      </c>
      <c r="CC17">
        <v>229988</v>
      </c>
      <c r="CD17">
        <v>0.14667720000000001</v>
      </c>
      <c r="CE17">
        <v>229988</v>
      </c>
      <c r="CF17">
        <v>0.1027314</v>
      </c>
      <c r="CG17">
        <v>229988</v>
      </c>
      <c r="CH17">
        <v>4.6102400000000002E-2</v>
      </c>
      <c r="CI17">
        <v>229988</v>
      </c>
      <c r="CJ17">
        <v>2.73797E-2</v>
      </c>
      <c r="CK17">
        <v>450341</v>
      </c>
      <c r="CL17">
        <v>0.48930249999999997</v>
      </c>
      <c r="CM17">
        <v>220353</v>
      </c>
      <c r="CN17">
        <v>7.4149199999999998E-2</v>
      </c>
      <c r="CO17">
        <v>220353</v>
      </c>
      <c r="CP17">
        <v>1.6260299999999998E-2</v>
      </c>
      <c r="CQ17">
        <v>220353</v>
      </c>
      <c r="CR17">
        <v>9.51428E-2</v>
      </c>
      <c r="CS17">
        <v>220353</v>
      </c>
      <c r="CT17">
        <v>4.4619300000000001E-2</v>
      </c>
      <c r="CU17">
        <v>220353</v>
      </c>
      <c r="CV17">
        <v>1.45448E-2</v>
      </c>
      <c r="CW17">
        <v>220353</v>
      </c>
      <c r="CX17">
        <v>3.3582500000000001E-2</v>
      </c>
      <c r="CY17">
        <v>220353</v>
      </c>
      <c r="CZ17">
        <v>7.7557399999999999E-2</v>
      </c>
      <c r="DA17">
        <v>220353</v>
      </c>
      <c r="DB17">
        <v>0.14425489999999999</v>
      </c>
      <c r="DC17">
        <v>220353</v>
      </c>
      <c r="DD17">
        <v>0.15358079999999999</v>
      </c>
      <c r="DE17">
        <v>220353</v>
      </c>
      <c r="DF17">
        <v>0.14507629999999999</v>
      </c>
      <c r="DG17">
        <v>220353</v>
      </c>
      <c r="DH17">
        <v>0.10448689999999999</v>
      </c>
      <c r="DI17">
        <v>220353</v>
      </c>
      <c r="DJ17">
        <v>5.1235999999999997E-2</v>
      </c>
      <c r="DK17">
        <v>220353</v>
      </c>
      <c r="DL17">
        <v>4.5508800000000002E-2</v>
      </c>
      <c r="DM17">
        <v>307906</v>
      </c>
      <c r="DN17">
        <v>7.1180800000000002E-2</v>
      </c>
      <c r="DO17">
        <v>21917</v>
      </c>
      <c r="DP17">
        <v>0.4181685</v>
      </c>
      <c r="DQ17">
        <v>153215</v>
      </c>
      <c r="DR17">
        <v>5.98179E-2</v>
      </c>
      <c r="DS17">
        <v>9165</v>
      </c>
      <c r="DT17">
        <v>0.55024550000000005</v>
      </c>
      <c r="DU17">
        <v>28047</v>
      </c>
      <c r="DV17">
        <v>0.1798053</v>
      </c>
      <c r="DW17">
        <v>9165</v>
      </c>
      <c r="DX17">
        <v>0.16704859999999999</v>
      </c>
      <c r="DY17">
        <v>36299</v>
      </c>
      <c r="DZ17">
        <v>4.21775E-2</v>
      </c>
      <c r="EA17">
        <v>9165</v>
      </c>
      <c r="EB17">
        <v>0.19290779999999999</v>
      </c>
      <c r="EC17">
        <v>38818</v>
      </c>
      <c r="ED17">
        <v>4.55459E-2</v>
      </c>
      <c r="EE17">
        <v>9165</v>
      </c>
      <c r="EF17">
        <v>8.9798100000000006E-2</v>
      </c>
      <c r="EG17">
        <v>50051</v>
      </c>
      <c r="EH17">
        <v>1.6443200000000002E-2</v>
      </c>
      <c r="EI17">
        <v>21917</v>
      </c>
      <c r="EJ17">
        <v>0.58183149999999995</v>
      </c>
      <c r="EK17">
        <v>154691</v>
      </c>
      <c r="EL17">
        <v>8.2435300000000003E-2</v>
      </c>
      <c r="EM17">
        <v>12752</v>
      </c>
      <c r="EN17">
        <v>0.43616690000000002</v>
      </c>
      <c r="EO17">
        <v>24354</v>
      </c>
      <c r="EP17">
        <v>0.22838140000000001</v>
      </c>
      <c r="EQ17">
        <v>12752</v>
      </c>
      <c r="ER17">
        <v>0.29869820000000002</v>
      </c>
      <c r="ES17">
        <v>39548</v>
      </c>
      <c r="ET17">
        <v>9.6313300000000004E-2</v>
      </c>
      <c r="EU17">
        <v>12752</v>
      </c>
      <c r="EV17">
        <v>0.22129860000000001</v>
      </c>
      <c r="EW17">
        <v>41886</v>
      </c>
      <c r="EX17">
        <v>6.73734E-2</v>
      </c>
      <c r="EY17">
        <v>12752</v>
      </c>
      <c r="EZ17">
        <v>4.3836300000000002E-2</v>
      </c>
      <c r="FA17">
        <v>48903</v>
      </c>
      <c r="FB17">
        <v>1.14308E-2</v>
      </c>
      <c r="FC17">
        <v>307906</v>
      </c>
      <c r="FD17">
        <v>0.92881919999999996</v>
      </c>
      <c r="FE17">
        <v>285989</v>
      </c>
      <c r="FF17">
        <v>0.50369070000000005</v>
      </c>
      <c r="FG17">
        <v>153215</v>
      </c>
      <c r="FH17">
        <v>0.94018210000000002</v>
      </c>
      <c r="FI17">
        <v>144050</v>
      </c>
      <c r="FJ17">
        <v>0.15969459999999999</v>
      </c>
      <c r="FK17">
        <v>28047</v>
      </c>
      <c r="FL17">
        <v>0.82019470000000005</v>
      </c>
      <c r="FM17">
        <v>144050</v>
      </c>
      <c r="FN17">
        <v>0.24136060000000001</v>
      </c>
      <c r="FO17">
        <v>36299</v>
      </c>
      <c r="FP17">
        <v>0.95782250000000002</v>
      </c>
      <c r="FQ17">
        <v>144050</v>
      </c>
      <c r="FR17">
        <v>0.2572024</v>
      </c>
      <c r="FS17">
        <v>38818</v>
      </c>
      <c r="FT17">
        <v>0.95445409999999997</v>
      </c>
      <c r="FU17">
        <v>144050</v>
      </c>
      <c r="FV17">
        <v>0.3417425</v>
      </c>
      <c r="FW17">
        <v>50051</v>
      </c>
      <c r="FX17">
        <v>0.98355669999999995</v>
      </c>
      <c r="FY17">
        <v>285989</v>
      </c>
      <c r="FZ17">
        <v>0.49630930000000001</v>
      </c>
      <c r="GA17">
        <v>154691</v>
      </c>
      <c r="GB17">
        <v>0.91756470000000001</v>
      </c>
      <c r="GC17">
        <v>141939</v>
      </c>
      <c r="GD17">
        <v>0.13239490000000001</v>
      </c>
      <c r="GE17">
        <v>24354</v>
      </c>
      <c r="GF17">
        <v>0.77161860000000004</v>
      </c>
      <c r="GG17">
        <v>141939</v>
      </c>
      <c r="GH17">
        <v>0.2517913</v>
      </c>
      <c r="GI17">
        <v>39548</v>
      </c>
      <c r="GJ17">
        <v>0.90368660000000001</v>
      </c>
      <c r="GK17">
        <v>141939</v>
      </c>
      <c r="GL17">
        <v>0.27521679999999998</v>
      </c>
      <c r="GM17">
        <v>41886</v>
      </c>
      <c r="GN17">
        <v>0.93262670000000003</v>
      </c>
      <c r="GO17">
        <v>141939</v>
      </c>
      <c r="GP17">
        <v>0.34059699999999998</v>
      </c>
      <c r="GQ17">
        <v>48903</v>
      </c>
      <c r="GR17">
        <v>0.98856920000000004</v>
      </c>
      <c r="GS17">
        <v>366656</v>
      </c>
      <c r="GT17">
        <v>7.44731E-2</v>
      </c>
      <c r="GU17">
        <v>27306</v>
      </c>
      <c r="GV17">
        <v>0.42671940000000003</v>
      </c>
      <c r="GW17">
        <v>11652</v>
      </c>
      <c r="GX17">
        <v>0.24939919999999999</v>
      </c>
      <c r="GY17">
        <v>11652</v>
      </c>
      <c r="GZ17">
        <v>0.3323893</v>
      </c>
      <c r="HA17">
        <v>11652</v>
      </c>
      <c r="HB17">
        <v>0.41821150000000001</v>
      </c>
      <c r="HC17">
        <v>11585</v>
      </c>
      <c r="HD17">
        <v>0.55545960000000005</v>
      </c>
      <c r="HE17">
        <v>11585</v>
      </c>
      <c r="HF17">
        <v>0.4445404</v>
      </c>
      <c r="HG17">
        <v>6435</v>
      </c>
      <c r="HH17">
        <v>0.90644910000000001</v>
      </c>
      <c r="HI17">
        <v>6435</v>
      </c>
      <c r="HJ17">
        <v>9.3550900000000006E-2</v>
      </c>
      <c r="HK17">
        <v>27306</v>
      </c>
      <c r="HL17">
        <v>0.57328060000000003</v>
      </c>
      <c r="HM17">
        <v>15654</v>
      </c>
      <c r="HN17">
        <v>6.1581700000000003E-2</v>
      </c>
      <c r="HO17">
        <v>15654</v>
      </c>
      <c r="HP17">
        <v>0.3215153</v>
      </c>
      <c r="HQ17">
        <v>15654</v>
      </c>
      <c r="HR17">
        <v>0.61690299999999998</v>
      </c>
      <c r="HS17">
        <v>15654</v>
      </c>
      <c r="HT17">
        <v>0.35473359999999998</v>
      </c>
      <c r="HU17">
        <v>15654</v>
      </c>
      <c r="HV17">
        <v>0.64526640000000002</v>
      </c>
      <c r="HW17">
        <v>5553</v>
      </c>
      <c r="HX17">
        <v>0.72015119999999999</v>
      </c>
      <c r="HY17">
        <v>5553</v>
      </c>
      <c r="HZ17">
        <v>0.27984870000000001</v>
      </c>
      <c r="IA17">
        <v>366656</v>
      </c>
      <c r="IB17">
        <v>0.92552690000000004</v>
      </c>
      <c r="IC17">
        <v>339350</v>
      </c>
      <c r="ID17">
        <v>0.50956539999999995</v>
      </c>
      <c r="IE17">
        <v>172921</v>
      </c>
      <c r="IF17">
        <v>0.60899479999999995</v>
      </c>
      <c r="IG17">
        <v>172921</v>
      </c>
      <c r="IH17">
        <v>0.23384669999999999</v>
      </c>
      <c r="II17">
        <v>172921</v>
      </c>
      <c r="IJ17">
        <v>0.15715850000000001</v>
      </c>
      <c r="IK17">
        <v>172793</v>
      </c>
      <c r="IL17">
        <v>0.81764890000000001</v>
      </c>
      <c r="IM17">
        <v>172793</v>
      </c>
      <c r="IN17">
        <v>0.18235109999999999</v>
      </c>
      <c r="IO17">
        <v>141284</v>
      </c>
      <c r="IP17">
        <v>0.95093570000000005</v>
      </c>
      <c r="IQ17">
        <v>141284</v>
      </c>
      <c r="IR17">
        <v>4.9064299999999998E-2</v>
      </c>
      <c r="IS17">
        <v>339350</v>
      </c>
      <c r="IT17">
        <v>0.4904346</v>
      </c>
      <c r="IU17">
        <v>166429</v>
      </c>
      <c r="IV17">
        <v>0.40586080000000002</v>
      </c>
      <c r="IW17">
        <v>166429</v>
      </c>
      <c r="IX17">
        <v>0.30232110000000001</v>
      </c>
      <c r="IY17">
        <v>166429</v>
      </c>
      <c r="IZ17">
        <v>0.29181810000000002</v>
      </c>
      <c r="JA17">
        <v>166393</v>
      </c>
      <c r="JB17">
        <v>0.68228230000000001</v>
      </c>
      <c r="JC17">
        <v>166393</v>
      </c>
      <c r="JD17">
        <v>0.31771769999999999</v>
      </c>
      <c r="JE17">
        <v>113527</v>
      </c>
      <c r="JF17">
        <v>0.95151810000000003</v>
      </c>
      <c r="JG17">
        <v>113527</v>
      </c>
      <c r="JH17">
        <v>4.8481900000000001E-2</v>
      </c>
      <c r="JI17">
        <v>121262</v>
      </c>
      <c r="JJ17">
        <v>0.1222477</v>
      </c>
      <c r="JK17">
        <v>14824</v>
      </c>
      <c r="JL17">
        <v>0.46856449999999999</v>
      </c>
      <c r="JM17">
        <v>6946</v>
      </c>
      <c r="JN17">
        <v>0.808091</v>
      </c>
      <c r="JO17">
        <v>6946</v>
      </c>
      <c r="JP17">
        <v>0.808091</v>
      </c>
      <c r="JQ17">
        <v>6946</v>
      </c>
      <c r="JR17">
        <v>0.808091</v>
      </c>
      <c r="JS17">
        <v>6946</v>
      </c>
      <c r="JT17">
        <v>0.808091</v>
      </c>
      <c r="JU17">
        <v>6946</v>
      </c>
      <c r="JV17">
        <v>0.191909</v>
      </c>
      <c r="JW17">
        <v>14824</v>
      </c>
      <c r="JX17">
        <v>0.53143549999999995</v>
      </c>
      <c r="JY17">
        <v>7878</v>
      </c>
      <c r="JZ17">
        <v>0.20715919999999999</v>
      </c>
      <c r="KA17">
        <v>1632</v>
      </c>
      <c r="KB17">
        <v>0.85355400000000003</v>
      </c>
      <c r="KC17">
        <v>1393</v>
      </c>
      <c r="KD17">
        <v>0.1083991</v>
      </c>
      <c r="KE17">
        <v>1393</v>
      </c>
      <c r="KF17">
        <v>0.36970570000000003</v>
      </c>
      <c r="KG17">
        <v>1393</v>
      </c>
      <c r="KH17">
        <v>0.5218952</v>
      </c>
      <c r="KI17">
        <v>1632</v>
      </c>
      <c r="KJ17">
        <v>0.1464461</v>
      </c>
      <c r="KK17">
        <v>7878</v>
      </c>
      <c r="KL17">
        <v>0.79284080000000001</v>
      </c>
      <c r="KM17">
        <v>6246</v>
      </c>
      <c r="KN17">
        <v>0.93627919999999998</v>
      </c>
      <c r="KO17">
        <v>5848</v>
      </c>
      <c r="KP17">
        <v>0.2159713</v>
      </c>
      <c r="KQ17">
        <v>5848</v>
      </c>
      <c r="KR17">
        <v>0.33909030000000001</v>
      </c>
      <c r="KS17">
        <v>5848</v>
      </c>
      <c r="KT17">
        <v>0.44493850000000001</v>
      </c>
      <c r="KU17">
        <v>6246</v>
      </c>
      <c r="KV17">
        <v>6.3720799999999994E-2</v>
      </c>
      <c r="KW17">
        <v>121262</v>
      </c>
      <c r="KX17">
        <v>1.3343000000000001E-2</v>
      </c>
      <c r="KY17">
        <v>1618</v>
      </c>
      <c r="KZ17">
        <v>0.66131030000000002</v>
      </c>
      <c r="LA17">
        <v>1070</v>
      </c>
      <c r="LB17">
        <v>0.82616820000000002</v>
      </c>
      <c r="LC17">
        <v>1070</v>
      </c>
      <c r="LD17">
        <v>0.82616820000000002</v>
      </c>
      <c r="LE17">
        <v>1070</v>
      </c>
      <c r="LF17">
        <v>0.82616820000000002</v>
      </c>
      <c r="LG17">
        <v>1070</v>
      </c>
      <c r="LH17">
        <v>0.82616820000000002</v>
      </c>
      <c r="LI17">
        <v>1070</v>
      </c>
      <c r="LJ17">
        <v>0.17383180000000001</v>
      </c>
      <c r="LK17">
        <v>1618</v>
      </c>
      <c r="LL17">
        <v>0.33868969999999998</v>
      </c>
      <c r="LM17">
        <v>548</v>
      </c>
      <c r="LN17">
        <v>0.64233580000000001</v>
      </c>
      <c r="LO17">
        <v>352</v>
      </c>
      <c r="LP17">
        <v>1</v>
      </c>
      <c r="LQ17">
        <v>352</v>
      </c>
      <c r="LR17">
        <v>0.84659090000000004</v>
      </c>
      <c r="LS17">
        <v>352</v>
      </c>
      <c r="LT17">
        <v>0</v>
      </c>
      <c r="LU17">
        <v>352</v>
      </c>
      <c r="LV17">
        <v>0.15340909999999999</v>
      </c>
      <c r="LW17">
        <v>352</v>
      </c>
      <c r="LX17">
        <v>0</v>
      </c>
      <c r="LY17">
        <v>548</v>
      </c>
      <c r="LZ17">
        <v>0.35766419999999999</v>
      </c>
      <c r="MA17">
        <v>196</v>
      </c>
      <c r="MB17">
        <v>0.78571429999999998</v>
      </c>
      <c r="MC17">
        <v>154</v>
      </c>
      <c r="MD17">
        <v>0.22727269999999999</v>
      </c>
      <c r="ME17">
        <v>154</v>
      </c>
      <c r="MF17">
        <v>0</v>
      </c>
      <c r="MG17">
        <v>154</v>
      </c>
      <c r="MH17">
        <v>0.77272730000000001</v>
      </c>
      <c r="MI17">
        <v>196</v>
      </c>
      <c r="MJ17">
        <v>0.2142857</v>
      </c>
      <c r="MK17">
        <v>121262</v>
      </c>
      <c r="ML17">
        <v>3.6969500000000002E-2</v>
      </c>
      <c r="MM17">
        <v>4483</v>
      </c>
      <c r="MN17">
        <v>0.72696850000000002</v>
      </c>
      <c r="MO17">
        <v>3259</v>
      </c>
      <c r="MP17">
        <v>0.83154340000000004</v>
      </c>
      <c r="MQ17">
        <v>3259</v>
      </c>
      <c r="MR17">
        <v>0.83154340000000004</v>
      </c>
      <c r="MS17">
        <v>3259</v>
      </c>
      <c r="MT17">
        <v>0.83154340000000004</v>
      </c>
      <c r="MU17">
        <v>3259</v>
      </c>
      <c r="MV17">
        <v>0.83154340000000004</v>
      </c>
      <c r="MW17">
        <v>3259</v>
      </c>
      <c r="MX17">
        <v>0.16845660000000001</v>
      </c>
      <c r="MY17">
        <v>4483</v>
      </c>
      <c r="MZ17">
        <v>0.27303139999999998</v>
      </c>
      <c r="NA17">
        <v>1224</v>
      </c>
      <c r="NB17">
        <v>0.15114379999999999</v>
      </c>
      <c r="NC17">
        <v>185</v>
      </c>
      <c r="ND17">
        <v>1</v>
      </c>
      <c r="NE17">
        <v>185</v>
      </c>
      <c r="NF17">
        <v>0.55675669999999999</v>
      </c>
      <c r="NG17">
        <v>185</v>
      </c>
      <c r="NH17">
        <v>0.4432432</v>
      </c>
      <c r="NI17">
        <v>185</v>
      </c>
      <c r="NJ17">
        <v>0</v>
      </c>
      <c r="NK17">
        <v>185</v>
      </c>
      <c r="NL17">
        <v>0</v>
      </c>
      <c r="NM17">
        <v>1224</v>
      </c>
      <c r="NN17">
        <v>0.84885619999999995</v>
      </c>
      <c r="NO17">
        <v>1039</v>
      </c>
      <c r="NP17">
        <v>1</v>
      </c>
      <c r="NQ17">
        <v>1039</v>
      </c>
      <c r="NR17">
        <v>0.1231954</v>
      </c>
      <c r="NS17">
        <v>1039</v>
      </c>
      <c r="NT17">
        <v>0.19922999999999999</v>
      </c>
      <c r="NU17">
        <v>1039</v>
      </c>
      <c r="NV17">
        <v>0.67757460000000003</v>
      </c>
      <c r="NW17">
        <v>1039</v>
      </c>
      <c r="NX17">
        <v>0</v>
      </c>
      <c r="NY17">
        <v>121262</v>
      </c>
      <c r="NZ17">
        <v>0.82743979999999995</v>
      </c>
      <c r="OA17">
        <v>100337</v>
      </c>
      <c r="OB17">
        <v>0.83478680000000005</v>
      </c>
      <c r="OC17">
        <v>83760</v>
      </c>
      <c r="OD17">
        <v>0.48228270000000001</v>
      </c>
      <c r="OE17">
        <v>83760</v>
      </c>
      <c r="OF17">
        <v>0.48228270000000001</v>
      </c>
      <c r="OG17">
        <v>83760</v>
      </c>
      <c r="OH17">
        <v>0.48228270000000001</v>
      </c>
      <c r="OI17">
        <v>83760</v>
      </c>
      <c r="OJ17">
        <v>0.48228270000000001</v>
      </c>
      <c r="OK17">
        <v>83760</v>
      </c>
      <c r="OL17">
        <v>0.51771730000000005</v>
      </c>
      <c r="OM17">
        <v>100337</v>
      </c>
      <c r="ON17">
        <v>0.1652132</v>
      </c>
      <c r="OO17">
        <v>16577</v>
      </c>
      <c r="OP17">
        <v>0.3979007</v>
      </c>
      <c r="OQ17">
        <v>6596</v>
      </c>
      <c r="OR17">
        <v>0.64296540000000002</v>
      </c>
      <c r="OS17">
        <v>4241</v>
      </c>
      <c r="OT17">
        <v>0.2230606</v>
      </c>
      <c r="OU17">
        <v>4241</v>
      </c>
      <c r="OV17">
        <v>9.3845799999999993E-2</v>
      </c>
      <c r="OW17">
        <v>4241</v>
      </c>
      <c r="OX17">
        <v>0.68309359999999997</v>
      </c>
      <c r="OY17">
        <v>6596</v>
      </c>
      <c r="OZ17">
        <v>0.35703459999999998</v>
      </c>
      <c r="PA17">
        <v>16577</v>
      </c>
      <c r="PB17">
        <v>0.6020993</v>
      </c>
      <c r="PC17">
        <v>9981</v>
      </c>
      <c r="PD17">
        <v>0.65083659999999999</v>
      </c>
      <c r="PE17">
        <v>6496</v>
      </c>
      <c r="PF17">
        <v>0.13392860000000001</v>
      </c>
      <c r="PG17">
        <v>6496</v>
      </c>
      <c r="PH17">
        <v>1.12377E-2</v>
      </c>
      <c r="PI17">
        <v>6496</v>
      </c>
      <c r="PJ17">
        <v>0.85483370000000003</v>
      </c>
      <c r="PK17">
        <v>9981</v>
      </c>
      <c r="PL17">
        <v>0.34916340000000001</v>
      </c>
      <c r="PM17">
        <v>507579</v>
      </c>
      <c r="PN17">
        <v>0.50536760000000003</v>
      </c>
      <c r="PO17">
        <v>256514</v>
      </c>
      <c r="PP17">
        <v>8.4389199999999998E-2</v>
      </c>
      <c r="PQ17">
        <v>256514</v>
      </c>
      <c r="PR17">
        <v>8.0007300000000003E-2</v>
      </c>
      <c r="PS17">
        <v>256514</v>
      </c>
      <c r="PT17">
        <v>8.5609400000000002E-2</v>
      </c>
      <c r="PU17">
        <v>256514</v>
      </c>
      <c r="PV17">
        <v>4.80948E-2</v>
      </c>
      <c r="PW17">
        <v>256514</v>
      </c>
      <c r="PX17">
        <v>2.6906900000000001E-2</v>
      </c>
      <c r="PY17">
        <v>256514</v>
      </c>
      <c r="PZ17">
        <v>1.28726E-2</v>
      </c>
      <c r="QA17">
        <v>256514</v>
      </c>
      <c r="QB17">
        <v>1.6903600000000001E-2</v>
      </c>
      <c r="QC17">
        <v>256514</v>
      </c>
      <c r="QD17">
        <v>3.7081799999999998E-2</v>
      </c>
      <c r="QE17">
        <v>256514</v>
      </c>
      <c r="QF17">
        <v>7.8346600000000002E-2</v>
      </c>
      <c r="QG17">
        <v>256514</v>
      </c>
      <c r="QH17">
        <v>7.7407100000000006E-2</v>
      </c>
      <c r="QI17">
        <v>256514</v>
      </c>
      <c r="QJ17">
        <v>7.7426599999999998E-2</v>
      </c>
      <c r="QK17">
        <v>256514</v>
      </c>
      <c r="QL17">
        <v>6.9524500000000003E-2</v>
      </c>
      <c r="QM17">
        <v>256514</v>
      </c>
      <c r="QN17">
        <v>7.5067999999999996E-2</v>
      </c>
      <c r="QO17">
        <v>256514</v>
      </c>
      <c r="QP17">
        <v>6.2136999999999998E-2</v>
      </c>
      <c r="QQ17">
        <v>256514</v>
      </c>
      <c r="QR17">
        <v>5.5665600000000003E-2</v>
      </c>
      <c r="QS17">
        <v>256514</v>
      </c>
      <c r="QT17">
        <v>2.1074900000000001E-2</v>
      </c>
      <c r="QU17">
        <v>256514</v>
      </c>
      <c r="QV17">
        <v>1.86033E-2</v>
      </c>
      <c r="QW17">
        <v>256514</v>
      </c>
      <c r="QX17">
        <v>1.1851199999999999E-2</v>
      </c>
      <c r="QY17">
        <v>256514</v>
      </c>
      <c r="QZ17">
        <v>1.30987E-2</v>
      </c>
      <c r="RA17">
        <v>256514</v>
      </c>
      <c r="RB17">
        <v>2.0073000000000001E-2</v>
      </c>
      <c r="RC17">
        <v>256514</v>
      </c>
      <c r="RD17">
        <v>1.37497E-2</v>
      </c>
      <c r="RE17">
        <v>256514</v>
      </c>
      <c r="RF17">
        <v>8.1359999999999991E-3</v>
      </c>
      <c r="RG17">
        <v>256514</v>
      </c>
      <c r="RH17">
        <v>5.9724000000000001E-3</v>
      </c>
      <c r="RI17">
        <v>507579</v>
      </c>
      <c r="RJ17">
        <v>0.49463240000000003</v>
      </c>
      <c r="RK17">
        <v>251065</v>
      </c>
      <c r="RL17">
        <v>8.7168700000000002E-2</v>
      </c>
      <c r="RM17">
        <v>251065</v>
      </c>
      <c r="RN17">
        <v>8.1038799999999994E-2</v>
      </c>
      <c r="RO17">
        <v>251065</v>
      </c>
      <c r="RP17">
        <v>7.5864799999999996E-2</v>
      </c>
      <c r="RQ17">
        <v>251065</v>
      </c>
      <c r="RR17">
        <v>4.6043899999999999E-2</v>
      </c>
      <c r="RS17">
        <v>251065</v>
      </c>
      <c r="RT17">
        <v>2.3942000000000001E-2</v>
      </c>
      <c r="RU17">
        <v>251065</v>
      </c>
      <c r="RV17">
        <v>1.2789500000000001E-2</v>
      </c>
      <c r="RW17">
        <v>251065</v>
      </c>
      <c r="RX17">
        <v>1.5450200000000001E-2</v>
      </c>
      <c r="RY17">
        <v>251065</v>
      </c>
      <c r="RZ17">
        <v>3.3369799999999998E-2</v>
      </c>
      <c r="SA17">
        <v>251065</v>
      </c>
      <c r="SB17">
        <v>7.8581200000000004E-2</v>
      </c>
      <c r="SC17">
        <v>251065</v>
      </c>
      <c r="SD17">
        <v>7.0013699999999998E-2</v>
      </c>
      <c r="SE17">
        <v>251065</v>
      </c>
      <c r="SF17">
        <v>7.1662699999999996E-2</v>
      </c>
      <c r="SG17">
        <v>251065</v>
      </c>
      <c r="SH17">
        <v>7.2077000000000002E-2</v>
      </c>
      <c r="SI17">
        <v>251065</v>
      </c>
      <c r="SJ17">
        <v>7.39012E-2</v>
      </c>
      <c r="SK17">
        <v>251065</v>
      </c>
      <c r="SL17">
        <v>6.3692700000000005E-2</v>
      </c>
      <c r="SM17">
        <v>251065</v>
      </c>
      <c r="SN17">
        <v>6.0243400000000003E-2</v>
      </c>
      <c r="SO17">
        <v>251065</v>
      </c>
      <c r="SP17">
        <v>2.06719E-2</v>
      </c>
      <c r="SQ17">
        <v>251065</v>
      </c>
      <c r="SR17">
        <v>1.7250499999999998E-2</v>
      </c>
      <c r="SS17">
        <v>251065</v>
      </c>
      <c r="ST17">
        <v>1.25705E-2</v>
      </c>
      <c r="SU17">
        <v>251065</v>
      </c>
      <c r="SV17">
        <v>1.4781000000000001E-2</v>
      </c>
      <c r="SW17">
        <v>251065</v>
      </c>
      <c r="SX17">
        <v>2.12455E-2</v>
      </c>
      <c r="SY17">
        <v>251065</v>
      </c>
      <c r="SZ17">
        <v>1.6991599999999999E-2</v>
      </c>
      <c r="TA17">
        <v>251065</v>
      </c>
      <c r="TB17">
        <v>1.45261E-2</v>
      </c>
      <c r="TC17">
        <v>251065</v>
      </c>
      <c r="TD17">
        <v>1.61233E-2</v>
      </c>
      <c r="TE17">
        <v>382210</v>
      </c>
      <c r="TF17">
        <v>0.50191249999999998</v>
      </c>
      <c r="TG17">
        <v>27345</v>
      </c>
      <c r="TH17">
        <v>0.50133479999999997</v>
      </c>
      <c r="TI17"/>
      <c r="TJ17"/>
      <c r="TK17">
        <v>15871</v>
      </c>
      <c r="TL17">
        <v>0.49858229999999998</v>
      </c>
      <c r="TM17"/>
      <c r="TN17"/>
      <c r="TO17">
        <v>71633</v>
      </c>
      <c r="TP17">
        <v>0.53524210000000005</v>
      </c>
      <c r="TQ17">
        <v>10117</v>
      </c>
      <c r="TR17">
        <v>0.45715129999999998</v>
      </c>
      <c r="TS17">
        <v>314679</v>
      </c>
      <c r="TT17">
        <v>0.49541279999999999</v>
      </c>
      <c r="TU17">
        <v>145035</v>
      </c>
      <c r="TV17">
        <v>0.53454690000000005</v>
      </c>
      <c r="TW17">
        <v>382210</v>
      </c>
      <c r="TX17">
        <v>0.49808740000000001</v>
      </c>
      <c r="TY17">
        <v>27345</v>
      </c>
      <c r="TZ17">
        <v>0.49866519999999998</v>
      </c>
      <c r="UA17"/>
      <c r="UB17"/>
      <c r="UC17">
        <v>15871</v>
      </c>
      <c r="UD17">
        <v>0.50141769999999997</v>
      </c>
      <c r="UE17"/>
      <c r="UF17"/>
      <c r="UG17">
        <v>71633</v>
      </c>
      <c r="UH17">
        <v>0.4647579</v>
      </c>
      <c r="UI17">
        <v>10117</v>
      </c>
      <c r="UJ17">
        <v>0.54284860000000001</v>
      </c>
      <c r="UK17">
        <v>314679</v>
      </c>
      <c r="UL17">
        <v>0.50458720000000001</v>
      </c>
      <c r="UM17">
        <v>145035</v>
      </c>
      <c r="UN17">
        <v>0.46545320000000001</v>
      </c>
      <c r="UO17">
        <v>124698</v>
      </c>
      <c r="UP17">
        <v>124698</v>
      </c>
      <c r="UQ17">
        <v>124698</v>
      </c>
      <c r="UR17">
        <v>100007</v>
      </c>
      <c r="US17">
        <v>100007</v>
      </c>
      <c r="UT17">
        <v>100007</v>
      </c>
      <c r="UU17">
        <v>1.5638E-3</v>
      </c>
      <c r="UV17">
        <v>0.95914929999999998</v>
      </c>
      <c r="UW17">
        <v>3.92869E-2</v>
      </c>
      <c r="UX17">
        <v>3.6000000000000002E-4</v>
      </c>
      <c r="UY17">
        <v>0.94858359999999997</v>
      </c>
      <c r="UZ17">
        <v>5.1056400000000002E-2</v>
      </c>
      <c r="VA17">
        <v>8006</v>
      </c>
      <c r="VB17">
        <v>1.5987999999999999E-2</v>
      </c>
      <c r="VC17">
        <v>8006</v>
      </c>
      <c r="VD17">
        <v>0.90557080000000001</v>
      </c>
      <c r="VE17">
        <v>8006</v>
      </c>
      <c r="VF17">
        <v>7.8441200000000003E-2</v>
      </c>
      <c r="VG17">
        <v>17947</v>
      </c>
      <c r="VH17">
        <v>0</v>
      </c>
      <c r="VI17">
        <v>17947</v>
      </c>
      <c r="VJ17">
        <v>0.93397220000000003</v>
      </c>
      <c r="VK17">
        <v>17947</v>
      </c>
      <c r="VL17">
        <v>6.6027699999999995E-2</v>
      </c>
      <c r="VM17">
        <v>19089</v>
      </c>
      <c r="VN17">
        <v>0</v>
      </c>
      <c r="VO17">
        <v>19089</v>
      </c>
      <c r="VP17">
        <v>0.97197339999999999</v>
      </c>
      <c r="VQ17">
        <v>19089</v>
      </c>
      <c r="VR17">
        <v>2.8026599999999999E-2</v>
      </c>
      <c r="VS17">
        <v>35112</v>
      </c>
      <c r="VT17">
        <v>0</v>
      </c>
      <c r="VU17">
        <v>35112</v>
      </c>
      <c r="VV17">
        <v>0.96240599999999998</v>
      </c>
      <c r="VW17">
        <v>35112</v>
      </c>
      <c r="VX17">
        <v>3.7594000000000002E-2</v>
      </c>
      <c r="VY17">
        <v>32433</v>
      </c>
      <c r="VZ17">
        <v>2.0658E-3</v>
      </c>
      <c r="WA17">
        <v>32433</v>
      </c>
      <c r="WB17">
        <v>0.96522059999999998</v>
      </c>
      <c r="WC17">
        <v>32433</v>
      </c>
      <c r="WD17">
        <v>3.2713600000000002E-2</v>
      </c>
      <c r="WE17">
        <v>12111</v>
      </c>
      <c r="WF17">
        <v>0</v>
      </c>
      <c r="WG17">
        <v>12111</v>
      </c>
      <c r="WH17">
        <v>0.98596320000000004</v>
      </c>
      <c r="WI17">
        <v>12111</v>
      </c>
      <c r="WJ17">
        <v>1.40368E-2</v>
      </c>
      <c r="WK17">
        <v>7112</v>
      </c>
      <c r="WL17">
        <v>5.0619000000000003E-3</v>
      </c>
      <c r="WM17">
        <v>7112</v>
      </c>
      <c r="WN17">
        <v>0.92575929999999995</v>
      </c>
      <c r="WO17">
        <v>7112</v>
      </c>
      <c r="WP17">
        <v>6.9178799999999999E-2</v>
      </c>
      <c r="WQ17">
        <v>16077</v>
      </c>
      <c r="WR17">
        <v>0</v>
      </c>
      <c r="WS17">
        <v>16077</v>
      </c>
      <c r="WT17">
        <v>0.95198110000000002</v>
      </c>
      <c r="WU17">
        <v>16077</v>
      </c>
      <c r="WV17">
        <v>4.8018900000000003E-2</v>
      </c>
      <c r="WW17">
        <v>12486</v>
      </c>
      <c r="WX17">
        <v>0</v>
      </c>
      <c r="WY17">
        <v>12486</v>
      </c>
      <c r="WZ17">
        <v>0.94297609999999998</v>
      </c>
      <c r="XA17">
        <v>12486</v>
      </c>
      <c r="XB17">
        <v>5.7023900000000002E-2</v>
      </c>
      <c r="XC17">
        <v>26248</v>
      </c>
      <c r="XD17">
        <v>0</v>
      </c>
      <c r="XE17">
        <v>26248</v>
      </c>
      <c r="XF17">
        <v>0.96418769999999998</v>
      </c>
      <c r="XG17">
        <v>26248</v>
      </c>
      <c r="XH17">
        <v>3.5812299999999998E-2</v>
      </c>
      <c r="XI17">
        <v>26382</v>
      </c>
      <c r="XJ17">
        <v>0</v>
      </c>
      <c r="XK17">
        <v>26382</v>
      </c>
      <c r="XL17">
        <v>0.94382540000000004</v>
      </c>
      <c r="XM17">
        <v>26382</v>
      </c>
      <c r="XN17">
        <v>5.6174700000000001E-2</v>
      </c>
      <c r="XO17">
        <v>11702</v>
      </c>
      <c r="XP17">
        <v>0</v>
      </c>
      <c r="XQ17">
        <v>11702</v>
      </c>
      <c r="XR17">
        <v>0.93949749999999999</v>
      </c>
      <c r="XS17">
        <v>11702</v>
      </c>
      <c r="XT17">
        <v>6.0502500000000001E-2</v>
      </c>
      <c r="XU17">
        <v>332263</v>
      </c>
      <c r="XV17">
        <v>0.51201909999999995</v>
      </c>
      <c r="XW17">
        <v>170125</v>
      </c>
      <c r="XX17">
        <v>0.88607199999999997</v>
      </c>
      <c r="XY17">
        <v>170125</v>
      </c>
      <c r="XZ17">
        <v>0.113928</v>
      </c>
      <c r="YA17">
        <v>150743</v>
      </c>
      <c r="YB17">
        <v>0.86057070000000002</v>
      </c>
      <c r="YC17">
        <v>129725</v>
      </c>
      <c r="YD17">
        <v>0.81625749999999997</v>
      </c>
      <c r="YE17">
        <v>129725</v>
      </c>
      <c r="YF17">
        <v>2.1985000000000001E-2</v>
      </c>
      <c r="YG17">
        <v>129725</v>
      </c>
      <c r="YH17">
        <v>4.8093999999999998E-2</v>
      </c>
      <c r="YI17">
        <v>129725</v>
      </c>
      <c r="YJ17">
        <v>4.3430299999999998E-2</v>
      </c>
      <c r="YK17">
        <v>129725</v>
      </c>
      <c r="YL17">
        <v>2.87146E-2</v>
      </c>
      <c r="YM17">
        <v>129725</v>
      </c>
      <c r="YN17">
        <v>4.1518600000000003E-2</v>
      </c>
      <c r="YO17">
        <v>150743</v>
      </c>
      <c r="YP17">
        <v>0.11183940000000001</v>
      </c>
      <c r="YQ17">
        <v>16859</v>
      </c>
      <c r="YR17">
        <v>0.38169520000000001</v>
      </c>
      <c r="YS17">
        <v>16859</v>
      </c>
      <c r="YT17">
        <v>1.90403E-2</v>
      </c>
      <c r="YU17">
        <v>16859</v>
      </c>
      <c r="YV17">
        <v>0.16210930000000001</v>
      </c>
      <c r="YW17">
        <v>16859</v>
      </c>
      <c r="YX17">
        <v>0.13037550000000001</v>
      </c>
      <c r="YY17">
        <v>16859</v>
      </c>
      <c r="YZ17">
        <v>0.14917849999999999</v>
      </c>
      <c r="ZA17">
        <v>16859</v>
      </c>
      <c r="ZB17">
        <v>0.1576013</v>
      </c>
      <c r="ZC17">
        <v>150743</v>
      </c>
      <c r="ZD17">
        <v>2.759E-2</v>
      </c>
      <c r="ZE17">
        <v>4159</v>
      </c>
      <c r="ZF17">
        <v>0.19355610000000001</v>
      </c>
      <c r="ZG17">
        <v>4159</v>
      </c>
      <c r="ZH17">
        <v>5.3618699999999998E-2</v>
      </c>
      <c r="ZI17">
        <v>4159</v>
      </c>
      <c r="ZJ17">
        <v>5.2176E-2</v>
      </c>
      <c r="ZK17">
        <v>4159</v>
      </c>
      <c r="ZL17">
        <v>0.1404184</v>
      </c>
      <c r="ZM17">
        <v>4159</v>
      </c>
      <c r="ZN17">
        <v>0.14811250000000001</v>
      </c>
      <c r="ZO17">
        <v>4159</v>
      </c>
      <c r="ZP17">
        <v>0.41211829999999999</v>
      </c>
      <c r="ZQ17">
        <v>332263</v>
      </c>
      <c r="ZR17">
        <v>0.4879809</v>
      </c>
      <c r="ZS17">
        <v>162138</v>
      </c>
      <c r="ZT17">
        <v>0.75301280000000004</v>
      </c>
      <c r="ZU17">
        <v>162138</v>
      </c>
      <c r="ZV17">
        <v>0.24698709999999999</v>
      </c>
      <c r="ZW17">
        <v>122092</v>
      </c>
      <c r="ZX17">
        <v>0.67787410000000003</v>
      </c>
      <c r="ZY17">
        <v>82763</v>
      </c>
      <c r="ZZ17">
        <v>0.81329819999999997</v>
      </c>
      <c r="AAA17">
        <v>82763</v>
      </c>
      <c r="AAB17">
        <v>1.8051500000000002E-2</v>
      </c>
      <c r="AAC17">
        <v>82763</v>
      </c>
      <c r="AAD17">
        <v>5.60516E-2</v>
      </c>
      <c r="AAE17">
        <v>82763</v>
      </c>
      <c r="AAF17">
        <v>4.4573099999999997E-2</v>
      </c>
      <c r="AAG17">
        <v>82763</v>
      </c>
      <c r="AAH17">
        <v>2.5313200000000001E-2</v>
      </c>
      <c r="AAI17">
        <v>82763</v>
      </c>
      <c r="AAJ17">
        <v>4.2712300000000002E-2</v>
      </c>
      <c r="AAK17">
        <v>122092</v>
      </c>
      <c r="AAL17">
        <v>0.24515120000000001</v>
      </c>
      <c r="AAM17">
        <v>29931</v>
      </c>
      <c r="AAN17">
        <v>0.50178739999999999</v>
      </c>
      <c r="AAO17">
        <v>29931</v>
      </c>
      <c r="AAP17">
        <v>3.7820300000000001E-2</v>
      </c>
      <c r="AAQ17">
        <v>29931</v>
      </c>
      <c r="AAR17">
        <v>0.1086165</v>
      </c>
      <c r="AAS17">
        <v>29931</v>
      </c>
      <c r="AAT17">
        <v>0.1108884</v>
      </c>
      <c r="AAU17">
        <v>29931</v>
      </c>
      <c r="AAV17">
        <v>9.6087699999999998E-2</v>
      </c>
      <c r="AAW17">
        <v>29931</v>
      </c>
      <c r="AAX17">
        <v>0.1447997</v>
      </c>
      <c r="AAY17">
        <v>122092</v>
      </c>
      <c r="AAZ17">
        <v>7.6974699999999993E-2</v>
      </c>
      <c r="ABA17">
        <v>9398</v>
      </c>
      <c r="ABB17">
        <v>0.24398810000000001</v>
      </c>
      <c r="ABC17">
        <v>9398</v>
      </c>
      <c r="ABD17">
        <v>2.4154100000000001E-2</v>
      </c>
      <c r="ABE17">
        <v>9398</v>
      </c>
      <c r="ABF17">
        <v>0.1012981</v>
      </c>
      <c r="ABG17">
        <v>9398</v>
      </c>
      <c r="ABH17">
        <v>0.14290269999999999</v>
      </c>
      <c r="ABI17">
        <v>9398</v>
      </c>
      <c r="ABJ17">
        <v>0.12885720000000001</v>
      </c>
      <c r="ABK17">
        <v>9398</v>
      </c>
      <c r="ABL17">
        <v>0.3587998</v>
      </c>
      <c r="ABM17">
        <v>164060</v>
      </c>
      <c r="ABN17">
        <v>0.73913200000000001</v>
      </c>
      <c r="ABO17">
        <v>121262</v>
      </c>
      <c r="ABP17">
        <v>0.78371630000000003</v>
      </c>
      <c r="ABQ17">
        <v>121262</v>
      </c>
      <c r="ABR17">
        <v>0.2162838</v>
      </c>
      <c r="ABS17">
        <v>26227</v>
      </c>
      <c r="ABT17">
        <v>0.33419759999999998</v>
      </c>
      <c r="ABU17">
        <v>26227</v>
      </c>
      <c r="ABV17">
        <v>0.66580240000000002</v>
      </c>
      <c r="ABW17">
        <v>164060</v>
      </c>
      <c r="ABX17">
        <v>0.26086799999999999</v>
      </c>
      <c r="ABY17">
        <v>42798</v>
      </c>
      <c r="ABZ17">
        <v>0.82730499999999996</v>
      </c>
      <c r="ACA17">
        <v>42798</v>
      </c>
      <c r="ACB17">
        <v>0.17269499999999999</v>
      </c>
      <c r="ACC17">
        <v>382171</v>
      </c>
      <c r="ACD17">
        <v>0.50339769999999995</v>
      </c>
      <c r="ACE17">
        <v>192384</v>
      </c>
      <c r="ACF17">
        <v>0.3454237</v>
      </c>
      <c r="ACG17">
        <v>66454</v>
      </c>
      <c r="ACH17">
        <v>0.18388660000000001</v>
      </c>
      <c r="ACI17">
        <v>66454</v>
      </c>
      <c r="ACJ17">
        <v>0.10214579999999999</v>
      </c>
      <c r="ACK17">
        <v>66454</v>
      </c>
      <c r="ACL17">
        <v>0.22511809999999999</v>
      </c>
      <c r="ACM17">
        <v>66454</v>
      </c>
      <c r="ACN17">
        <v>0.202516</v>
      </c>
      <c r="ACO17">
        <v>66454</v>
      </c>
      <c r="ACP17">
        <v>9.2500100000000002E-2</v>
      </c>
      <c r="ACQ17">
        <v>66454</v>
      </c>
      <c r="ACR17">
        <v>4.6799300000000002E-2</v>
      </c>
      <c r="ACS17">
        <v>66454</v>
      </c>
      <c r="ACT17">
        <v>3.7213700000000002E-2</v>
      </c>
      <c r="ACU17">
        <v>66454</v>
      </c>
      <c r="ACV17">
        <v>4.1096100000000003E-2</v>
      </c>
      <c r="ACW17">
        <v>66454</v>
      </c>
      <c r="ACX17">
        <v>2.6544700000000001E-2</v>
      </c>
      <c r="ACY17">
        <v>66454</v>
      </c>
      <c r="ACZ17">
        <v>1.2595200000000001E-2</v>
      </c>
      <c r="ADA17">
        <v>66454</v>
      </c>
      <c r="ADB17">
        <v>2.0344899999999999E-2</v>
      </c>
      <c r="ADC17">
        <v>66454</v>
      </c>
      <c r="ADD17">
        <v>5.1012999999999996E-3</v>
      </c>
      <c r="ADE17">
        <v>66454</v>
      </c>
      <c r="ADF17">
        <v>4.1381999999999999E-3</v>
      </c>
      <c r="ADG17">
        <v>66454</v>
      </c>
      <c r="ADH17">
        <v>0</v>
      </c>
      <c r="ADI17">
        <v>192384</v>
      </c>
      <c r="ADJ17">
        <v>0.55797779999999997</v>
      </c>
      <c r="ADK17">
        <v>107346</v>
      </c>
      <c r="ADL17">
        <v>0.926369</v>
      </c>
      <c r="ADM17">
        <v>99442</v>
      </c>
      <c r="ADN17">
        <v>0</v>
      </c>
      <c r="ADO17">
        <v>99442</v>
      </c>
      <c r="ADP17">
        <v>0</v>
      </c>
      <c r="ADQ17">
        <v>99442</v>
      </c>
      <c r="ADR17">
        <v>1.0920900000000001E-2</v>
      </c>
      <c r="ADS17">
        <v>99442</v>
      </c>
      <c r="ADT17">
        <v>5.3810299999999998E-2</v>
      </c>
      <c r="ADU17">
        <v>99442</v>
      </c>
      <c r="ADV17">
        <v>0.1115927</v>
      </c>
      <c r="ADW17">
        <v>99442</v>
      </c>
      <c r="ADX17">
        <v>0.13228819999999999</v>
      </c>
      <c r="ADY17">
        <v>99442</v>
      </c>
      <c r="ADZ17">
        <v>0.1260433</v>
      </c>
      <c r="AEA17">
        <v>99442</v>
      </c>
      <c r="AEB17">
        <v>0.1392168</v>
      </c>
      <c r="AEC17">
        <v>99442</v>
      </c>
      <c r="AED17">
        <v>0.113986</v>
      </c>
      <c r="AEE17">
        <v>99442</v>
      </c>
      <c r="AEF17">
        <v>0.10479479999999999</v>
      </c>
      <c r="AEG17">
        <v>99442</v>
      </c>
      <c r="AEH17">
        <v>7.8337100000000007E-2</v>
      </c>
      <c r="AEI17">
        <v>99442</v>
      </c>
      <c r="AEJ17">
        <v>8.7266999999999997E-2</v>
      </c>
      <c r="AEK17">
        <v>99442</v>
      </c>
      <c r="AEL17">
        <v>3.3547199999999999E-2</v>
      </c>
      <c r="AEM17">
        <v>99442</v>
      </c>
      <c r="AEN17">
        <v>8.1957000000000002E-3</v>
      </c>
      <c r="AEO17">
        <v>107346</v>
      </c>
      <c r="AEP17">
        <v>7.3631100000000005E-2</v>
      </c>
      <c r="AEQ17">
        <v>7904</v>
      </c>
      <c r="AER17">
        <v>0.1511893</v>
      </c>
      <c r="AES17">
        <v>1195</v>
      </c>
      <c r="AET17">
        <v>9.7907999999999995E-2</v>
      </c>
      <c r="AEU17">
        <v>1195</v>
      </c>
      <c r="AEV17">
        <v>0</v>
      </c>
      <c r="AEW17">
        <v>1195</v>
      </c>
      <c r="AEX17">
        <v>8.6192500000000005E-2</v>
      </c>
      <c r="AEY17">
        <v>1195</v>
      </c>
      <c r="AEZ17">
        <v>0</v>
      </c>
      <c r="AFA17">
        <v>1195</v>
      </c>
      <c r="AFB17">
        <v>0</v>
      </c>
      <c r="AFC17">
        <v>1195</v>
      </c>
      <c r="AFD17">
        <v>5.2719700000000001E-2</v>
      </c>
      <c r="AFE17">
        <v>1195</v>
      </c>
      <c r="AFF17">
        <v>0.17740590000000001</v>
      </c>
      <c r="AFG17">
        <v>1195</v>
      </c>
      <c r="AFH17">
        <v>0.27447700000000003</v>
      </c>
      <c r="AFI17">
        <v>1195</v>
      </c>
      <c r="AFJ17">
        <v>5.8577400000000002E-2</v>
      </c>
      <c r="AFK17">
        <v>1195</v>
      </c>
      <c r="AFL17">
        <v>0.14393310000000001</v>
      </c>
      <c r="AFM17">
        <v>1195</v>
      </c>
      <c r="AFN17">
        <v>4.3514600000000001E-2</v>
      </c>
      <c r="AFO17">
        <v>1195</v>
      </c>
      <c r="AFP17">
        <v>6.5271999999999997E-2</v>
      </c>
      <c r="AFQ17">
        <v>1195</v>
      </c>
      <c r="AFR17">
        <v>0</v>
      </c>
      <c r="AFS17">
        <v>1195</v>
      </c>
      <c r="AFT17">
        <v>0</v>
      </c>
      <c r="AFU17">
        <v>7904</v>
      </c>
      <c r="AFV17">
        <v>0.84881070000000003</v>
      </c>
      <c r="AFW17">
        <v>6709</v>
      </c>
      <c r="AFX17">
        <v>0</v>
      </c>
      <c r="AFY17">
        <v>6709</v>
      </c>
      <c r="AFZ17">
        <v>1.69921E-2</v>
      </c>
      <c r="AGA17">
        <v>6709</v>
      </c>
      <c r="AGB17">
        <v>8.7345400000000004E-2</v>
      </c>
      <c r="AGC17">
        <v>6709</v>
      </c>
      <c r="AGD17">
        <v>0.1682814</v>
      </c>
      <c r="AGE17">
        <v>6709</v>
      </c>
      <c r="AGF17">
        <v>0.13221050000000001</v>
      </c>
      <c r="AGG17">
        <v>6709</v>
      </c>
      <c r="AGH17">
        <v>0.20956920000000001</v>
      </c>
      <c r="AGI17">
        <v>6709</v>
      </c>
      <c r="AGJ17">
        <v>6.1409999999999999E-2</v>
      </c>
      <c r="AGK17">
        <v>6709</v>
      </c>
      <c r="AGL17">
        <v>5.6044099999999999E-2</v>
      </c>
      <c r="AGM17">
        <v>6709</v>
      </c>
      <c r="AGN17">
        <v>4.96348E-2</v>
      </c>
      <c r="AGO17">
        <v>6709</v>
      </c>
      <c r="AGP17">
        <v>0.11849750000000001</v>
      </c>
      <c r="AGQ17">
        <v>6709</v>
      </c>
      <c r="AGR17">
        <v>3.68162E-2</v>
      </c>
      <c r="AGS17">
        <v>6709</v>
      </c>
      <c r="AGT17">
        <v>3.5325700000000002E-2</v>
      </c>
      <c r="AGU17">
        <v>6709</v>
      </c>
      <c r="AGV17">
        <v>1.37129E-2</v>
      </c>
      <c r="AGW17">
        <v>6709</v>
      </c>
      <c r="AGX17">
        <v>1.41601E-2</v>
      </c>
      <c r="AGY17">
        <v>192384</v>
      </c>
      <c r="AGZ17">
        <v>1.8120000000000001E-2</v>
      </c>
      <c r="AHA17">
        <v>3486</v>
      </c>
      <c r="AHB17">
        <v>0</v>
      </c>
      <c r="AHC17">
        <v>3486</v>
      </c>
      <c r="AHD17">
        <v>0</v>
      </c>
      <c r="AHE17">
        <v>3486</v>
      </c>
      <c r="AHF17">
        <v>0</v>
      </c>
      <c r="AHG17">
        <v>3486</v>
      </c>
      <c r="AHH17">
        <v>0</v>
      </c>
      <c r="AHI17">
        <v>3486</v>
      </c>
      <c r="AHJ17">
        <v>0</v>
      </c>
      <c r="AHK17">
        <v>3486</v>
      </c>
      <c r="AHL17">
        <v>0</v>
      </c>
      <c r="AHM17">
        <v>3486</v>
      </c>
      <c r="AHN17">
        <v>6.5117599999999998E-2</v>
      </c>
      <c r="AHO17">
        <v>3486</v>
      </c>
      <c r="AHP17">
        <v>0</v>
      </c>
      <c r="AHQ17">
        <v>3486</v>
      </c>
      <c r="AHR17">
        <v>4.3029299999999999E-2</v>
      </c>
      <c r="AHS17">
        <v>3486</v>
      </c>
      <c r="AHT17">
        <v>8.4337300000000004E-2</v>
      </c>
      <c r="AHU17">
        <v>3486</v>
      </c>
      <c r="AHV17">
        <v>8.8926999999999999E-3</v>
      </c>
      <c r="AHW17">
        <v>3486</v>
      </c>
      <c r="AHX17">
        <v>0.27051059999999999</v>
      </c>
      <c r="AHY17">
        <v>3486</v>
      </c>
      <c r="AHZ17">
        <v>0.36460130000000002</v>
      </c>
      <c r="AIA17">
        <v>3486</v>
      </c>
      <c r="AIB17">
        <v>0.1635112</v>
      </c>
      <c r="AIC17">
        <v>192384</v>
      </c>
      <c r="AID17">
        <v>7.8478500000000007E-2</v>
      </c>
      <c r="AIE17">
        <v>15098</v>
      </c>
      <c r="AIF17">
        <v>0</v>
      </c>
      <c r="AIG17">
        <v>15098</v>
      </c>
      <c r="AIH17">
        <v>0</v>
      </c>
      <c r="AII17">
        <v>15098</v>
      </c>
      <c r="AIJ17">
        <v>2.74871E-2</v>
      </c>
      <c r="AIK17">
        <v>15098</v>
      </c>
      <c r="AIL17">
        <v>1.0531199999999999E-2</v>
      </c>
      <c r="AIM17">
        <v>15098</v>
      </c>
      <c r="AIN17">
        <v>0.11425349999999999</v>
      </c>
      <c r="AIO17">
        <v>15098</v>
      </c>
      <c r="AIP17">
        <v>0.14087959999999999</v>
      </c>
      <c r="AIQ17">
        <v>15098</v>
      </c>
      <c r="AIR17">
        <v>0.1308783</v>
      </c>
      <c r="AIS17">
        <v>15098</v>
      </c>
      <c r="AIT17">
        <v>0.13094449999999999</v>
      </c>
      <c r="AIU17">
        <v>15098</v>
      </c>
      <c r="AIV17">
        <v>0.151477</v>
      </c>
      <c r="AIW17">
        <v>15098</v>
      </c>
      <c r="AIX17">
        <v>0.1165717</v>
      </c>
      <c r="AIY17">
        <v>15098</v>
      </c>
      <c r="AIZ17">
        <v>4.6761200000000003E-2</v>
      </c>
      <c r="AJA17">
        <v>15098</v>
      </c>
      <c r="AJB17">
        <v>8.4381999999999999E-2</v>
      </c>
      <c r="AJC17">
        <v>15098</v>
      </c>
      <c r="AJD17">
        <v>4.2389700000000002E-2</v>
      </c>
      <c r="AJE17">
        <v>15098</v>
      </c>
      <c r="AJF17">
        <v>3.4442000000000001E-3</v>
      </c>
      <c r="AJG17">
        <v>382171</v>
      </c>
      <c r="AJH17">
        <v>0.4966023</v>
      </c>
      <c r="AJI17">
        <v>189787</v>
      </c>
      <c r="AJJ17">
        <v>0.27929730000000003</v>
      </c>
      <c r="AJK17">
        <v>53007</v>
      </c>
      <c r="AJL17">
        <v>0.21808440000000001</v>
      </c>
      <c r="AJM17">
        <v>53007</v>
      </c>
      <c r="AJN17">
        <v>0.1070991</v>
      </c>
      <c r="AJO17">
        <v>53007</v>
      </c>
      <c r="AJP17">
        <v>0.23927029999999999</v>
      </c>
      <c r="AJQ17">
        <v>53007</v>
      </c>
      <c r="AJR17">
        <v>0.19231419999999999</v>
      </c>
      <c r="AJS17">
        <v>53007</v>
      </c>
      <c r="AJT17">
        <v>6.9179500000000005E-2</v>
      </c>
      <c r="AJU17">
        <v>53007</v>
      </c>
      <c r="AJV17">
        <v>3.7825200000000003E-2</v>
      </c>
      <c r="AJW17">
        <v>53007</v>
      </c>
      <c r="AJX17">
        <v>2.57702E-2</v>
      </c>
      <c r="AJY17">
        <v>53007</v>
      </c>
      <c r="AJZ17">
        <v>2.5940000000000001E-2</v>
      </c>
      <c r="AKA17">
        <v>53007</v>
      </c>
      <c r="AKB17">
        <v>2.85434E-2</v>
      </c>
      <c r="AKC17">
        <v>53007</v>
      </c>
      <c r="AKD17">
        <v>2.03558E-2</v>
      </c>
      <c r="AKE17">
        <v>53007</v>
      </c>
      <c r="AKF17">
        <v>1.78467E-2</v>
      </c>
      <c r="AKG17">
        <v>53007</v>
      </c>
      <c r="AKH17">
        <v>9.1874999999999995E-3</v>
      </c>
      <c r="AKI17">
        <v>53007</v>
      </c>
      <c r="AKJ17">
        <v>3.1882999999999998E-3</v>
      </c>
      <c r="AKK17">
        <v>53007</v>
      </c>
      <c r="AKL17">
        <v>5.3955000000000001E-3</v>
      </c>
      <c r="AKM17">
        <v>189787</v>
      </c>
      <c r="AKN17">
        <v>0.55058560000000001</v>
      </c>
      <c r="AKO17">
        <v>104494</v>
      </c>
      <c r="AKP17">
        <v>0.92008160000000005</v>
      </c>
      <c r="AKQ17">
        <v>96143</v>
      </c>
      <c r="AKR17">
        <v>0</v>
      </c>
      <c r="AKS17">
        <v>96143</v>
      </c>
      <c r="AKT17">
        <v>3.4740000000000001E-3</v>
      </c>
      <c r="AKU17">
        <v>96143</v>
      </c>
      <c r="AKV17">
        <v>2.3309E-2</v>
      </c>
      <c r="AKW17">
        <v>96143</v>
      </c>
      <c r="AKX17">
        <v>8.2450099999999998E-2</v>
      </c>
      <c r="AKY17">
        <v>96143</v>
      </c>
      <c r="AKZ17">
        <v>0.1249077</v>
      </c>
      <c r="ALA17">
        <v>96143</v>
      </c>
      <c r="ALB17">
        <v>0.137826</v>
      </c>
      <c r="ALC17">
        <v>96143</v>
      </c>
      <c r="ALD17">
        <v>0.1243876</v>
      </c>
      <c r="ALE17">
        <v>96143</v>
      </c>
      <c r="ALF17">
        <v>0.13812759999999999</v>
      </c>
      <c r="ALG17">
        <v>96143</v>
      </c>
      <c r="ALH17">
        <v>0.106612</v>
      </c>
      <c r="ALI17">
        <v>96143</v>
      </c>
      <c r="ALJ17">
        <v>9.7927E-2</v>
      </c>
      <c r="ALK17">
        <v>96143</v>
      </c>
      <c r="ALL17">
        <v>5.7747300000000001E-2</v>
      </c>
      <c r="ALM17">
        <v>96143</v>
      </c>
      <c r="ALN17">
        <v>7.6386200000000001E-2</v>
      </c>
      <c r="ALO17">
        <v>96143</v>
      </c>
      <c r="ALP17">
        <v>2.2237699999999999E-2</v>
      </c>
      <c r="ALQ17">
        <v>96143</v>
      </c>
      <c r="ALR17">
        <v>4.6077000000000002E-3</v>
      </c>
      <c r="ALS17">
        <v>104494</v>
      </c>
      <c r="ALT17">
        <v>7.9918500000000003E-2</v>
      </c>
      <c r="ALU17">
        <v>8351</v>
      </c>
      <c r="ALV17">
        <v>0.3700156</v>
      </c>
      <c r="ALW17">
        <v>3090</v>
      </c>
      <c r="ALX17">
        <v>0</v>
      </c>
      <c r="ALY17">
        <v>3090</v>
      </c>
      <c r="ALZ17">
        <v>0</v>
      </c>
      <c r="AMA17">
        <v>3090</v>
      </c>
      <c r="AMB17">
        <v>0</v>
      </c>
      <c r="AMC17">
        <v>3090</v>
      </c>
      <c r="AMD17">
        <v>0.17702270000000001</v>
      </c>
      <c r="AME17">
        <v>3090</v>
      </c>
      <c r="AMF17">
        <v>7.3786400000000002E-2</v>
      </c>
      <c r="AMG17">
        <v>3090</v>
      </c>
      <c r="AMH17">
        <v>0.14466019999999999</v>
      </c>
      <c r="AMI17">
        <v>3090</v>
      </c>
      <c r="AMJ17">
        <v>0.38187700000000002</v>
      </c>
      <c r="AMK17">
        <v>3090</v>
      </c>
      <c r="AML17">
        <v>7.0873800000000001E-2</v>
      </c>
      <c r="AMM17">
        <v>3090</v>
      </c>
      <c r="AMN17">
        <v>2.62136E-2</v>
      </c>
      <c r="AMO17">
        <v>3090</v>
      </c>
      <c r="AMP17">
        <v>0.12556629999999999</v>
      </c>
      <c r="AMQ17">
        <v>3090</v>
      </c>
      <c r="AMR17">
        <v>0</v>
      </c>
      <c r="AMS17">
        <v>3090</v>
      </c>
      <c r="AMT17">
        <v>0</v>
      </c>
      <c r="AMU17">
        <v>3090</v>
      </c>
      <c r="AMV17">
        <v>0</v>
      </c>
      <c r="AMW17">
        <v>3090</v>
      </c>
      <c r="AMX17">
        <v>0</v>
      </c>
      <c r="AMY17">
        <v>8351</v>
      </c>
      <c r="AMZ17">
        <v>0.6299844</v>
      </c>
      <c r="ANA17">
        <v>5261</v>
      </c>
      <c r="ANB17">
        <v>0</v>
      </c>
      <c r="ANC17">
        <v>5261</v>
      </c>
      <c r="AND17">
        <v>0</v>
      </c>
      <c r="ANE17">
        <v>5261</v>
      </c>
      <c r="ANF17">
        <v>9.2948100000000006E-2</v>
      </c>
      <c r="ANG17">
        <v>5261</v>
      </c>
      <c r="ANH17">
        <v>8.70557E-2</v>
      </c>
      <c r="ANI17">
        <v>5261</v>
      </c>
      <c r="ANJ17">
        <v>0.14616989999999999</v>
      </c>
      <c r="ANK17">
        <v>5261</v>
      </c>
      <c r="ANL17">
        <v>8.0973199999999995E-2</v>
      </c>
      <c r="ANM17">
        <v>5261</v>
      </c>
      <c r="ANN17">
        <v>0.1115757</v>
      </c>
      <c r="ANO17">
        <v>5261</v>
      </c>
      <c r="ANP17">
        <v>6.8618100000000001E-2</v>
      </c>
      <c r="ANQ17">
        <v>5261</v>
      </c>
      <c r="ANR17">
        <v>0.15928529999999999</v>
      </c>
      <c r="ANS17">
        <v>5261</v>
      </c>
      <c r="ANT17">
        <v>0.15662419999999999</v>
      </c>
      <c r="ANU17">
        <v>5261</v>
      </c>
      <c r="ANV17">
        <v>6.1395199999999997E-2</v>
      </c>
      <c r="ANW17">
        <v>5261</v>
      </c>
      <c r="ANX17">
        <v>4.9420000000000002E-3</v>
      </c>
      <c r="ANY17">
        <v>5261</v>
      </c>
      <c r="ANZ17">
        <v>1.5966500000000002E-2</v>
      </c>
      <c r="AOA17">
        <v>5261</v>
      </c>
      <c r="AOB17">
        <v>1.4445899999999999E-2</v>
      </c>
      <c r="AOC17">
        <v>189787</v>
      </c>
      <c r="AOD17">
        <v>7.1390599999999999E-2</v>
      </c>
      <c r="AOE17">
        <v>13549</v>
      </c>
      <c r="AOF17">
        <v>0</v>
      </c>
      <c r="AOG17">
        <v>13549</v>
      </c>
      <c r="AOH17">
        <v>0</v>
      </c>
      <c r="AOI17">
        <v>13549</v>
      </c>
      <c r="AOJ17">
        <v>0</v>
      </c>
      <c r="AOK17">
        <v>13549</v>
      </c>
      <c r="AOL17">
        <v>0</v>
      </c>
      <c r="AOM17">
        <v>13549</v>
      </c>
      <c r="AON17">
        <v>0</v>
      </c>
      <c r="AOO17">
        <v>13549</v>
      </c>
      <c r="AOP17">
        <v>0</v>
      </c>
      <c r="AOQ17">
        <v>13549</v>
      </c>
      <c r="AOR17">
        <v>2.51679E-2</v>
      </c>
      <c r="AOS17">
        <v>13549</v>
      </c>
      <c r="AOT17">
        <v>3.9264899999999998E-2</v>
      </c>
      <c r="AOU17">
        <v>13549</v>
      </c>
      <c r="AOV17">
        <v>4.3250400000000001E-2</v>
      </c>
      <c r="AOW17">
        <v>13549</v>
      </c>
      <c r="AOX17">
        <v>6.2071000000000001E-2</v>
      </c>
      <c r="AOY17">
        <v>13549</v>
      </c>
      <c r="AOZ17">
        <v>7.7422699999999997E-2</v>
      </c>
      <c r="APA17">
        <v>13549</v>
      </c>
      <c r="APB17">
        <v>0.15558340000000001</v>
      </c>
      <c r="APC17">
        <v>13549</v>
      </c>
      <c r="APD17">
        <v>0.38216840000000002</v>
      </c>
      <c r="APE17">
        <v>13549</v>
      </c>
      <c r="APF17">
        <v>0.21507119999999999</v>
      </c>
      <c r="APG17">
        <v>189787</v>
      </c>
      <c r="APH17">
        <v>9.8726499999999995E-2</v>
      </c>
      <c r="API17">
        <v>18737</v>
      </c>
      <c r="APJ17">
        <v>0</v>
      </c>
      <c r="APK17">
        <v>18737</v>
      </c>
      <c r="APL17">
        <v>0</v>
      </c>
      <c r="APM17">
        <v>18737</v>
      </c>
      <c r="APN17">
        <v>2.9353999999999999E-3</v>
      </c>
      <c r="APO17">
        <v>18737</v>
      </c>
      <c r="APP17">
        <v>3.2182299999999997E-2</v>
      </c>
      <c r="APQ17">
        <v>18737</v>
      </c>
      <c r="APR17">
        <v>4.8300200000000001E-2</v>
      </c>
      <c r="APS17">
        <v>18737</v>
      </c>
      <c r="APT17">
        <v>9.9428900000000001E-2</v>
      </c>
      <c r="APU17">
        <v>18737</v>
      </c>
      <c r="APV17">
        <v>0.14212520000000001</v>
      </c>
      <c r="APW17">
        <v>18737</v>
      </c>
      <c r="APX17">
        <v>0.14874309999999999</v>
      </c>
      <c r="APY17">
        <v>18737</v>
      </c>
      <c r="APZ17">
        <v>0.1453274</v>
      </c>
      <c r="AQA17">
        <v>18737</v>
      </c>
      <c r="AQB17">
        <v>0.13758870000000001</v>
      </c>
      <c r="AQC17">
        <v>18737</v>
      </c>
      <c r="AQD17">
        <v>8.8114399999999996E-2</v>
      </c>
      <c r="AQE17">
        <v>18737</v>
      </c>
      <c r="AQF17">
        <v>0.1193361</v>
      </c>
      <c r="AQG17">
        <v>18737</v>
      </c>
      <c r="AQH17">
        <v>1.8359400000000001E-2</v>
      </c>
      <c r="AQI17">
        <v>18737</v>
      </c>
      <c r="AQJ17">
        <v>1.7558799999999999E-2</v>
      </c>
      <c r="AQK17">
        <v>64548</v>
      </c>
      <c r="AQL17">
        <v>0.17515649999999999</v>
      </c>
      <c r="AQM17">
        <v>164060</v>
      </c>
      <c r="AQN17">
        <v>0.76236740000000003</v>
      </c>
      <c r="AQO17">
        <v>125074</v>
      </c>
      <c r="AQP17">
        <v>0.79369009999999995</v>
      </c>
      <c r="AQQ17">
        <v>99270</v>
      </c>
      <c r="AQR17">
        <v>0.85823510000000003</v>
      </c>
      <c r="AQS17">
        <v>85197</v>
      </c>
      <c r="AQT17">
        <v>0.49509959999999997</v>
      </c>
      <c r="AQU17">
        <v>85197</v>
      </c>
      <c r="AQV17">
        <v>0.50490040000000003</v>
      </c>
      <c r="AQW17">
        <v>99270</v>
      </c>
      <c r="AQX17">
        <v>0.1417649</v>
      </c>
      <c r="AQY17">
        <v>14073</v>
      </c>
      <c r="AQZ17">
        <v>0.37682090000000001</v>
      </c>
      <c r="ARA17">
        <v>5303</v>
      </c>
      <c r="ARB17">
        <v>0.50235719999999995</v>
      </c>
      <c r="ARC17">
        <v>5303</v>
      </c>
      <c r="ARD17">
        <v>0.4976428</v>
      </c>
      <c r="ARE17">
        <v>14073</v>
      </c>
      <c r="ARF17">
        <v>0.62317909999999999</v>
      </c>
      <c r="ARG17">
        <v>8770</v>
      </c>
      <c r="ARH17">
        <v>0.55997719999999995</v>
      </c>
      <c r="ARI17">
        <v>8770</v>
      </c>
      <c r="ARJ17">
        <v>0.44002279999999999</v>
      </c>
      <c r="ARK17">
        <v>125074</v>
      </c>
      <c r="ARL17">
        <v>0.20630989999999999</v>
      </c>
      <c r="ARM17">
        <v>164060</v>
      </c>
      <c r="ARN17">
        <v>0.2376326</v>
      </c>
      <c r="ARO17">
        <v>38986</v>
      </c>
      <c r="ARP17">
        <v>0.56409989999999999</v>
      </c>
      <c r="ARQ17">
        <v>21992</v>
      </c>
      <c r="ARR17">
        <v>0.44734449999999998</v>
      </c>
      <c r="ARS17">
        <v>9838</v>
      </c>
      <c r="ART17">
        <v>0.57735309999999995</v>
      </c>
      <c r="ARU17">
        <v>9838</v>
      </c>
      <c r="ARV17">
        <v>0.42264689999999999</v>
      </c>
      <c r="ARW17">
        <v>21992</v>
      </c>
      <c r="ARX17">
        <v>0.55265549999999997</v>
      </c>
      <c r="ARY17">
        <v>12154</v>
      </c>
      <c r="ARZ17">
        <v>0.2848445</v>
      </c>
      <c r="ASA17">
        <v>3462</v>
      </c>
      <c r="ASB17">
        <v>0.78480649999999996</v>
      </c>
      <c r="ASC17">
        <v>3462</v>
      </c>
      <c r="ASD17">
        <v>0.21519350000000001</v>
      </c>
      <c r="ASE17">
        <v>12154</v>
      </c>
      <c r="ASF17">
        <v>0.71515550000000006</v>
      </c>
      <c r="ASG17">
        <v>8692</v>
      </c>
      <c r="ASH17">
        <v>0.735734</v>
      </c>
      <c r="ASI17">
        <v>8692</v>
      </c>
      <c r="ASJ17">
        <v>0.264266</v>
      </c>
      <c r="ASK17">
        <v>38986</v>
      </c>
      <c r="ASL17">
        <v>0.43590010000000001</v>
      </c>
      <c r="ASM17">
        <v>175840</v>
      </c>
      <c r="ASN17">
        <v>0.61265919999999996</v>
      </c>
      <c r="ASO17">
        <v>107730</v>
      </c>
      <c r="ASP17">
        <v>0.34835240000000001</v>
      </c>
      <c r="ASQ17">
        <v>37528</v>
      </c>
      <c r="ASR17">
        <v>0.57620979999999999</v>
      </c>
      <c r="ASS17">
        <v>21624</v>
      </c>
      <c r="AST17">
        <v>0.73802259999999997</v>
      </c>
      <c r="ASU17">
        <v>21624</v>
      </c>
      <c r="ASV17">
        <v>0.26197740000000003</v>
      </c>
      <c r="ASW17">
        <v>37528</v>
      </c>
      <c r="ASX17">
        <v>0.42379020000000001</v>
      </c>
      <c r="ASY17">
        <v>15904</v>
      </c>
      <c r="ASZ17">
        <v>0.2869718</v>
      </c>
      <c r="ATA17">
        <v>15904</v>
      </c>
      <c r="ATB17">
        <v>0.22208249999999999</v>
      </c>
      <c r="ATC17">
        <v>15904</v>
      </c>
      <c r="ATD17">
        <v>5.4263100000000002E-2</v>
      </c>
      <c r="ATE17">
        <v>37528</v>
      </c>
      <c r="ATF17">
        <v>2.22767E-2</v>
      </c>
      <c r="ATG17">
        <v>836</v>
      </c>
      <c r="ATH17">
        <v>1.031101</v>
      </c>
      <c r="ATI17">
        <v>836</v>
      </c>
      <c r="ATJ17">
        <v>2.3624399999999999</v>
      </c>
      <c r="ATK17">
        <v>836</v>
      </c>
      <c r="ATL17">
        <v>1.7739229999999999</v>
      </c>
      <c r="ATM17">
        <v>836</v>
      </c>
      <c r="ATN17">
        <v>2.1399520000000001</v>
      </c>
      <c r="ATO17">
        <v>37528</v>
      </c>
      <c r="ATP17">
        <v>3.37615E-2</v>
      </c>
      <c r="ATQ17">
        <v>1267</v>
      </c>
      <c r="ATR17">
        <v>0.4119968</v>
      </c>
      <c r="ATS17">
        <v>1267</v>
      </c>
      <c r="ATT17">
        <v>9.786899</v>
      </c>
      <c r="ATU17">
        <v>107730</v>
      </c>
      <c r="ATV17">
        <v>7.2400000000000003E-4</v>
      </c>
      <c r="ATW17">
        <v>78</v>
      </c>
      <c r="ATX17">
        <v>30.192309999999999</v>
      </c>
      <c r="ATY17">
        <v>78</v>
      </c>
      <c r="ATZ17">
        <v>13.371790000000001</v>
      </c>
      <c r="AUA17">
        <v>1043</v>
      </c>
      <c r="AUB17">
        <v>1.2579100000000001</v>
      </c>
      <c r="AUC17">
        <v>1043</v>
      </c>
      <c r="AUD17">
        <v>3.2157239999999998</v>
      </c>
      <c r="AUE17">
        <v>78</v>
      </c>
      <c r="AUF17">
        <v>70.166659999999993</v>
      </c>
      <c r="AUG17">
        <v>78</v>
      </c>
      <c r="AUH17">
        <v>14.61539</v>
      </c>
      <c r="AUI17">
        <v>78</v>
      </c>
      <c r="AUJ17">
        <v>254.0256</v>
      </c>
      <c r="AUK17">
        <v>107730</v>
      </c>
      <c r="AUL17">
        <v>0.1179709</v>
      </c>
      <c r="AUM17">
        <v>12709</v>
      </c>
      <c r="AUN17">
        <v>0.55905260000000001</v>
      </c>
      <c r="AUO17">
        <v>12709</v>
      </c>
      <c r="AUP17">
        <v>1.48714E-2</v>
      </c>
      <c r="AUQ17">
        <v>107730</v>
      </c>
      <c r="AUR17">
        <v>0.14811099999999999</v>
      </c>
      <c r="AUS17">
        <v>15956</v>
      </c>
      <c r="AUT17">
        <v>0.61318620000000001</v>
      </c>
      <c r="AUU17">
        <v>15956</v>
      </c>
      <c r="AUV17">
        <v>0.38681369999999998</v>
      </c>
      <c r="AUW17">
        <v>15956</v>
      </c>
      <c r="AUX17">
        <v>1.3689519999999999</v>
      </c>
      <c r="AUY17">
        <v>107730</v>
      </c>
      <c r="AUZ17">
        <v>0.10353660000000001</v>
      </c>
      <c r="AVA17">
        <v>11154</v>
      </c>
      <c r="AVB17">
        <v>0.95831089999999997</v>
      </c>
      <c r="AVC17">
        <v>11154</v>
      </c>
      <c r="AVD17">
        <v>8.9295299999999994E-2</v>
      </c>
      <c r="AVE17">
        <v>11154</v>
      </c>
      <c r="AVF17">
        <v>0.4069392</v>
      </c>
      <c r="AVG17">
        <v>175840</v>
      </c>
      <c r="AVH17">
        <v>2.9310699999999999E-2</v>
      </c>
      <c r="AVI17">
        <v>5154</v>
      </c>
      <c r="AVJ17">
        <v>13.214980000000001</v>
      </c>
      <c r="AVK17">
        <v>68110</v>
      </c>
      <c r="AVL17">
        <v>0.42335929999999999</v>
      </c>
      <c r="AVM17">
        <v>28835</v>
      </c>
      <c r="AVN17">
        <v>0.42646089999999998</v>
      </c>
      <c r="AVO17">
        <v>28835</v>
      </c>
      <c r="AVP17">
        <v>0.25621640000000001</v>
      </c>
      <c r="AVQ17">
        <v>68110</v>
      </c>
      <c r="AVR17">
        <v>7.2074600000000003E-2</v>
      </c>
      <c r="AVS17">
        <v>4909</v>
      </c>
      <c r="AVT17">
        <v>3.3689140000000002</v>
      </c>
      <c r="AVU17">
        <v>4909</v>
      </c>
      <c r="AVV17">
        <v>0.16398450000000001</v>
      </c>
      <c r="AVW17">
        <v>4909</v>
      </c>
      <c r="AVX17">
        <v>7.5575500000000004E-2</v>
      </c>
      <c r="AVY17">
        <v>68110</v>
      </c>
      <c r="AVZ17">
        <v>1.2156800000000001E-2</v>
      </c>
      <c r="AWA17">
        <v>828</v>
      </c>
      <c r="AWB17">
        <v>1.7596620000000001</v>
      </c>
      <c r="AWC17">
        <v>828</v>
      </c>
      <c r="AWD17">
        <v>0.77173910000000001</v>
      </c>
      <c r="AWE17">
        <v>828</v>
      </c>
      <c r="AWF17">
        <v>8.0277779999999996</v>
      </c>
      <c r="AWG17">
        <v>828</v>
      </c>
      <c r="AWH17">
        <v>1.4794689999999999</v>
      </c>
      <c r="AWI17">
        <v>68110</v>
      </c>
      <c r="AWJ17">
        <v>6.7038600000000004E-2</v>
      </c>
      <c r="AWK17">
        <v>4566</v>
      </c>
      <c r="AWL17">
        <v>0.70565040000000001</v>
      </c>
      <c r="AWM17">
        <v>4566</v>
      </c>
      <c r="AWN17">
        <v>0.29434959999999999</v>
      </c>
      <c r="AWO17">
        <v>5154</v>
      </c>
      <c r="AWP17">
        <v>1.484478</v>
      </c>
      <c r="AWQ17">
        <v>7651</v>
      </c>
      <c r="AWR17">
        <v>0.19945109999999999</v>
      </c>
      <c r="AWS17">
        <v>7651</v>
      </c>
      <c r="AWT17">
        <v>5.3718500000000002E-2</v>
      </c>
      <c r="AWU17">
        <v>411</v>
      </c>
      <c r="AWV17">
        <v>0.65206810000000004</v>
      </c>
      <c r="AWW17">
        <v>411</v>
      </c>
      <c r="AWX17">
        <v>0.34793190000000002</v>
      </c>
      <c r="AWY17">
        <v>7651</v>
      </c>
      <c r="AWZ17">
        <v>0.26741599999999999</v>
      </c>
      <c r="AXA17">
        <v>7651</v>
      </c>
      <c r="AXB17">
        <v>0.1973598</v>
      </c>
      <c r="AXC17">
        <v>7651</v>
      </c>
      <c r="AXD17">
        <v>0.28205459999999999</v>
      </c>
      <c r="AXE17">
        <v>5154</v>
      </c>
      <c r="AXF17">
        <v>4.4076449999999996</v>
      </c>
      <c r="AXG17">
        <v>22717</v>
      </c>
      <c r="AXH17">
        <v>0.2636792</v>
      </c>
      <c r="AXI17">
        <v>22717</v>
      </c>
      <c r="AXJ17">
        <v>0.7363208</v>
      </c>
      <c r="AXK17">
        <v>5154</v>
      </c>
      <c r="AXL17">
        <v>6.7908399999999994E-2</v>
      </c>
      <c r="AXM17">
        <v>350</v>
      </c>
      <c r="AXN17">
        <v>0.48571429999999999</v>
      </c>
      <c r="AXO17">
        <v>350</v>
      </c>
      <c r="AXP17">
        <v>0.46</v>
      </c>
      <c r="AXQ17">
        <v>350</v>
      </c>
      <c r="AXR17">
        <v>2.5714299999999999E-2</v>
      </c>
      <c r="AXS17">
        <v>5154</v>
      </c>
      <c r="AXT17">
        <v>1.6272800000000001</v>
      </c>
      <c r="AXU17">
        <v>8387</v>
      </c>
      <c r="AXV17">
        <v>0.804817</v>
      </c>
      <c r="AXW17">
        <v>8387</v>
      </c>
      <c r="AXX17">
        <v>0.195183</v>
      </c>
      <c r="AXY17">
        <v>8387</v>
      </c>
      <c r="AXZ17">
        <v>6.2001000000000001E-3</v>
      </c>
      <c r="AYA17">
        <v>24052</v>
      </c>
      <c r="AYB17">
        <v>5.4091100000000003E-2</v>
      </c>
      <c r="AYC17">
        <v>24052</v>
      </c>
      <c r="AYD17">
        <v>0.19790450000000001</v>
      </c>
      <c r="AYE17">
        <v>24052</v>
      </c>
      <c r="AYF17">
        <v>0.3057126</v>
      </c>
      <c r="AYG17">
        <v>24052</v>
      </c>
      <c r="AYH17">
        <v>0.2944869</v>
      </c>
      <c r="AYI17">
        <v>24052</v>
      </c>
      <c r="AYJ17">
        <v>4.3863300000000001E-2</v>
      </c>
      <c r="AYK17">
        <v>24052</v>
      </c>
      <c r="AYL17">
        <v>0.10394150000000001</v>
      </c>
      <c r="AYM17">
        <v>24052</v>
      </c>
      <c r="AYN17">
        <v>0</v>
      </c>
      <c r="AYO17">
        <v>39953</v>
      </c>
      <c r="AYP17">
        <v>0.13200509999999999</v>
      </c>
      <c r="AYQ17">
        <v>39953</v>
      </c>
      <c r="AYR17">
        <v>0.11826399999999999</v>
      </c>
      <c r="AYS17">
        <v>39953</v>
      </c>
      <c r="AYT17">
        <v>0.26190780000000002</v>
      </c>
      <c r="AYU17">
        <v>39953</v>
      </c>
      <c r="AYV17">
        <v>0.1543814</v>
      </c>
      <c r="AYW17">
        <v>39953</v>
      </c>
      <c r="AYX17">
        <v>5.7567599999999997E-2</v>
      </c>
      <c r="AYY17">
        <v>39953</v>
      </c>
      <c r="AYZ17">
        <v>0.2283683</v>
      </c>
      <c r="AZA17">
        <v>39953</v>
      </c>
      <c r="AZB17">
        <v>4.7505800000000001E-2</v>
      </c>
      <c r="AZC17">
        <v>37695</v>
      </c>
      <c r="AZD17">
        <v>9.5025899999999996E-2</v>
      </c>
      <c r="AZE17">
        <v>37695</v>
      </c>
      <c r="AZF17">
        <v>7.2635599999999995E-2</v>
      </c>
      <c r="AZG17">
        <v>37695</v>
      </c>
      <c r="AZH17">
        <v>0.26234249999999998</v>
      </c>
      <c r="AZI17">
        <v>37695</v>
      </c>
      <c r="AZJ17">
        <v>0.187054</v>
      </c>
      <c r="AZK17">
        <v>37695</v>
      </c>
      <c r="AZL17">
        <v>7.1707099999999996E-2</v>
      </c>
      <c r="AZM17">
        <v>37695</v>
      </c>
      <c r="AZN17">
        <v>0.1896803</v>
      </c>
      <c r="AZO17">
        <v>37695</v>
      </c>
      <c r="AZP17">
        <v>0.1215546</v>
      </c>
      <c r="AZQ17">
        <v>59652</v>
      </c>
      <c r="AZR17">
        <v>7.0508899999999999E-2</v>
      </c>
      <c r="AZS17">
        <v>59652</v>
      </c>
      <c r="AZT17">
        <v>7.2101499999999999E-2</v>
      </c>
      <c r="AZU17">
        <v>59652</v>
      </c>
      <c r="AZV17">
        <v>0.21840000000000001</v>
      </c>
      <c r="AZW17">
        <v>59652</v>
      </c>
      <c r="AZX17">
        <v>0.202072</v>
      </c>
      <c r="AZY17">
        <v>59652</v>
      </c>
      <c r="AZZ17">
        <v>6.5597100000000005E-2</v>
      </c>
      <c r="BAA17">
        <v>59652</v>
      </c>
      <c r="BAB17">
        <v>0.21762889999999999</v>
      </c>
      <c r="BAC17">
        <v>59652</v>
      </c>
      <c r="BAD17">
        <v>0.15369140000000001</v>
      </c>
      <c r="BAE17">
        <v>18695</v>
      </c>
      <c r="BAF17">
        <v>0.13324420000000001</v>
      </c>
      <c r="BAG17">
        <v>18695</v>
      </c>
      <c r="BAH17">
        <v>0.1177855</v>
      </c>
      <c r="BAI17">
        <v>18695</v>
      </c>
      <c r="BAJ17">
        <v>0.21027009999999999</v>
      </c>
      <c r="BAK17">
        <v>18695</v>
      </c>
      <c r="BAL17">
        <v>0.23535700000000001</v>
      </c>
      <c r="BAM17">
        <v>18695</v>
      </c>
      <c r="BAN17">
        <v>2.24659E-2</v>
      </c>
      <c r="BAO17">
        <v>18695</v>
      </c>
      <c r="BAP17">
        <v>0.1621824</v>
      </c>
      <c r="BAQ17">
        <v>18695</v>
      </c>
      <c r="BAR17">
        <v>0.1186948</v>
      </c>
      <c r="BAS17">
        <v>21479</v>
      </c>
      <c r="BAT17">
        <v>2.81205E-2</v>
      </c>
      <c r="BAU17">
        <v>21479</v>
      </c>
      <c r="BAV17">
        <v>0.12295730000000001</v>
      </c>
      <c r="BAW17">
        <v>21479</v>
      </c>
      <c r="BAX17">
        <v>0.2809721</v>
      </c>
      <c r="BAY17">
        <v>21479</v>
      </c>
      <c r="BAZ17">
        <v>0.38274599999999998</v>
      </c>
      <c r="BBA17">
        <v>21479</v>
      </c>
      <c r="BBB17">
        <v>6.7461199999999999E-2</v>
      </c>
      <c r="BBC17">
        <v>21479</v>
      </c>
      <c r="BBD17">
        <v>0.11462360000000001</v>
      </c>
      <c r="BBE17">
        <v>21479</v>
      </c>
      <c r="BBF17">
        <v>3.1193000000000002E-3</v>
      </c>
      <c r="BBG17">
        <v>37307</v>
      </c>
      <c r="BBH17">
        <v>6.8807499999999994E-2</v>
      </c>
      <c r="BBI17">
        <v>37307</v>
      </c>
      <c r="BBJ17">
        <v>8.5721199999999997E-2</v>
      </c>
      <c r="BBK17">
        <v>37307</v>
      </c>
      <c r="BBL17">
        <v>0.249551</v>
      </c>
      <c r="BBM17">
        <v>37307</v>
      </c>
      <c r="BBN17">
        <v>0.15058840000000001</v>
      </c>
      <c r="BBO17">
        <v>37307</v>
      </c>
      <c r="BBP17">
        <v>7.5535400000000003E-2</v>
      </c>
      <c r="BBQ17">
        <v>37307</v>
      </c>
      <c r="BBR17">
        <v>0.26496370000000002</v>
      </c>
      <c r="BBS17">
        <v>37307</v>
      </c>
      <c r="BBT17">
        <v>0.10483290000000001</v>
      </c>
      <c r="BBU17">
        <v>36088</v>
      </c>
      <c r="BBV17">
        <v>6.2486100000000003E-2</v>
      </c>
      <c r="BBW17">
        <v>36088</v>
      </c>
      <c r="BBX17">
        <v>6.6226999999999994E-2</v>
      </c>
      <c r="BBY17">
        <v>36088</v>
      </c>
      <c r="BBZ17">
        <v>0.19469069999999999</v>
      </c>
      <c r="BCA17">
        <v>36088</v>
      </c>
      <c r="BCB17">
        <v>0.21561179999999999</v>
      </c>
      <c r="BCC17">
        <v>36088</v>
      </c>
      <c r="BCD17">
        <v>7.1076299999999995E-2</v>
      </c>
      <c r="BCE17">
        <v>36088</v>
      </c>
      <c r="BCF17">
        <v>0.27349810000000002</v>
      </c>
      <c r="BCG17">
        <v>36088</v>
      </c>
      <c r="BCH17">
        <v>0.1164099</v>
      </c>
      <c r="BCI17">
        <v>59191</v>
      </c>
      <c r="BCJ17">
        <v>7.1041199999999999E-2</v>
      </c>
      <c r="BCK17">
        <v>59191</v>
      </c>
      <c r="BCL17">
        <v>7.0652599999999996E-2</v>
      </c>
      <c r="BCM17">
        <v>59191</v>
      </c>
      <c r="BCN17">
        <v>0.237874</v>
      </c>
      <c r="BCO17">
        <v>59191</v>
      </c>
      <c r="BCP17">
        <v>0.23040669999999999</v>
      </c>
      <c r="BCQ17">
        <v>59191</v>
      </c>
      <c r="BCR17">
        <v>8.98785E-2</v>
      </c>
      <c r="BCS17">
        <v>59191</v>
      </c>
      <c r="BCT17">
        <v>0.18343999999999999</v>
      </c>
      <c r="BCU17">
        <v>59191</v>
      </c>
      <c r="BCV17">
        <v>0.1167069</v>
      </c>
      <c r="BCW17">
        <v>24162</v>
      </c>
      <c r="BCX17">
        <v>0.16112080000000001</v>
      </c>
      <c r="BCY17">
        <v>24162</v>
      </c>
      <c r="BCZ17">
        <v>8.06225E-2</v>
      </c>
      <c r="BDA17">
        <v>24162</v>
      </c>
      <c r="BDB17">
        <v>0.40981709999999999</v>
      </c>
      <c r="BDC17">
        <v>24162</v>
      </c>
      <c r="BDD17">
        <v>0.18297330000000001</v>
      </c>
      <c r="BDE17">
        <v>24162</v>
      </c>
      <c r="BDF17">
        <v>2.1397200000000002E-2</v>
      </c>
      <c r="BDG17">
        <v>24162</v>
      </c>
      <c r="BDH17">
        <v>9.3618099999999996E-2</v>
      </c>
      <c r="BDI17">
        <v>24162</v>
      </c>
      <c r="BDJ17">
        <v>5.0451099999999999E-2</v>
      </c>
      <c r="BDK17">
        <v>124529</v>
      </c>
      <c r="BDL17">
        <v>7.4898199999999998E-2</v>
      </c>
      <c r="BDM17">
        <v>9327</v>
      </c>
      <c r="BDN17">
        <v>0.71341270000000001</v>
      </c>
      <c r="BDO17">
        <v>6654</v>
      </c>
      <c r="BDP17">
        <v>0.57063419999999998</v>
      </c>
      <c r="BDQ17">
        <v>6654</v>
      </c>
      <c r="BDR17">
        <v>0.42936580000000002</v>
      </c>
      <c r="BDS17">
        <v>9327</v>
      </c>
      <c r="BDT17">
        <v>0.28658729999999999</v>
      </c>
      <c r="BDU17">
        <v>2673</v>
      </c>
      <c r="BDV17">
        <v>0.77403659999999996</v>
      </c>
      <c r="BDW17">
        <v>2673</v>
      </c>
      <c r="BDX17">
        <v>0.22596330000000001</v>
      </c>
      <c r="BDY17">
        <v>124529</v>
      </c>
      <c r="BDZ17">
        <v>0.92510179999999997</v>
      </c>
      <c r="BEA17">
        <v>115202</v>
      </c>
      <c r="BEB17">
        <v>0.53927879999999995</v>
      </c>
      <c r="BEC17">
        <v>62126</v>
      </c>
      <c r="BED17">
        <v>0.71438690000000005</v>
      </c>
      <c r="BEE17">
        <v>62126</v>
      </c>
      <c r="BEF17">
        <v>0.28561310000000001</v>
      </c>
      <c r="BEG17">
        <v>115202</v>
      </c>
      <c r="BEH17">
        <v>0.4607212</v>
      </c>
      <c r="BEI17">
        <v>53076</v>
      </c>
      <c r="BEJ17">
        <v>0.74973619999999996</v>
      </c>
      <c r="BEK17">
        <v>53076</v>
      </c>
      <c r="BEL17">
        <v>0.25026379999999998</v>
      </c>
      <c r="BEM17">
        <v>249067</v>
      </c>
      <c r="BEN17">
        <v>0.55711920000000004</v>
      </c>
      <c r="BEO17">
        <v>138760</v>
      </c>
      <c r="BEP17">
        <v>0.8624387</v>
      </c>
      <c r="BEQ17">
        <v>119672</v>
      </c>
      <c r="BER17">
        <v>0.29076980000000002</v>
      </c>
      <c r="BES17">
        <v>119672</v>
      </c>
      <c r="BET17">
        <v>0.70923020000000003</v>
      </c>
      <c r="BEU17">
        <v>138760</v>
      </c>
      <c r="BEV17">
        <v>0.1375613</v>
      </c>
      <c r="BEW17">
        <v>249067</v>
      </c>
      <c r="BEX17">
        <v>0.44288080000000002</v>
      </c>
      <c r="BEY17">
        <v>110307</v>
      </c>
      <c r="BEZ17">
        <v>0.87461359999999999</v>
      </c>
      <c r="BFA17">
        <v>96476</v>
      </c>
      <c r="BFB17">
        <v>0.3304552</v>
      </c>
      <c r="BFC17">
        <v>96476</v>
      </c>
      <c r="BFD17">
        <v>0.66954480000000005</v>
      </c>
      <c r="BFE17">
        <v>110307</v>
      </c>
      <c r="BFF17">
        <v>0.12538640000000001</v>
      </c>
      <c r="BFG17">
        <v>256514</v>
      </c>
      <c r="BFH17">
        <v>0.2981007</v>
      </c>
      <c r="BFI17">
        <v>76467</v>
      </c>
      <c r="BFJ17">
        <v>0.95877959999999995</v>
      </c>
      <c r="BFK17">
        <v>76467</v>
      </c>
      <c r="BFL17">
        <v>4.1220399999999997E-2</v>
      </c>
      <c r="BFM17">
        <v>3152</v>
      </c>
      <c r="BFN17">
        <v>0.1811548</v>
      </c>
      <c r="BFO17">
        <v>3152</v>
      </c>
      <c r="BFP17">
        <v>0.81884520000000005</v>
      </c>
      <c r="BFQ17">
        <v>256514</v>
      </c>
      <c r="BFR17">
        <v>0.7018993</v>
      </c>
      <c r="BFS17">
        <v>180047</v>
      </c>
      <c r="BFT17">
        <v>0.76537790000000006</v>
      </c>
      <c r="BFU17">
        <v>180047</v>
      </c>
      <c r="BFV17">
        <v>0.2346221</v>
      </c>
      <c r="BFW17">
        <v>42243</v>
      </c>
      <c r="BFX17">
        <v>0.30719879999999999</v>
      </c>
      <c r="BFY17">
        <v>42243</v>
      </c>
      <c r="BFZ17">
        <v>0.69280120000000001</v>
      </c>
      <c r="BGA17">
        <v>251065</v>
      </c>
      <c r="BGB17">
        <v>0.29011609999999999</v>
      </c>
      <c r="BGC17">
        <v>72838</v>
      </c>
      <c r="BGD17">
        <v>0.94600340000000005</v>
      </c>
      <c r="BGE17">
        <v>72838</v>
      </c>
      <c r="BGF17">
        <v>5.3996500000000003E-2</v>
      </c>
      <c r="BGG17">
        <v>3933</v>
      </c>
      <c r="BGH17">
        <v>0.18586320000000001</v>
      </c>
      <c r="BGI17">
        <v>3933</v>
      </c>
      <c r="BGJ17">
        <v>0.81413679999999999</v>
      </c>
      <c r="BGK17">
        <v>251065</v>
      </c>
      <c r="BGL17">
        <v>0.70988390000000001</v>
      </c>
      <c r="BGM17">
        <v>178227</v>
      </c>
      <c r="BGN17">
        <v>0.78861789999999998</v>
      </c>
      <c r="BGO17">
        <v>178227</v>
      </c>
      <c r="BGP17">
        <v>0.21138209999999999</v>
      </c>
      <c r="BGQ17">
        <v>37674</v>
      </c>
      <c r="BGR17">
        <v>0.35756749999999998</v>
      </c>
      <c r="BGS17">
        <v>37674</v>
      </c>
      <c r="BGT17">
        <v>0.64243249999999996</v>
      </c>
    </row>
    <row r="18" spans="1:1554" x14ac:dyDescent="0.25">
      <c r="A18" t="s">
        <v>134</v>
      </c>
      <c r="B18">
        <v>2009</v>
      </c>
      <c r="C18">
        <v>1</v>
      </c>
      <c r="D18" t="s">
        <v>543</v>
      </c>
      <c r="E18">
        <v>47423</v>
      </c>
      <c r="F18">
        <v>0.43253269999999999</v>
      </c>
      <c r="G18">
        <v>20512</v>
      </c>
      <c r="H18">
        <v>0.14596329999999999</v>
      </c>
      <c r="I18">
        <v>20512</v>
      </c>
      <c r="J18">
        <v>2.5107299999999999E-2</v>
      </c>
      <c r="K18">
        <v>20512</v>
      </c>
      <c r="L18">
        <v>0.1593214</v>
      </c>
      <c r="M18">
        <v>20512</v>
      </c>
      <c r="N18">
        <v>4.8166899999999999E-2</v>
      </c>
      <c r="O18">
        <v>20512</v>
      </c>
      <c r="P18">
        <v>2.0622100000000001E-2</v>
      </c>
      <c r="Q18">
        <v>20512</v>
      </c>
      <c r="R18">
        <v>3.7392700000000001E-2</v>
      </c>
      <c r="S18">
        <v>20512</v>
      </c>
      <c r="T18">
        <v>0.1223674</v>
      </c>
      <c r="U18">
        <v>20512</v>
      </c>
      <c r="V18">
        <v>6.9715299999999994E-2</v>
      </c>
      <c r="W18">
        <v>20512</v>
      </c>
      <c r="X18">
        <v>0.15215480000000001</v>
      </c>
      <c r="Y18">
        <v>20512</v>
      </c>
      <c r="Z18">
        <v>0.1502048</v>
      </c>
      <c r="AA18">
        <v>20512</v>
      </c>
      <c r="AB18">
        <v>4.6363099999999997E-2</v>
      </c>
      <c r="AC18">
        <v>20512</v>
      </c>
      <c r="AD18">
        <v>1.38456E-2</v>
      </c>
      <c r="AE18">
        <v>20512</v>
      </c>
      <c r="AF18">
        <v>8.7753999999999992E-3</v>
      </c>
      <c r="AG18">
        <v>47423</v>
      </c>
      <c r="AH18">
        <v>0.56746730000000001</v>
      </c>
      <c r="AI18">
        <v>26911</v>
      </c>
      <c r="AJ18">
        <v>8.5949999999999999E-2</v>
      </c>
      <c r="AK18">
        <v>26911</v>
      </c>
      <c r="AL18">
        <v>3.8980300000000002E-2</v>
      </c>
      <c r="AM18">
        <v>26911</v>
      </c>
      <c r="AN18">
        <v>0.15060760000000001</v>
      </c>
      <c r="AO18">
        <v>26911</v>
      </c>
      <c r="AP18">
        <v>6.7816100000000004E-2</v>
      </c>
      <c r="AQ18">
        <v>26911</v>
      </c>
      <c r="AR18">
        <v>3.5933300000000001E-2</v>
      </c>
      <c r="AS18">
        <v>26911</v>
      </c>
      <c r="AT18">
        <v>4.33652E-2</v>
      </c>
      <c r="AU18">
        <v>26911</v>
      </c>
      <c r="AV18">
        <v>9.5760100000000001E-2</v>
      </c>
      <c r="AW18">
        <v>26911</v>
      </c>
      <c r="AX18">
        <v>0.1207313</v>
      </c>
      <c r="AY18">
        <v>26911</v>
      </c>
      <c r="AZ18">
        <v>0.14681730000000001</v>
      </c>
      <c r="BA18">
        <v>26911</v>
      </c>
      <c r="BB18">
        <v>9.2155600000000004E-2</v>
      </c>
      <c r="BC18">
        <v>26911</v>
      </c>
      <c r="BD18">
        <v>3.66393E-2</v>
      </c>
      <c r="BE18">
        <v>26911</v>
      </c>
      <c r="BF18">
        <v>6.5698000000000006E-2</v>
      </c>
      <c r="BG18">
        <v>26911</v>
      </c>
      <c r="BH18">
        <v>1.9545900000000001E-2</v>
      </c>
      <c r="BI18">
        <v>461005</v>
      </c>
      <c r="BJ18">
        <v>0.51419619999999999</v>
      </c>
      <c r="BK18">
        <v>237047</v>
      </c>
      <c r="BL18">
        <v>8.0971299999999996E-2</v>
      </c>
      <c r="BM18">
        <v>237047</v>
      </c>
      <c r="BN18">
        <v>1.6283700000000002E-2</v>
      </c>
      <c r="BO18">
        <v>237047</v>
      </c>
      <c r="BP18">
        <v>9.6512500000000001E-2</v>
      </c>
      <c r="BQ18">
        <v>237047</v>
      </c>
      <c r="BR18">
        <v>4.829E-2</v>
      </c>
      <c r="BS18">
        <v>237047</v>
      </c>
      <c r="BT18">
        <v>1.5975699999999999E-2</v>
      </c>
      <c r="BU18">
        <v>237047</v>
      </c>
      <c r="BV18">
        <v>2.83319E-2</v>
      </c>
      <c r="BW18">
        <v>237047</v>
      </c>
      <c r="BX18">
        <v>8.8066900000000004E-2</v>
      </c>
      <c r="BY18">
        <v>237047</v>
      </c>
      <c r="BZ18">
        <v>0.13519680000000001</v>
      </c>
      <c r="CA18">
        <v>237047</v>
      </c>
      <c r="CB18">
        <v>0.15491440000000001</v>
      </c>
      <c r="CC18">
        <v>237047</v>
      </c>
      <c r="CD18">
        <v>0.14729149999999999</v>
      </c>
      <c r="CE18">
        <v>237047</v>
      </c>
      <c r="CF18">
        <v>0.1069493</v>
      </c>
      <c r="CG18">
        <v>237047</v>
      </c>
      <c r="CH18">
        <v>5.4233999999999997E-2</v>
      </c>
      <c r="CI18">
        <v>237047</v>
      </c>
      <c r="CJ18">
        <v>2.6981999999999999E-2</v>
      </c>
      <c r="CK18">
        <v>461005</v>
      </c>
      <c r="CL18">
        <v>0.48580380000000001</v>
      </c>
      <c r="CM18">
        <v>223958</v>
      </c>
      <c r="CN18">
        <v>8.4578399999999998E-2</v>
      </c>
      <c r="CO18">
        <v>223958</v>
      </c>
      <c r="CP18">
        <v>1.09262E-2</v>
      </c>
      <c r="CQ18">
        <v>223958</v>
      </c>
      <c r="CR18">
        <v>9.1289400000000007E-2</v>
      </c>
      <c r="CS18">
        <v>223958</v>
      </c>
      <c r="CT18">
        <v>4.5463900000000002E-2</v>
      </c>
      <c r="CU18">
        <v>223958</v>
      </c>
      <c r="CV18">
        <v>8.8856000000000004E-3</v>
      </c>
      <c r="CW18">
        <v>223958</v>
      </c>
      <c r="CX18">
        <v>3.5037800000000001E-2</v>
      </c>
      <c r="CY18">
        <v>223958</v>
      </c>
      <c r="CZ18">
        <v>8.5181099999999996E-2</v>
      </c>
      <c r="DA18">
        <v>223958</v>
      </c>
      <c r="DB18">
        <v>0.12255870000000001</v>
      </c>
      <c r="DC18">
        <v>223958</v>
      </c>
      <c r="DD18">
        <v>0.14663909999999999</v>
      </c>
      <c r="DE18">
        <v>223958</v>
      </c>
      <c r="DF18">
        <v>0.1531314</v>
      </c>
      <c r="DG18">
        <v>223958</v>
      </c>
      <c r="DH18">
        <v>0.1128738</v>
      </c>
      <c r="DI18">
        <v>223958</v>
      </c>
      <c r="DJ18">
        <v>5.91852E-2</v>
      </c>
      <c r="DK18">
        <v>223958</v>
      </c>
      <c r="DL18">
        <v>4.4249400000000001E-2</v>
      </c>
      <c r="DM18">
        <v>313324</v>
      </c>
      <c r="DN18">
        <v>7.02372E-2</v>
      </c>
      <c r="DO18">
        <v>22007</v>
      </c>
      <c r="DP18">
        <v>0.41109649999999998</v>
      </c>
      <c r="DQ18">
        <v>157336</v>
      </c>
      <c r="DR18">
        <v>5.7501099999999999E-2</v>
      </c>
      <c r="DS18">
        <v>9047</v>
      </c>
      <c r="DT18">
        <v>0.42345529999999998</v>
      </c>
      <c r="DU18">
        <v>28973</v>
      </c>
      <c r="DV18">
        <v>0.1322266</v>
      </c>
      <c r="DW18">
        <v>9047</v>
      </c>
      <c r="DX18">
        <v>0.31026860000000001</v>
      </c>
      <c r="DY18">
        <v>35870</v>
      </c>
      <c r="DZ18">
        <v>7.8254799999999999E-2</v>
      </c>
      <c r="EA18">
        <v>9047</v>
      </c>
      <c r="EB18">
        <v>0.18989719999999999</v>
      </c>
      <c r="EC18">
        <v>40782</v>
      </c>
      <c r="ED18">
        <v>4.2126400000000001E-2</v>
      </c>
      <c r="EE18">
        <v>9047</v>
      </c>
      <c r="EF18">
        <v>7.63789E-2</v>
      </c>
      <c r="EG18">
        <v>51711</v>
      </c>
      <c r="EH18">
        <v>1.33627E-2</v>
      </c>
      <c r="EI18">
        <v>22007</v>
      </c>
      <c r="EJ18">
        <v>0.58890350000000002</v>
      </c>
      <c r="EK18">
        <v>155988</v>
      </c>
      <c r="EL18">
        <v>8.3083299999999999E-2</v>
      </c>
      <c r="EM18">
        <v>12960</v>
      </c>
      <c r="EN18">
        <v>0.4897377</v>
      </c>
      <c r="EO18">
        <v>24875</v>
      </c>
      <c r="EP18">
        <v>0.25515579999999999</v>
      </c>
      <c r="EQ18">
        <v>12960</v>
      </c>
      <c r="ER18">
        <v>0.29459879999999999</v>
      </c>
      <c r="ES18">
        <v>39444</v>
      </c>
      <c r="ET18">
        <v>9.6795500000000007E-2</v>
      </c>
      <c r="EU18">
        <v>12960</v>
      </c>
      <c r="EV18">
        <v>0.15316360000000001</v>
      </c>
      <c r="EW18">
        <v>43276</v>
      </c>
      <c r="EX18">
        <v>4.5868399999999997E-2</v>
      </c>
      <c r="EY18">
        <v>12960</v>
      </c>
      <c r="EZ18">
        <v>6.25E-2</v>
      </c>
      <c r="FA18">
        <v>48393</v>
      </c>
      <c r="FB18">
        <v>1.6737999999999999E-2</v>
      </c>
      <c r="FC18">
        <v>313324</v>
      </c>
      <c r="FD18">
        <v>0.9297628</v>
      </c>
      <c r="FE18">
        <v>291317</v>
      </c>
      <c r="FF18">
        <v>0.50902970000000003</v>
      </c>
      <c r="FG18">
        <v>157336</v>
      </c>
      <c r="FH18">
        <v>0.94249890000000003</v>
      </c>
      <c r="FI18">
        <v>148289</v>
      </c>
      <c r="FJ18">
        <v>0.16954730000000001</v>
      </c>
      <c r="FK18">
        <v>28973</v>
      </c>
      <c r="FL18">
        <v>0.86777349999999998</v>
      </c>
      <c r="FM18">
        <v>148289</v>
      </c>
      <c r="FN18">
        <v>0.2229633</v>
      </c>
      <c r="FO18">
        <v>35870</v>
      </c>
      <c r="FP18">
        <v>0.92174520000000004</v>
      </c>
      <c r="FQ18">
        <v>148289</v>
      </c>
      <c r="FR18">
        <v>0.26343149999999999</v>
      </c>
      <c r="FS18">
        <v>40782</v>
      </c>
      <c r="FT18">
        <v>0.95787359999999999</v>
      </c>
      <c r="FU18">
        <v>148289</v>
      </c>
      <c r="FV18">
        <v>0.34405790000000003</v>
      </c>
      <c r="FW18">
        <v>51711</v>
      </c>
      <c r="FX18">
        <v>0.98663730000000005</v>
      </c>
      <c r="FY18">
        <v>291317</v>
      </c>
      <c r="FZ18">
        <v>0.49097030000000003</v>
      </c>
      <c r="GA18">
        <v>155988</v>
      </c>
      <c r="GB18">
        <v>0.91691670000000003</v>
      </c>
      <c r="GC18">
        <v>143028</v>
      </c>
      <c r="GD18">
        <v>0.12954109999999999</v>
      </c>
      <c r="GE18">
        <v>24875</v>
      </c>
      <c r="GF18">
        <v>0.74484419999999996</v>
      </c>
      <c r="GG18">
        <v>143028</v>
      </c>
      <c r="GH18">
        <v>0.2490841</v>
      </c>
      <c r="GI18">
        <v>39444</v>
      </c>
      <c r="GJ18">
        <v>0.90320460000000002</v>
      </c>
      <c r="GK18">
        <v>143028</v>
      </c>
      <c r="GL18">
        <v>0.2886917</v>
      </c>
      <c r="GM18">
        <v>43276</v>
      </c>
      <c r="GN18">
        <v>0.95413159999999997</v>
      </c>
      <c r="GO18">
        <v>143028</v>
      </c>
      <c r="GP18">
        <v>0.33268310000000001</v>
      </c>
      <c r="GQ18">
        <v>48393</v>
      </c>
      <c r="GR18">
        <v>0.98326210000000003</v>
      </c>
      <c r="GS18">
        <v>374861</v>
      </c>
      <c r="GT18">
        <v>7.7436699999999997E-2</v>
      </c>
      <c r="GU18">
        <v>29028</v>
      </c>
      <c r="GV18">
        <v>0.42455559999999998</v>
      </c>
      <c r="GW18">
        <v>12324</v>
      </c>
      <c r="GX18">
        <v>0.13680619999999999</v>
      </c>
      <c r="GY18">
        <v>12324</v>
      </c>
      <c r="GZ18">
        <v>0.37690679999999999</v>
      </c>
      <c r="HA18">
        <v>12324</v>
      </c>
      <c r="HB18">
        <v>0.48628690000000002</v>
      </c>
      <c r="HC18">
        <v>12324</v>
      </c>
      <c r="HD18">
        <v>0.60102239999999996</v>
      </c>
      <c r="HE18">
        <v>12324</v>
      </c>
      <c r="HF18">
        <v>0.39897759999999999</v>
      </c>
      <c r="HG18">
        <v>7407</v>
      </c>
      <c r="HH18">
        <v>0.67382200000000003</v>
      </c>
      <c r="HI18">
        <v>7407</v>
      </c>
      <c r="HJ18">
        <v>0.32617800000000002</v>
      </c>
      <c r="HK18">
        <v>29028</v>
      </c>
      <c r="HL18">
        <v>0.57544439999999997</v>
      </c>
      <c r="HM18">
        <v>16704</v>
      </c>
      <c r="HN18">
        <v>5.1664300000000003E-2</v>
      </c>
      <c r="HO18">
        <v>16704</v>
      </c>
      <c r="HP18">
        <v>0.35686059999999997</v>
      </c>
      <c r="HQ18">
        <v>16704</v>
      </c>
      <c r="HR18">
        <v>0.59147510000000003</v>
      </c>
      <c r="HS18">
        <v>16704</v>
      </c>
      <c r="HT18">
        <v>0.42438940000000003</v>
      </c>
      <c r="HU18">
        <v>16704</v>
      </c>
      <c r="HV18">
        <v>0.57561059999999997</v>
      </c>
      <c r="HW18">
        <v>7089</v>
      </c>
      <c r="HX18">
        <v>0.749471</v>
      </c>
      <c r="HY18">
        <v>7089</v>
      </c>
      <c r="HZ18">
        <v>0.250529</v>
      </c>
      <c r="IA18">
        <v>374861</v>
      </c>
      <c r="IB18">
        <v>0.92256329999999998</v>
      </c>
      <c r="IC18">
        <v>345833</v>
      </c>
      <c r="ID18">
        <v>0.50857200000000002</v>
      </c>
      <c r="IE18">
        <v>175881</v>
      </c>
      <c r="IF18">
        <v>0.57054479999999996</v>
      </c>
      <c r="IG18">
        <v>175881</v>
      </c>
      <c r="IH18">
        <v>0.25354080000000001</v>
      </c>
      <c r="II18">
        <v>175881</v>
      </c>
      <c r="IJ18">
        <v>0.1759144</v>
      </c>
      <c r="IK18">
        <v>175701</v>
      </c>
      <c r="IL18">
        <v>0.8197335</v>
      </c>
      <c r="IM18">
        <v>175701</v>
      </c>
      <c r="IN18">
        <v>0.1802665</v>
      </c>
      <c r="IO18">
        <v>144028</v>
      </c>
      <c r="IP18">
        <v>0.89583970000000002</v>
      </c>
      <c r="IQ18">
        <v>144028</v>
      </c>
      <c r="IR18">
        <v>0.1041603</v>
      </c>
      <c r="IS18">
        <v>345833</v>
      </c>
      <c r="IT18">
        <v>0.49142799999999998</v>
      </c>
      <c r="IU18">
        <v>169952</v>
      </c>
      <c r="IV18">
        <v>0.39272849999999998</v>
      </c>
      <c r="IW18">
        <v>169952</v>
      </c>
      <c r="IX18">
        <v>0.29864309999999999</v>
      </c>
      <c r="IY18">
        <v>169952</v>
      </c>
      <c r="IZ18">
        <v>0.30862830000000002</v>
      </c>
      <c r="JA18">
        <v>169952</v>
      </c>
      <c r="JB18">
        <v>0.66482889999999994</v>
      </c>
      <c r="JC18">
        <v>169952</v>
      </c>
      <c r="JD18">
        <v>0.3351711</v>
      </c>
      <c r="JE18">
        <v>112989</v>
      </c>
      <c r="JF18">
        <v>0.93488749999999998</v>
      </c>
      <c r="JG18">
        <v>112989</v>
      </c>
      <c r="JH18">
        <v>6.5112500000000004E-2</v>
      </c>
      <c r="JI18">
        <v>120318</v>
      </c>
      <c r="JJ18">
        <v>0.1038332</v>
      </c>
      <c r="JK18">
        <v>12493</v>
      </c>
      <c r="JL18">
        <v>0.43472339999999998</v>
      </c>
      <c r="JM18">
        <v>5431</v>
      </c>
      <c r="JN18">
        <v>0.72896340000000004</v>
      </c>
      <c r="JO18">
        <v>5431</v>
      </c>
      <c r="JP18">
        <v>0.72896340000000004</v>
      </c>
      <c r="JQ18">
        <v>5431</v>
      </c>
      <c r="JR18">
        <v>0.72896340000000004</v>
      </c>
      <c r="JS18">
        <v>5431</v>
      </c>
      <c r="JT18">
        <v>0.72896340000000004</v>
      </c>
      <c r="JU18">
        <v>5431</v>
      </c>
      <c r="JV18">
        <v>0.27103670000000002</v>
      </c>
      <c r="JW18">
        <v>12493</v>
      </c>
      <c r="JX18">
        <v>0.56527660000000002</v>
      </c>
      <c r="JY18">
        <v>7062</v>
      </c>
      <c r="JZ18">
        <v>0.21721889999999999</v>
      </c>
      <c r="KA18">
        <v>1534</v>
      </c>
      <c r="KB18">
        <v>0.75228159999999999</v>
      </c>
      <c r="KC18">
        <v>1154</v>
      </c>
      <c r="KD18">
        <v>0.1620451</v>
      </c>
      <c r="KE18">
        <v>1154</v>
      </c>
      <c r="KF18">
        <v>0.1343154</v>
      </c>
      <c r="KG18">
        <v>1154</v>
      </c>
      <c r="KH18">
        <v>0.70363949999999997</v>
      </c>
      <c r="KI18">
        <v>1534</v>
      </c>
      <c r="KJ18">
        <v>0.24771840000000001</v>
      </c>
      <c r="KK18">
        <v>7062</v>
      </c>
      <c r="KL18">
        <v>0.78278110000000001</v>
      </c>
      <c r="KM18">
        <v>5528</v>
      </c>
      <c r="KN18">
        <v>0.83556439999999998</v>
      </c>
      <c r="KO18">
        <v>4619</v>
      </c>
      <c r="KP18">
        <v>0.16626969999999999</v>
      </c>
      <c r="KQ18">
        <v>4619</v>
      </c>
      <c r="KR18">
        <v>0.3925092</v>
      </c>
      <c r="KS18">
        <v>4619</v>
      </c>
      <c r="KT18">
        <v>0.44122109999999998</v>
      </c>
      <c r="KU18">
        <v>5528</v>
      </c>
      <c r="KV18">
        <v>0.16443559999999999</v>
      </c>
      <c r="KW18">
        <v>120318</v>
      </c>
      <c r="KX18">
        <v>1.91576E-2</v>
      </c>
      <c r="KY18">
        <v>2305</v>
      </c>
      <c r="KZ18">
        <v>0.56789590000000001</v>
      </c>
      <c r="LA18">
        <v>1309</v>
      </c>
      <c r="LB18">
        <v>0.91520239999999997</v>
      </c>
      <c r="LC18">
        <v>1309</v>
      </c>
      <c r="LD18">
        <v>0.91520239999999997</v>
      </c>
      <c r="LE18">
        <v>1309</v>
      </c>
      <c r="LF18">
        <v>0.91520239999999997</v>
      </c>
      <c r="LG18">
        <v>1309</v>
      </c>
      <c r="LH18">
        <v>0.91520239999999997</v>
      </c>
      <c r="LI18">
        <v>1309</v>
      </c>
      <c r="LJ18">
        <v>8.4797600000000001E-2</v>
      </c>
      <c r="LK18">
        <v>2305</v>
      </c>
      <c r="LL18">
        <v>0.43210409999999999</v>
      </c>
      <c r="LM18">
        <v>996</v>
      </c>
      <c r="LN18">
        <v>0.1024096</v>
      </c>
      <c r="LO18">
        <v>102</v>
      </c>
      <c r="LP18">
        <v>1</v>
      </c>
      <c r="LQ18">
        <v>102</v>
      </c>
      <c r="LR18">
        <v>1</v>
      </c>
      <c r="LS18">
        <v>102</v>
      </c>
      <c r="LT18">
        <v>0</v>
      </c>
      <c r="LU18">
        <v>102</v>
      </c>
      <c r="LV18">
        <v>0</v>
      </c>
      <c r="LW18">
        <v>102</v>
      </c>
      <c r="LX18">
        <v>0</v>
      </c>
      <c r="LY18">
        <v>996</v>
      </c>
      <c r="LZ18">
        <v>0.89759029999999995</v>
      </c>
      <c r="MA18">
        <v>894</v>
      </c>
      <c r="MB18">
        <v>0.81208060000000004</v>
      </c>
      <c r="MC18">
        <v>726</v>
      </c>
      <c r="MD18">
        <v>0</v>
      </c>
      <c r="ME18">
        <v>726</v>
      </c>
      <c r="MF18">
        <v>0.21074380000000001</v>
      </c>
      <c r="MG18">
        <v>726</v>
      </c>
      <c r="MH18">
        <v>0.78925619999999996</v>
      </c>
      <c r="MI18">
        <v>894</v>
      </c>
      <c r="MJ18">
        <v>0.18791949999999999</v>
      </c>
      <c r="MK18">
        <v>120318</v>
      </c>
      <c r="ML18">
        <v>4.9967600000000001E-2</v>
      </c>
      <c r="MM18">
        <v>6012</v>
      </c>
      <c r="MN18">
        <v>0.75948099999999996</v>
      </c>
      <c r="MO18">
        <v>4566</v>
      </c>
      <c r="MP18">
        <v>0.81822159999999999</v>
      </c>
      <c r="MQ18">
        <v>4566</v>
      </c>
      <c r="MR18">
        <v>0.81822159999999999</v>
      </c>
      <c r="MS18">
        <v>4566</v>
      </c>
      <c r="MT18">
        <v>0.81822159999999999</v>
      </c>
      <c r="MU18">
        <v>4566</v>
      </c>
      <c r="MV18">
        <v>0.81822159999999999</v>
      </c>
      <c r="MW18">
        <v>4566</v>
      </c>
      <c r="MX18">
        <v>0.18177840000000001</v>
      </c>
      <c r="MY18">
        <v>6012</v>
      </c>
      <c r="MZ18">
        <v>0.24051900000000001</v>
      </c>
      <c r="NA18">
        <v>1446</v>
      </c>
      <c r="NB18">
        <v>0.52143850000000003</v>
      </c>
      <c r="NC18">
        <v>754</v>
      </c>
      <c r="ND18">
        <v>0.8885942</v>
      </c>
      <c r="NE18">
        <v>670</v>
      </c>
      <c r="NF18">
        <v>0.55522389999999999</v>
      </c>
      <c r="NG18">
        <v>670</v>
      </c>
      <c r="NH18">
        <v>0.3686567</v>
      </c>
      <c r="NI18">
        <v>670</v>
      </c>
      <c r="NJ18">
        <v>7.6119400000000004E-2</v>
      </c>
      <c r="NK18">
        <v>754</v>
      </c>
      <c r="NL18">
        <v>0.1114058</v>
      </c>
      <c r="NM18">
        <v>1446</v>
      </c>
      <c r="NN18">
        <v>0.47856159999999998</v>
      </c>
      <c r="NO18">
        <v>692</v>
      </c>
      <c r="NP18">
        <v>0.79046240000000001</v>
      </c>
      <c r="NQ18">
        <v>547</v>
      </c>
      <c r="NR18">
        <v>8.4095100000000006E-2</v>
      </c>
      <c r="NS18">
        <v>547</v>
      </c>
      <c r="NT18">
        <v>0</v>
      </c>
      <c r="NU18">
        <v>547</v>
      </c>
      <c r="NV18">
        <v>0.91590490000000002</v>
      </c>
      <c r="NW18">
        <v>692</v>
      </c>
      <c r="NX18">
        <v>0.20953759999999999</v>
      </c>
      <c r="NY18">
        <v>120318</v>
      </c>
      <c r="NZ18">
        <v>0.82704169999999999</v>
      </c>
      <c r="OA18">
        <v>99508</v>
      </c>
      <c r="OB18">
        <v>0.83189290000000005</v>
      </c>
      <c r="OC18">
        <v>82780</v>
      </c>
      <c r="OD18">
        <v>0.49240149999999999</v>
      </c>
      <c r="OE18">
        <v>82780</v>
      </c>
      <c r="OF18">
        <v>0.49240149999999999</v>
      </c>
      <c r="OG18">
        <v>82780</v>
      </c>
      <c r="OH18">
        <v>0.49240149999999999</v>
      </c>
      <c r="OI18">
        <v>82780</v>
      </c>
      <c r="OJ18">
        <v>0.49240149999999999</v>
      </c>
      <c r="OK18">
        <v>82780</v>
      </c>
      <c r="OL18">
        <v>0.50759849999999995</v>
      </c>
      <c r="OM18">
        <v>99508</v>
      </c>
      <c r="ON18">
        <v>0.16810710000000001</v>
      </c>
      <c r="OO18">
        <v>16728</v>
      </c>
      <c r="OP18">
        <v>0.36561450000000001</v>
      </c>
      <c r="OQ18">
        <v>6116</v>
      </c>
      <c r="OR18">
        <v>0.54986919999999995</v>
      </c>
      <c r="OS18">
        <v>3363</v>
      </c>
      <c r="OT18">
        <v>0.22063630000000001</v>
      </c>
      <c r="OU18">
        <v>3363</v>
      </c>
      <c r="OV18">
        <v>9.6639900000000001E-2</v>
      </c>
      <c r="OW18">
        <v>3363</v>
      </c>
      <c r="OX18">
        <v>0.68272379999999999</v>
      </c>
      <c r="OY18">
        <v>6116</v>
      </c>
      <c r="OZ18">
        <v>0.4501308</v>
      </c>
      <c r="PA18">
        <v>16728</v>
      </c>
      <c r="PB18">
        <v>0.63438550000000005</v>
      </c>
      <c r="PC18">
        <v>10612</v>
      </c>
      <c r="PD18">
        <v>0.45118730000000001</v>
      </c>
      <c r="PE18">
        <v>4788</v>
      </c>
      <c r="PF18">
        <v>0.19172929999999999</v>
      </c>
      <c r="PG18">
        <v>4788</v>
      </c>
      <c r="PH18">
        <v>0.25501249999999998</v>
      </c>
      <c r="PI18">
        <v>4788</v>
      </c>
      <c r="PJ18">
        <v>0.55325809999999997</v>
      </c>
      <c r="PK18">
        <v>10612</v>
      </c>
      <c r="PL18">
        <v>0.54881270000000004</v>
      </c>
      <c r="PM18">
        <v>511892</v>
      </c>
      <c r="PN18">
        <v>0.50596609999999997</v>
      </c>
      <c r="PO18">
        <v>259000</v>
      </c>
      <c r="PP18">
        <v>8.6069499999999993E-2</v>
      </c>
      <c r="PQ18">
        <v>259000</v>
      </c>
      <c r="PR18">
        <v>8.1455600000000003E-2</v>
      </c>
      <c r="PS18">
        <v>259000</v>
      </c>
      <c r="PT18">
        <v>8.6046300000000006E-2</v>
      </c>
      <c r="PU18">
        <v>259000</v>
      </c>
      <c r="PV18">
        <v>4.5965300000000001E-2</v>
      </c>
      <c r="PW18">
        <v>259000</v>
      </c>
      <c r="PX18">
        <v>2.8297300000000001E-2</v>
      </c>
      <c r="PY18">
        <v>259000</v>
      </c>
      <c r="PZ18">
        <v>1.18803E-2</v>
      </c>
      <c r="QA18">
        <v>259000</v>
      </c>
      <c r="QB18">
        <v>1.01081E-2</v>
      </c>
      <c r="QC18">
        <v>259000</v>
      </c>
      <c r="QD18">
        <v>4.0262600000000003E-2</v>
      </c>
      <c r="QE18">
        <v>259000</v>
      </c>
      <c r="QF18">
        <v>6.3961400000000002E-2</v>
      </c>
      <c r="QG18">
        <v>259000</v>
      </c>
      <c r="QH18">
        <v>6.5297300000000003E-2</v>
      </c>
      <c r="QI18">
        <v>259000</v>
      </c>
      <c r="QJ18">
        <v>8.1393800000000002E-2</v>
      </c>
      <c r="QK18">
        <v>259000</v>
      </c>
      <c r="QL18">
        <v>7.2637099999999996E-2</v>
      </c>
      <c r="QM18">
        <v>259000</v>
      </c>
      <c r="QN18">
        <v>7.9903500000000002E-2</v>
      </c>
      <c r="QO18">
        <v>259000</v>
      </c>
      <c r="QP18">
        <v>6.6799200000000003E-2</v>
      </c>
      <c r="QQ18">
        <v>259000</v>
      </c>
      <c r="QR18">
        <v>6.0505799999999998E-2</v>
      </c>
      <c r="QS18">
        <v>259000</v>
      </c>
      <c r="QT18">
        <v>1.9451699999999999E-2</v>
      </c>
      <c r="QU18">
        <v>259000</v>
      </c>
      <c r="QV18">
        <v>2.1799200000000001E-2</v>
      </c>
      <c r="QW18">
        <v>259000</v>
      </c>
      <c r="QX18">
        <v>1.3393800000000001E-2</v>
      </c>
      <c r="QY18">
        <v>259000</v>
      </c>
      <c r="QZ18">
        <v>1.6498100000000002E-2</v>
      </c>
      <c r="RA18">
        <v>259000</v>
      </c>
      <c r="RB18">
        <v>2.1019300000000001E-2</v>
      </c>
      <c r="RC18">
        <v>259000</v>
      </c>
      <c r="RD18">
        <v>1.05405E-2</v>
      </c>
      <c r="RE18">
        <v>259000</v>
      </c>
      <c r="RF18">
        <v>9.5250999999999999E-3</v>
      </c>
      <c r="RG18">
        <v>259000</v>
      </c>
      <c r="RH18">
        <v>7.1891999999999998E-3</v>
      </c>
      <c r="RI18">
        <v>511892</v>
      </c>
      <c r="RJ18">
        <v>0.49403390000000003</v>
      </c>
      <c r="RK18">
        <v>252892</v>
      </c>
      <c r="RL18">
        <v>8.4225700000000001E-2</v>
      </c>
      <c r="RM18">
        <v>252892</v>
      </c>
      <c r="RN18">
        <v>7.7819799999999995E-2</v>
      </c>
      <c r="RO18">
        <v>252892</v>
      </c>
      <c r="RP18">
        <v>8.3351800000000004E-2</v>
      </c>
      <c r="RQ18">
        <v>252892</v>
      </c>
      <c r="RR18">
        <v>4.7336400000000001E-2</v>
      </c>
      <c r="RS18">
        <v>252892</v>
      </c>
      <c r="RT18">
        <v>2.58806E-2</v>
      </c>
      <c r="RU18">
        <v>252892</v>
      </c>
      <c r="RV18">
        <v>1.27881E-2</v>
      </c>
      <c r="RW18">
        <v>252892</v>
      </c>
      <c r="RX18">
        <v>9.9725999999999999E-3</v>
      </c>
      <c r="RY18">
        <v>252892</v>
      </c>
      <c r="RZ18">
        <v>3.6984200000000002E-2</v>
      </c>
      <c r="SA18">
        <v>252892</v>
      </c>
      <c r="SB18">
        <v>5.9610400000000001E-2</v>
      </c>
      <c r="SC18">
        <v>252892</v>
      </c>
      <c r="SD18">
        <v>6.1773399999999999E-2</v>
      </c>
      <c r="SE18">
        <v>252892</v>
      </c>
      <c r="SF18">
        <v>6.8135799999999996E-2</v>
      </c>
      <c r="SG18">
        <v>252892</v>
      </c>
      <c r="SH18">
        <v>7.7554799999999993E-2</v>
      </c>
      <c r="SI18">
        <v>252892</v>
      </c>
      <c r="SJ18">
        <v>7.72978E-2</v>
      </c>
      <c r="SK18">
        <v>252892</v>
      </c>
      <c r="SL18">
        <v>6.8527299999999999E-2</v>
      </c>
      <c r="SM18">
        <v>252892</v>
      </c>
      <c r="SN18">
        <v>5.5502000000000003E-2</v>
      </c>
      <c r="SO18">
        <v>252892</v>
      </c>
      <c r="SP18">
        <v>2.2918899999999999E-2</v>
      </c>
      <c r="SQ18">
        <v>252892</v>
      </c>
      <c r="SR18">
        <v>2.5845E-2</v>
      </c>
      <c r="SS18">
        <v>252892</v>
      </c>
      <c r="ST18">
        <v>1.66E-2</v>
      </c>
      <c r="SU18">
        <v>252892</v>
      </c>
      <c r="SV18">
        <v>1.6793700000000002E-2</v>
      </c>
      <c r="SW18">
        <v>252892</v>
      </c>
      <c r="SX18">
        <v>2.6398600000000001E-2</v>
      </c>
      <c r="SY18">
        <v>252892</v>
      </c>
      <c r="SZ18">
        <v>1.38636E-2</v>
      </c>
      <c r="TA18">
        <v>252892</v>
      </c>
      <c r="TB18">
        <v>1.53188E-2</v>
      </c>
      <c r="TC18">
        <v>252892</v>
      </c>
      <c r="TD18">
        <v>1.5500699999999999E-2</v>
      </c>
      <c r="TE18">
        <v>376974</v>
      </c>
      <c r="TF18">
        <v>0.50271109999999997</v>
      </c>
      <c r="TG18">
        <v>26846</v>
      </c>
      <c r="TH18">
        <v>0.47258440000000002</v>
      </c>
      <c r="TI18"/>
      <c r="TJ18"/>
      <c r="TK18">
        <v>14200</v>
      </c>
      <c r="TL18">
        <v>0.50633799999999995</v>
      </c>
      <c r="TM18"/>
      <c r="TN18"/>
      <c r="TO18">
        <v>81077</v>
      </c>
      <c r="TP18">
        <v>0.52446440000000005</v>
      </c>
      <c r="TQ18">
        <v>11471</v>
      </c>
      <c r="TR18">
        <v>0.53334499999999996</v>
      </c>
      <c r="TS18">
        <v>315074</v>
      </c>
      <c r="TT18">
        <v>0.4960485</v>
      </c>
      <c r="TU18">
        <v>145855</v>
      </c>
      <c r="TV18">
        <v>0.53125359999999999</v>
      </c>
      <c r="TW18">
        <v>376974</v>
      </c>
      <c r="TX18">
        <v>0.49728889999999998</v>
      </c>
      <c r="TY18">
        <v>26846</v>
      </c>
      <c r="TZ18">
        <v>0.52741559999999998</v>
      </c>
      <c r="UA18"/>
      <c r="UB18"/>
      <c r="UC18">
        <v>14200</v>
      </c>
      <c r="UD18">
        <v>0.49366199999999999</v>
      </c>
      <c r="UE18"/>
      <c r="UF18"/>
      <c r="UG18">
        <v>81077</v>
      </c>
      <c r="UH18">
        <v>0.4755356</v>
      </c>
      <c r="UI18">
        <v>11471</v>
      </c>
      <c r="UJ18">
        <v>0.46665499999999999</v>
      </c>
      <c r="UK18">
        <v>315074</v>
      </c>
      <c r="UL18">
        <v>0.50395140000000005</v>
      </c>
      <c r="UM18">
        <v>145855</v>
      </c>
      <c r="UN18">
        <v>0.46874640000000001</v>
      </c>
      <c r="UO18">
        <v>125708</v>
      </c>
      <c r="UP18">
        <v>125708</v>
      </c>
      <c r="UQ18">
        <v>125708</v>
      </c>
      <c r="UR18">
        <v>98023</v>
      </c>
      <c r="US18">
        <v>98023</v>
      </c>
      <c r="UT18">
        <v>98023</v>
      </c>
      <c r="UU18">
        <v>1.4319000000000001E-3</v>
      </c>
      <c r="UV18">
        <v>0.89890060000000005</v>
      </c>
      <c r="UW18">
        <v>9.9667500000000006E-2</v>
      </c>
      <c r="UX18">
        <v>0</v>
      </c>
      <c r="UY18">
        <v>0.92208970000000001</v>
      </c>
      <c r="UZ18">
        <v>7.7910300000000002E-2</v>
      </c>
      <c r="VA18">
        <v>8585</v>
      </c>
      <c r="VB18">
        <v>0</v>
      </c>
      <c r="VC18">
        <v>8585</v>
      </c>
      <c r="VD18">
        <v>0.88980780000000004</v>
      </c>
      <c r="VE18">
        <v>8585</v>
      </c>
      <c r="VF18">
        <v>0.1101922</v>
      </c>
      <c r="VG18">
        <v>15326</v>
      </c>
      <c r="VH18">
        <v>7.7646E-3</v>
      </c>
      <c r="VI18">
        <v>15326</v>
      </c>
      <c r="VJ18">
        <v>0.83903170000000005</v>
      </c>
      <c r="VK18">
        <v>15326</v>
      </c>
      <c r="VL18">
        <v>0.1532037</v>
      </c>
      <c r="VM18">
        <v>16674</v>
      </c>
      <c r="VN18">
        <v>0</v>
      </c>
      <c r="VO18">
        <v>16674</v>
      </c>
      <c r="VP18">
        <v>0.94392469999999995</v>
      </c>
      <c r="VQ18">
        <v>16674</v>
      </c>
      <c r="VR18">
        <v>5.6075300000000002E-2</v>
      </c>
      <c r="VS18">
        <v>37312</v>
      </c>
      <c r="VT18">
        <v>0</v>
      </c>
      <c r="VU18">
        <v>37312</v>
      </c>
      <c r="VV18">
        <v>0.89451119999999995</v>
      </c>
      <c r="VW18">
        <v>37312</v>
      </c>
      <c r="VX18">
        <v>0.1054889</v>
      </c>
      <c r="VY18">
        <v>35095</v>
      </c>
      <c r="VZ18">
        <v>1.7381E-3</v>
      </c>
      <c r="WA18">
        <v>35095</v>
      </c>
      <c r="WB18">
        <v>0.90542809999999996</v>
      </c>
      <c r="WC18">
        <v>35095</v>
      </c>
      <c r="WD18">
        <v>9.2833700000000005E-2</v>
      </c>
      <c r="WE18">
        <v>12716</v>
      </c>
      <c r="WF18">
        <v>0</v>
      </c>
      <c r="WG18">
        <v>12716</v>
      </c>
      <c r="WH18">
        <v>0.91302289999999997</v>
      </c>
      <c r="WI18">
        <v>12716</v>
      </c>
      <c r="WJ18">
        <v>8.6976999999999999E-2</v>
      </c>
      <c r="WK18">
        <v>7791</v>
      </c>
      <c r="WL18">
        <v>0</v>
      </c>
      <c r="WM18">
        <v>7791</v>
      </c>
      <c r="WN18">
        <v>0.94224110000000005</v>
      </c>
      <c r="WO18">
        <v>7791</v>
      </c>
      <c r="WP18">
        <v>5.7758999999999998E-2</v>
      </c>
      <c r="WQ18">
        <v>12177</v>
      </c>
      <c r="WR18">
        <v>0</v>
      </c>
      <c r="WS18">
        <v>12177</v>
      </c>
      <c r="WT18">
        <v>0.94522459999999997</v>
      </c>
      <c r="WU18">
        <v>12177</v>
      </c>
      <c r="WV18">
        <v>5.4775400000000002E-2</v>
      </c>
      <c r="WW18">
        <v>11157</v>
      </c>
      <c r="WX18">
        <v>0</v>
      </c>
      <c r="WY18">
        <v>11157</v>
      </c>
      <c r="WZ18">
        <v>0.92264939999999995</v>
      </c>
      <c r="XA18">
        <v>11157</v>
      </c>
      <c r="XB18">
        <v>7.7350500000000003E-2</v>
      </c>
      <c r="XC18">
        <v>27411</v>
      </c>
      <c r="XD18">
        <v>0</v>
      </c>
      <c r="XE18">
        <v>27411</v>
      </c>
      <c r="XF18">
        <v>0.90102510000000002</v>
      </c>
      <c r="XG18">
        <v>27411</v>
      </c>
      <c r="XH18">
        <v>9.8974900000000005E-2</v>
      </c>
      <c r="XI18">
        <v>29475</v>
      </c>
      <c r="XJ18">
        <v>0</v>
      </c>
      <c r="XK18">
        <v>29475</v>
      </c>
      <c r="XL18">
        <v>0.92726039999999998</v>
      </c>
      <c r="XM18">
        <v>29475</v>
      </c>
      <c r="XN18">
        <v>7.2739600000000001E-2</v>
      </c>
      <c r="XO18">
        <v>10012</v>
      </c>
      <c r="XP18">
        <v>0</v>
      </c>
      <c r="XQ18">
        <v>10012</v>
      </c>
      <c r="XR18">
        <v>0.92009589999999997</v>
      </c>
      <c r="XS18">
        <v>10012</v>
      </c>
      <c r="XT18">
        <v>7.9904100000000006E-2</v>
      </c>
      <c r="XU18">
        <v>330325</v>
      </c>
      <c r="XV18">
        <v>0.51122380000000001</v>
      </c>
      <c r="XW18">
        <v>168870</v>
      </c>
      <c r="XX18">
        <v>0.85885590000000001</v>
      </c>
      <c r="XY18">
        <v>168870</v>
      </c>
      <c r="XZ18">
        <v>0.14114409999999999</v>
      </c>
      <c r="YA18">
        <v>145035</v>
      </c>
      <c r="YB18">
        <v>0.83160610000000001</v>
      </c>
      <c r="YC18">
        <v>120612</v>
      </c>
      <c r="YD18">
        <v>0.82129470000000004</v>
      </c>
      <c r="YE18">
        <v>120612</v>
      </c>
      <c r="YF18">
        <v>1.9774199999999999E-2</v>
      </c>
      <c r="YG18">
        <v>120612</v>
      </c>
      <c r="YH18">
        <v>4.1969300000000001E-2</v>
      </c>
      <c r="YI18">
        <v>120612</v>
      </c>
      <c r="YJ18">
        <v>4.0087200000000003E-2</v>
      </c>
      <c r="YK18">
        <v>120612</v>
      </c>
      <c r="YL18">
        <v>4.5625600000000002E-2</v>
      </c>
      <c r="YM18">
        <v>120612</v>
      </c>
      <c r="YN18">
        <v>3.1248999999999999E-2</v>
      </c>
      <c r="YO18">
        <v>145035</v>
      </c>
      <c r="YP18">
        <v>0.14228979999999999</v>
      </c>
      <c r="YQ18">
        <v>20637</v>
      </c>
      <c r="YR18">
        <v>0.44841789999999998</v>
      </c>
      <c r="YS18">
        <v>20637</v>
      </c>
      <c r="YT18">
        <v>1.21142E-2</v>
      </c>
      <c r="YU18">
        <v>20637</v>
      </c>
      <c r="YV18">
        <v>0.101759</v>
      </c>
      <c r="YW18">
        <v>20637</v>
      </c>
      <c r="YX18">
        <v>0.15031249999999999</v>
      </c>
      <c r="YY18">
        <v>20637</v>
      </c>
      <c r="YZ18">
        <v>0.1353394</v>
      </c>
      <c r="ZA18">
        <v>20637</v>
      </c>
      <c r="ZB18">
        <v>0.152057</v>
      </c>
      <c r="ZC18">
        <v>145035</v>
      </c>
      <c r="ZD18">
        <v>2.6103999999999999E-2</v>
      </c>
      <c r="ZE18">
        <v>3786</v>
      </c>
      <c r="ZF18">
        <v>0.19255149999999999</v>
      </c>
      <c r="ZG18">
        <v>3786</v>
      </c>
      <c r="ZH18">
        <v>0</v>
      </c>
      <c r="ZI18">
        <v>3786</v>
      </c>
      <c r="ZJ18">
        <v>7.7390399999999998E-2</v>
      </c>
      <c r="ZK18">
        <v>3786</v>
      </c>
      <c r="ZL18">
        <v>8.2144700000000001E-2</v>
      </c>
      <c r="ZM18">
        <v>3786</v>
      </c>
      <c r="ZN18">
        <v>0.10750129999999999</v>
      </c>
      <c r="ZO18">
        <v>3786</v>
      </c>
      <c r="ZP18">
        <v>0.54041209999999995</v>
      </c>
      <c r="ZQ18">
        <v>330325</v>
      </c>
      <c r="ZR18">
        <v>0.48877619999999999</v>
      </c>
      <c r="ZS18">
        <v>161455</v>
      </c>
      <c r="ZT18">
        <v>0.74073270000000002</v>
      </c>
      <c r="ZU18">
        <v>161455</v>
      </c>
      <c r="ZV18">
        <v>0.25926729999999998</v>
      </c>
      <c r="ZW18">
        <v>119595</v>
      </c>
      <c r="ZX18">
        <v>0.6679794</v>
      </c>
      <c r="ZY18">
        <v>79887</v>
      </c>
      <c r="ZZ18">
        <v>0.82545349999999995</v>
      </c>
      <c r="AAA18">
        <v>79887</v>
      </c>
      <c r="AAB18">
        <v>8.1615000000000004E-3</v>
      </c>
      <c r="AAC18">
        <v>79887</v>
      </c>
      <c r="AAD18">
        <v>5.3600700000000001E-2</v>
      </c>
      <c r="AAE18">
        <v>79887</v>
      </c>
      <c r="AAF18">
        <v>5.3124999999999999E-2</v>
      </c>
      <c r="AAG18">
        <v>79887</v>
      </c>
      <c r="AAH18">
        <v>2.8915799999999998E-2</v>
      </c>
      <c r="AAI18">
        <v>79887</v>
      </c>
      <c r="AAJ18">
        <v>3.0743400000000001E-2</v>
      </c>
      <c r="AAK18">
        <v>119595</v>
      </c>
      <c r="AAL18">
        <v>0.26226850000000002</v>
      </c>
      <c r="AAM18">
        <v>31366</v>
      </c>
      <c r="AAN18">
        <v>0.57441180000000003</v>
      </c>
      <c r="AAO18">
        <v>31366</v>
      </c>
      <c r="AAP18">
        <v>4.3422799999999998E-2</v>
      </c>
      <c r="AAQ18">
        <v>31366</v>
      </c>
      <c r="AAR18">
        <v>8.9236800000000005E-2</v>
      </c>
      <c r="AAS18">
        <v>31366</v>
      </c>
      <c r="AAT18">
        <v>0.1093541</v>
      </c>
      <c r="AAU18">
        <v>31366</v>
      </c>
      <c r="AAV18">
        <v>7.8110100000000002E-2</v>
      </c>
      <c r="AAW18">
        <v>31366</v>
      </c>
      <c r="AAX18">
        <v>0.1054645</v>
      </c>
      <c r="AAY18">
        <v>119595</v>
      </c>
      <c r="AAZ18">
        <v>6.9752099999999997E-2</v>
      </c>
      <c r="ABA18">
        <v>8342</v>
      </c>
      <c r="ABB18">
        <v>0.27847040000000001</v>
      </c>
      <c r="ABC18">
        <v>8342</v>
      </c>
      <c r="ABD18">
        <v>3.4404200000000003E-2</v>
      </c>
      <c r="ABE18">
        <v>8342</v>
      </c>
      <c r="ABF18">
        <v>0.10297290000000001</v>
      </c>
      <c r="ABG18">
        <v>8342</v>
      </c>
      <c r="ABH18">
        <v>0.1205946</v>
      </c>
      <c r="ABI18">
        <v>8342</v>
      </c>
      <c r="ABJ18">
        <v>0.22704389999999999</v>
      </c>
      <c r="ABK18">
        <v>8342</v>
      </c>
      <c r="ABL18">
        <v>0.236514</v>
      </c>
      <c r="ABM18">
        <v>162532</v>
      </c>
      <c r="ABN18">
        <v>0.74027270000000001</v>
      </c>
      <c r="ABO18">
        <v>120318</v>
      </c>
      <c r="ABP18">
        <v>0.78197779999999995</v>
      </c>
      <c r="ABQ18">
        <v>120318</v>
      </c>
      <c r="ABR18">
        <v>0.2180222</v>
      </c>
      <c r="ABS18">
        <v>26232</v>
      </c>
      <c r="ABT18">
        <v>0.3242604</v>
      </c>
      <c r="ABU18">
        <v>26232</v>
      </c>
      <c r="ABV18">
        <v>0.67573950000000005</v>
      </c>
      <c r="ABW18">
        <v>162532</v>
      </c>
      <c r="ABX18">
        <v>0.25972729999999999</v>
      </c>
      <c r="ABY18">
        <v>42214</v>
      </c>
      <c r="ABZ18">
        <v>0.83692619999999995</v>
      </c>
      <c r="ACA18">
        <v>42214</v>
      </c>
      <c r="ACB18">
        <v>0.16307389999999999</v>
      </c>
      <c r="ACC18">
        <v>384158</v>
      </c>
      <c r="ACD18">
        <v>0.50324340000000001</v>
      </c>
      <c r="ACE18">
        <v>193325</v>
      </c>
      <c r="ACF18">
        <v>0.34557349999999998</v>
      </c>
      <c r="ACG18">
        <v>66808</v>
      </c>
      <c r="ACH18">
        <v>0.1781972</v>
      </c>
      <c r="ACI18">
        <v>66808</v>
      </c>
      <c r="ACJ18">
        <v>0.10970240000000001</v>
      </c>
      <c r="ACK18">
        <v>66808</v>
      </c>
      <c r="ACL18">
        <v>0.22323670000000001</v>
      </c>
      <c r="ACM18">
        <v>66808</v>
      </c>
      <c r="ACN18">
        <v>0.1653694</v>
      </c>
      <c r="ACO18">
        <v>66808</v>
      </c>
      <c r="ACP18">
        <v>9.4195299999999996E-2</v>
      </c>
      <c r="ACQ18">
        <v>66808</v>
      </c>
      <c r="ACR18">
        <v>6.7297300000000004E-2</v>
      </c>
      <c r="ACS18">
        <v>66808</v>
      </c>
      <c r="ACT18">
        <v>5.60861E-2</v>
      </c>
      <c r="ACU18">
        <v>66808</v>
      </c>
      <c r="ACV18">
        <v>4.34229E-2</v>
      </c>
      <c r="ACW18">
        <v>66808</v>
      </c>
      <c r="ACX18">
        <v>3.1927299999999999E-2</v>
      </c>
      <c r="ACY18">
        <v>66808</v>
      </c>
      <c r="ACZ18">
        <v>1.75278E-2</v>
      </c>
      <c r="ADA18">
        <v>66808</v>
      </c>
      <c r="ADB18">
        <v>5.7926999999999996E-3</v>
      </c>
      <c r="ADC18">
        <v>66808</v>
      </c>
      <c r="ADD18">
        <v>3.2480999999999999E-3</v>
      </c>
      <c r="ADE18">
        <v>66808</v>
      </c>
      <c r="ADF18">
        <v>3.2331E-3</v>
      </c>
      <c r="ADG18">
        <v>66808</v>
      </c>
      <c r="ADH18">
        <v>7.6340000000000002E-4</v>
      </c>
      <c r="ADI18">
        <v>193325</v>
      </c>
      <c r="ADJ18">
        <v>0.54564599999999996</v>
      </c>
      <c r="ADK18">
        <v>105487</v>
      </c>
      <c r="ADL18">
        <v>0.93920579999999998</v>
      </c>
      <c r="ADM18">
        <v>99074</v>
      </c>
      <c r="ADN18">
        <v>0</v>
      </c>
      <c r="ADO18">
        <v>99074</v>
      </c>
      <c r="ADP18">
        <v>0</v>
      </c>
      <c r="ADQ18">
        <v>99074</v>
      </c>
      <c r="ADR18">
        <v>7.2673E-3</v>
      </c>
      <c r="ADS18">
        <v>99074</v>
      </c>
      <c r="ADT18">
        <v>4.8670699999999997E-2</v>
      </c>
      <c r="ADU18">
        <v>99074</v>
      </c>
      <c r="ADV18">
        <v>8.8156300000000007E-2</v>
      </c>
      <c r="ADW18">
        <v>99074</v>
      </c>
      <c r="ADX18">
        <v>0.14036979999999999</v>
      </c>
      <c r="ADY18">
        <v>99074</v>
      </c>
      <c r="ADZ18">
        <v>0.1070412</v>
      </c>
      <c r="AEA18">
        <v>99074</v>
      </c>
      <c r="AEB18">
        <v>0.14237839999999999</v>
      </c>
      <c r="AEC18">
        <v>99074</v>
      </c>
      <c r="AED18">
        <v>0.1197691</v>
      </c>
      <c r="AEE18">
        <v>99074</v>
      </c>
      <c r="AEF18">
        <v>0.11842660000000001</v>
      </c>
      <c r="AEG18">
        <v>99074</v>
      </c>
      <c r="AEH18">
        <v>7.7820600000000004E-2</v>
      </c>
      <c r="AEI18">
        <v>99074</v>
      </c>
      <c r="AEJ18">
        <v>0.1072935</v>
      </c>
      <c r="AEK18">
        <v>99074</v>
      </c>
      <c r="AEL18">
        <v>3.3167099999999998E-2</v>
      </c>
      <c r="AEM18">
        <v>99074</v>
      </c>
      <c r="AEN18">
        <v>9.6393E-3</v>
      </c>
      <c r="AEO18">
        <v>105487</v>
      </c>
      <c r="AEP18">
        <v>6.07942E-2</v>
      </c>
      <c r="AEQ18">
        <v>6413</v>
      </c>
      <c r="AER18">
        <v>0.27038830000000003</v>
      </c>
      <c r="AES18">
        <v>1734</v>
      </c>
      <c r="AET18">
        <v>0</v>
      </c>
      <c r="AEU18">
        <v>1734</v>
      </c>
      <c r="AEV18">
        <v>0</v>
      </c>
      <c r="AEW18">
        <v>1734</v>
      </c>
      <c r="AEX18">
        <v>8.0161499999999997E-2</v>
      </c>
      <c r="AEY18">
        <v>1734</v>
      </c>
      <c r="AEZ18">
        <v>3.11419E-2</v>
      </c>
      <c r="AFA18">
        <v>1734</v>
      </c>
      <c r="AFB18">
        <v>8.4775100000000006E-2</v>
      </c>
      <c r="AFC18">
        <v>1734</v>
      </c>
      <c r="AFD18">
        <v>0.21164939999999999</v>
      </c>
      <c r="AFE18">
        <v>1734</v>
      </c>
      <c r="AFF18">
        <v>0.1066897</v>
      </c>
      <c r="AFG18">
        <v>1734</v>
      </c>
      <c r="AFH18">
        <v>0.13494809999999999</v>
      </c>
      <c r="AFI18">
        <v>1734</v>
      </c>
      <c r="AFJ18">
        <v>7.4971200000000002E-2</v>
      </c>
      <c r="AFK18">
        <v>1734</v>
      </c>
      <c r="AFL18">
        <v>0.23471739999999999</v>
      </c>
      <c r="AFM18">
        <v>1734</v>
      </c>
      <c r="AFN18">
        <v>4.0945799999999997E-2</v>
      </c>
      <c r="AFO18">
        <v>1734</v>
      </c>
      <c r="AFP18">
        <v>0</v>
      </c>
      <c r="AFQ18">
        <v>1734</v>
      </c>
      <c r="AFR18">
        <v>0</v>
      </c>
      <c r="AFS18">
        <v>1734</v>
      </c>
      <c r="AFT18">
        <v>0</v>
      </c>
      <c r="AFU18">
        <v>6413</v>
      </c>
      <c r="AFV18">
        <v>0.72961180000000003</v>
      </c>
      <c r="AFW18">
        <v>4679</v>
      </c>
      <c r="AFX18">
        <v>0</v>
      </c>
      <c r="AFY18">
        <v>4679</v>
      </c>
      <c r="AFZ18">
        <v>0</v>
      </c>
      <c r="AGA18">
        <v>4679</v>
      </c>
      <c r="AGB18">
        <v>4.4667699999999998E-2</v>
      </c>
      <c r="AGC18">
        <v>4679</v>
      </c>
      <c r="AGD18">
        <v>0.12908739999999999</v>
      </c>
      <c r="AGE18">
        <v>4679</v>
      </c>
      <c r="AGF18">
        <v>7.5657199999999994E-2</v>
      </c>
      <c r="AGG18">
        <v>4679</v>
      </c>
      <c r="AGH18">
        <v>5.8986999999999998E-2</v>
      </c>
      <c r="AGI18">
        <v>4679</v>
      </c>
      <c r="AGJ18">
        <v>0.32122250000000002</v>
      </c>
      <c r="AGK18">
        <v>4679</v>
      </c>
      <c r="AGL18">
        <v>8.9762800000000004E-2</v>
      </c>
      <c r="AGM18">
        <v>4679</v>
      </c>
      <c r="AGN18">
        <v>9.2541100000000001E-2</v>
      </c>
      <c r="AGO18">
        <v>4679</v>
      </c>
      <c r="AGP18">
        <v>6.0483000000000002E-2</v>
      </c>
      <c r="AGQ18">
        <v>4679</v>
      </c>
      <c r="AGR18">
        <v>3.8255999999999998E-2</v>
      </c>
      <c r="AGS18">
        <v>4679</v>
      </c>
      <c r="AGT18">
        <v>9.8312E-3</v>
      </c>
      <c r="AGU18">
        <v>4679</v>
      </c>
      <c r="AGV18">
        <v>5.0865599999999997E-2</v>
      </c>
      <c r="AGW18">
        <v>4679</v>
      </c>
      <c r="AGX18">
        <v>2.86386E-2</v>
      </c>
      <c r="AGY18">
        <v>193325</v>
      </c>
      <c r="AGZ18">
        <v>2.1000899999999999E-2</v>
      </c>
      <c r="AHA18">
        <v>4060</v>
      </c>
      <c r="AHB18">
        <v>0</v>
      </c>
      <c r="AHC18">
        <v>4060</v>
      </c>
      <c r="AHD18">
        <v>0</v>
      </c>
      <c r="AHE18">
        <v>4060</v>
      </c>
      <c r="AHF18">
        <v>0</v>
      </c>
      <c r="AHG18">
        <v>4060</v>
      </c>
      <c r="AHH18">
        <v>0</v>
      </c>
      <c r="AHI18">
        <v>4060</v>
      </c>
      <c r="AHJ18">
        <v>0</v>
      </c>
      <c r="AHK18">
        <v>4060</v>
      </c>
      <c r="AHL18">
        <v>5.8128100000000002E-2</v>
      </c>
      <c r="AHM18">
        <v>4060</v>
      </c>
      <c r="AHN18">
        <v>8.4482799999999997E-2</v>
      </c>
      <c r="AHO18">
        <v>4060</v>
      </c>
      <c r="AHP18">
        <v>3.7438399999999997E-2</v>
      </c>
      <c r="AHQ18">
        <v>4060</v>
      </c>
      <c r="AHR18">
        <v>1.89655E-2</v>
      </c>
      <c r="AHS18">
        <v>4060</v>
      </c>
      <c r="AHT18">
        <v>1.4778299999999999E-2</v>
      </c>
      <c r="AHU18">
        <v>4060</v>
      </c>
      <c r="AHV18">
        <v>7.3399000000000006E-2</v>
      </c>
      <c r="AHW18">
        <v>4060</v>
      </c>
      <c r="AHX18">
        <v>0.1995074</v>
      </c>
      <c r="AHY18">
        <v>4060</v>
      </c>
      <c r="AHZ18">
        <v>0.33546799999999999</v>
      </c>
      <c r="AIA18">
        <v>4060</v>
      </c>
      <c r="AIB18">
        <v>0.1778325</v>
      </c>
      <c r="AIC18">
        <v>193325</v>
      </c>
      <c r="AID18">
        <v>8.7779599999999999E-2</v>
      </c>
      <c r="AIE18">
        <v>16970</v>
      </c>
      <c r="AIF18">
        <v>0</v>
      </c>
      <c r="AIG18">
        <v>16970</v>
      </c>
      <c r="AIH18">
        <v>0</v>
      </c>
      <c r="AII18">
        <v>16970</v>
      </c>
      <c r="AIJ18">
        <v>8.3087999999999999E-3</v>
      </c>
      <c r="AIK18">
        <v>16970</v>
      </c>
      <c r="AIL18">
        <v>2.2391999999999998E-3</v>
      </c>
      <c r="AIM18">
        <v>16970</v>
      </c>
      <c r="AIN18">
        <v>8.1555699999999995E-2</v>
      </c>
      <c r="AIO18">
        <v>16970</v>
      </c>
      <c r="AIP18">
        <v>0.1060106</v>
      </c>
      <c r="AIQ18">
        <v>16970</v>
      </c>
      <c r="AIR18">
        <v>0.14319390000000001</v>
      </c>
      <c r="AIS18">
        <v>16970</v>
      </c>
      <c r="AIT18">
        <v>0.16982910000000001</v>
      </c>
      <c r="AIU18">
        <v>16970</v>
      </c>
      <c r="AIV18">
        <v>0.15686510000000001</v>
      </c>
      <c r="AIW18">
        <v>16970</v>
      </c>
      <c r="AIX18">
        <v>0.1188568</v>
      </c>
      <c r="AIY18">
        <v>16970</v>
      </c>
      <c r="AIZ18">
        <v>0.1201532</v>
      </c>
      <c r="AJA18">
        <v>16970</v>
      </c>
      <c r="AJB18">
        <v>8.7389499999999995E-2</v>
      </c>
      <c r="AJC18">
        <v>16970</v>
      </c>
      <c r="AJD18">
        <v>5.5981E-3</v>
      </c>
      <c r="AJE18">
        <v>16970</v>
      </c>
      <c r="AJF18">
        <v>0</v>
      </c>
      <c r="AJG18">
        <v>384158</v>
      </c>
      <c r="AJH18">
        <v>0.49675659999999999</v>
      </c>
      <c r="AJI18">
        <v>190833</v>
      </c>
      <c r="AJJ18">
        <v>0.29450359999999998</v>
      </c>
      <c r="AJK18">
        <v>56201</v>
      </c>
      <c r="AJL18">
        <v>0.21300330000000001</v>
      </c>
      <c r="AJM18">
        <v>56201</v>
      </c>
      <c r="AJN18">
        <v>0.115425</v>
      </c>
      <c r="AJO18">
        <v>56201</v>
      </c>
      <c r="AJP18">
        <v>0.23140160000000001</v>
      </c>
      <c r="AJQ18">
        <v>56201</v>
      </c>
      <c r="AJR18">
        <v>0.13183039999999999</v>
      </c>
      <c r="AJS18">
        <v>56201</v>
      </c>
      <c r="AJT18">
        <v>7.4963100000000005E-2</v>
      </c>
      <c r="AJU18">
        <v>56201</v>
      </c>
      <c r="AJV18">
        <v>5.3397600000000003E-2</v>
      </c>
      <c r="AJW18">
        <v>56201</v>
      </c>
      <c r="AJX18">
        <v>4.5906700000000002E-2</v>
      </c>
      <c r="AJY18">
        <v>56201</v>
      </c>
      <c r="AJZ18">
        <v>4.21167E-2</v>
      </c>
      <c r="AKA18">
        <v>56201</v>
      </c>
      <c r="AKB18">
        <v>3.5106100000000001E-2</v>
      </c>
      <c r="AKC18">
        <v>56201</v>
      </c>
      <c r="AKD18">
        <v>1.48396E-2</v>
      </c>
      <c r="AKE18">
        <v>56201</v>
      </c>
      <c r="AKF18">
        <v>2.24373E-2</v>
      </c>
      <c r="AKG18">
        <v>56201</v>
      </c>
      <c r="AKH18">
        <v>1.77755E-2</v>
      </c>
      <c r="AKI18">
        <v>56201</v>
      </c>
      <c r="AKJ18">
        <v>0</v>
      </c>
      <c r="AKK18">
        <v>56201</v>
      </c>
      <c r="AKL18">
        <v>1.7971E-3</v>
      </c>
      <c r="AKM18">
        <v>190833</v>
      </c>
      <c r="AKN18">
        <v>0.52998699999999999</v>
      </c>
      <c r="AKO18">
        <v>101139</v>
      </c>
      <c r="AKP18">
        <v>0.94295969999999996</v>
      </c>
      <c r="AKQ18">
        <v>95370</v>
      </c>
      <c r="AKR18">
        <v>0</v>
      </c>
      <c r="AKS18">
        <v>95370</v>
      </c>
      <c r="AKT18">
        <v>6.0820000000000004E-4</v>
      </c>
      <c r="AKU18">
        <v>95370</v>
      </c>
      <c r="AKV18">
        <v>1.3169800000000001E-2</v>
      </c>
      <c r="AKW18">
        <v>95370</v>
      </c>
      <c r="AKX18">
        <v>7.0472900000000005E-2</v>
      </c>
      <c r="AKY18">
        <v>95370</v>
      </c>
      <c r="AKZ18">
        <v>9.2859399999999995E-2</v>
      </c>
      <c r="ALA18">
        <v>95370</v>
      </c>
      <c r="ALB18">
        <v>0.12834219999999999</v>
      </c>
      <c r="ALC18">
        <v>95370</v>
      </c>
      <c r="ALD18">
        <v>0.15458740000000001</v>
      </c>
      <c r="ALE18">
        <v>95370</v>
      </c>
      <c r="ALF18">
        <v>0.1311523</v>
      </c>
      <c r="ALG18">
        <v>95370</v>
      </c>
      <c r="ALH18">
        <v>0.126025</v>
      </c>
      <c r="ALI18">
        <v>95370</v>
      </c>
      <c r="ALJ18">
        <v>9.8427200000000006E-2</v>
      </c>
      <c r="ALK18">
        <v>95370</v>
      </c>
      <c r="ALL18">
        <v>7.4918700000000005E-2</v>
      </c>
      <c r="ALM18">
        <v>95370</v>
      </c>
      <c r="ALN18">
        <v>8.19545E-2</v>
      </c>
      <c r="ALO18">
        <v>95370</v>
      </c>
      <c r="ALP18">
        <v>2.4273900000000001E-2</v>
      </c>
      <c r="ALQ18">
        <v>95370</v>
      </c>
      <c r="ALR18">
        <v>3.2085999999999998E-3</v>
      </c>
      <c r="ALS18">
        <v>101139</v>
      </c>
      <c r="ALT18">
        <v>5.7040300000000002E-2</v>
      </c>
      <c r="ALU18">
        <v>5769</v>
      </c>
      <c r="ALV18">
        <v>0.44964470000000001</v>
      </c>
      <c r="ALW18">
        <v>2594</v>
      </c>
      <c r="ALX18">
        <v>0</v>
      </c>
      <c r="ALY18">
        <v>2594</v>
      </c>
      <c r="ALZ18">
        <v>0</v>
      </c>
      <c r="AMA18">
        <v>2594</v>
      </c>
      <c r="AMB18">
        <v>0</v>
      </c>
      <c r="AMC18">
        <v>2594</v>
      </c>
      <c r="AMD18">
        <v>0.14957590000000001</v>
      </c>
      <c r="AME18">
        <v>2594</v>
      </c>
      <c r="AMF18">
        <v>0.1295297</v>
      </c>
      <c r="AMG18">
        <v>2594</v>
      </c>
      <c r="AMH18">
        <v>0.16538169999999999</v>
      </c>
      <c r="AMI18">
        <v>2594</v>
      </c>
      <c r="AMJ18">
        <v>4.9344600000000002E-2</v>
      </c>
      <c r="AMK18">
        <v>2594</v>
      </c>
      <c r="AML18">
        <v>0.20239009999999999</v>
      </c>
      <c r="AMM18">
        <v>2594</v>
      </c>
      <c r="AMN18">
        <v>7.4787999999999993E-2</v>
      </c>
      <c r="AMO18">
        <v>2594</v>
      </c>
      <c r="AMP18">
        <v>0.1326137</v>
      </c>
      <c r="AMQ18">
        <v>2594</v>
      </c>
      <c r="AMR18">
        <v>9.6376299999999998E-2</v>
      </c>
      <c r="AMS18">
        <v>2594</v>
      </c>
      <c r="AMT18">
        <v>0</v>
      </c>
      <c r="AMU18">
        <v>2594</v>
      </c>
      <c r="AMV18">
        <v>0</v>
      </c>
      <c r="AMW18">
        <v>2594</v>
      </c>
      <c r="AMX18">
        <v>0</v>
      </c>
      <c r="AMY18">
        <v>5769</v>
      </c>
      <c r="AMZ18">
        <v>0.55035540000000005</v>
      </c>
      <c r="ANA18">
        <v>3175</v>
      </c>
      <c r="ANB18">
        <v>0</v>
      </c>
      <c r="ANC18">
        <v>3175</v>
      </c>
      <c r="AND18">
        <v>0</v>
      </c>
      <c r="ANE18">
        <v>3175</v>
      </c>
      <c r="ANF18">
        <v>0.1414173</v>
      </c>
      <c r="ANG18">
        <v>3175</v>
      </c>
      <c r="ANH18">
        <v>0.1225197</v>
      </c>
      <c r="ANI18">
        <v>3175</v>
      </c>
      <c r="ANJ18">
        <v>0.23559050000000001</v>
      </c>
      <c r="ANK18">
        <v>3175</v>
      </c>
      <c r="ANL18">
        <v>0.14393700000000001</v>
      </c>
      <c r="ANM18">
        <v>3175</v>
      </c>
      <c r="ANN18">
        <v>2.9291299999999999E-2</v>
      </c>
      <c r="ANO18">
        <v>3175</v>
      </c>
      <c r="ANP18">
        <v>9.5748E-2</v>
      </c>
      <c r="ANQ18">
        <v>3175</v>
      </c>
      <c r="ANR18">
        <v>0</v>
      </c>
      <c r="ANS18">
        <v>3175</v>
      </c>
      <c r="ANT18">
        <v>0.11527560000000001</v>
      </c>
      <c r="ANU18">
        <v>3175</v>
      </c>
      <c r="ANV18">
        <v>0</v>
      </c>
      <c r="ANW18">
        <v>3175</v>
      </c>
      <c r="ANX18">
        <v>8.2204700000000006E-2</v>
      </c>
      <c r="ANY18">
        <v>3175</v>
      </c>
      <c r="ANZ18">
        <v>3.4015700000000003E-2</v>
      </c>
      <c r="AOA18">
        <v>3175</v>
      </c>
      <c r="AOB18">
        <v>0</v>
      </c>
      <c r="AOC18">
        <v>190833</v>
      </c>
      <c r="AOD18">
        <v>7.3745099999999994E-2</v>
      </c>
      <c r="AOE18">
        <v>14073</v>
      </c>
      <c r="AOF18">
        <v>0</v>
      </c>
      <c r="AOG18">
        <v>14073</v>
      </c>
      <c r="AOH18">
        <v>0</v>
      </c>
      <c r="AOI18">
        <v>14073</v>
      </c>
      <c r="AOJ18">
        <v>0</v>
      </c>
      <c r="AOK18">
        <v>14073</v>
      </c>
      <c r="AOL18">
        <v>0</v>
      </c>
      <c r="AOM18">
        <v>14073</v>
      </c>
      <c r="AON18">
        <v>9.9480999999999997E-3</v>
      </c>
      <c r="AOO18">
        <v>14073</v>
      </c>
      <c r="AOP18">
        <v>0</v>
      </c>
      <c r="AOQ18">
        <v>14073</v>
      </c>
      <c r="AOR18">
        <v>5.1872000000000003E-3</v>
      </c>
      <c r="AOS18">
        <v>14073</v>
      </c>
      <c r="AOT18">
        <v>2.2951800000000001E-2</v>
      </c>
      <c r="AOU18">
        <v>14073</v>
      </c>
      <c r="AOV18">
        <v>4.3700700000000002E-2</v>
      </c>
      <c r="AOW18">
        <v>14073</v>
      </c>
      <c r="AOX18">
        <v>3.7945E-2</v>
      </c>
      <c r="AOY18">
        <v>14073</v>
      </c>
      <c r="AOZ18">
        <v>7.0276400000000003E-2</v>
      </c>
      <c r="APA18">
        <v>14073</v>
      </c>
      <c r="APB18">
        <v>0.25481419999999999</v>
      </c>
      <c r="APC18">
        <v>14073</v>
      </c>
      <c r="APD18">
        <v>0.31293969999999999</v>
      </c>
      <c r="APE18">
        <v>14073</v>
      </c>
      <c r="APF18">
        <v>0.2422369</v>
      </c>
      <c r="APG18">
        <v>190833</v>
      </c>
      <c r="APH18">
        <v>0.1017644</v>
      </c>
      <c r="API18">
        <v>19420</v>
      </c>
      <c r="APJ18">
        <v>0</v>
      </c>
      <c r="APK18">
        <v>19420</v>
      </c>
      <c r="APL18">
        <v>0</v>
      </c>
      <c r="APM18">
        <v>19420</v>
      </c>
      <c r="APN18">
        <v>2.0545799999999999E-2</v>
      </c>
      <c r="APO18">
        <v>19420</v>
      </c>
      <c r="APP18">
        <v>8.6508999999999996E-3</v>
      </c>
      <c r="APQ18">
        <v>19420</v>
      </c>
      <c r="APR18">
        <v>6.8434599999999998E-2</v>
      </c>
      <c r="APS18">
        <v>19420</v>
      </c>
      <c r="APT18">
        <v>5.6848599999999999E-2</v>
      </c>
      <c r="APU18">
        <v>19420</v>
      </c>
      <c r="APV18">
        <v>0.1027806</v>
      </c>
      <c r="APW18">
        <v>19420</v>
      </c>
      <c r="APX18">
        <v>0.18130789999999999</v>
      </c>
      <c r="APY18">
        <v>19420</v>
      </c>
      <c r="APZ18">
        <v>0.1302266</v>
      </c>
      <c r="AQA18">
        <v>19420</v>
      </c>
      <c r="AQB18">
        <v>0.13238929999999999</v>
      </c>
      <c r="AQC18">
        <v>19420</v>
      </c>
      <c r="AQD18">
        <v>0.1383625</v>
      </c>
      <c r="AQE18">
        <v>19420</v>
      </c>
      <c r="AQF18">
        <v>0.12662200000000001</v>
      </c>
      <c r="AQG18">
        <v>19420</v>
      </c>
      <c r="AQH18">
        <v>2.8475799999999999E-2</v>
      </c>
      <c r="AQI18">
        <v>19420</v>
      </c>
      <c r="AQJ18">
        <v>5.3553000000000003E-3</v>
      </c>
      <c r="AQK18">
        <v>62290</v>
      </c>
      <c r="AQL18">
        <v>0.15413389999999999</v>
      </c>
      <c r="AQM18">
        <v>162532</v>
      </c>
      <c r="AQN18">
        <v>0.76975610000000005</v>
      </c>
      <c r="AQO18">
        <v>125110</v>
      </c>
      <c r="AQP18">
        <v>0.79788179999999997</v>
      </c>
      <c r="AQQ18">
        <v>99823</v>
      </c>
      <c r="AQR18">
        <v>0.8474199</v>
      </c>
      <c r="AQS18">
        <v>84592</v>
      </c>
      <c r="AQT18">
        <v>0.50855879999999998</v>
      </c>
      <c r="AQU18">
        <v>84592</v>
      </c>
      <c r="AQV18">
        <v>0.49144130000000003</v>
      </c>
      <c r="AQW18">
        <v>99823</v>
      </c>
      <c r="AQX18">
        <v>0.1525801</v>
      </c>
      <c r="AQY18">
        <v>15231</v>
      </c>
      <c r="AQZ18">
        <v>0.37837310000000002</v>
      </c>
      <c r="ARA18">
        <v>5763</v>
      </c>
      <c r="ARB18">
        <v>0.49574869999999999</v>
      </c>
      <c r="ARC18">
        <v>5763</v>
      </c>
      <c r="ARD18">
        <v>0.50425120000000001</v>
      </c>
      <c r="ARE18">
        <v>15231</v>
      </c>
      <c r="ARF18">
        <v>0.62162700000000004</v>
      </c>
      <c r="ARG18">
        <v>9468</v>
      </c>
      <c r="ARH18">
        <v>0.39522600000000002</v>
      </c>
      <c r="ARI18">
        <v>9468</v>
      </c>
      <c r="ARJ18">
        <v>0.60477400000000003</v>
      </c>
      <c r="ARK18">
        <v>125110</v>
      </c>
      <c r="ARL18">
        <v>0.20211809999999999</v>
      </c>
      <c r="ARM18">
        <v>162532</v>
      </c>
      <c r="ARN18">
        <v>0.2302439</v>
      </c>
      <c r="ARO18">
        <v>37422</v>
      </c>
      <c r="ARP18">
        <v>0.54767250000000001</v>
      </c>
      <c r="ARQ18">
        <v>20495</v>
      </c>
      <c r="ARR18">
        <v>0.4632349</v>
      </c>
      <c r="ARS18">
        <v>9494</v>
      </c>
      <c r="ART18">
        <v>0.55930060000000004</v>
      </c>
      <c r="ARU18">
        <v>9494</v>
      </c>
      <c r="ARV18">
        <v>0.44069940000000002</v>
      </c>
      <c r="ARW18">
        <v>20495</v>
      </c>
      <c r="ARX18">
        <v>0.53676500000000005</v>
      </c>
      <c r="ARY18">
        <v>11001</v>
      </c>
      <c r="ARZ18">
        <v>0.24934100000000001</v>
      </c>
      <c r="ASA18">
        <v>2743</v>
      </c>
      <c r="ASB18">
        <v>0.5475757</v>
      </c>
      <c r="ASC18">
        <v>2743</v>
      </c>
      <c r="ASD18">
        <v>0.4524243</v>
      </c>
      <c r="ASE18">
        <v>11001</v>
      </c>
      <c r="ASF18">
        <v>0.75065899999999997</v>
      </c>
      <c r="ASG18">
        <v>8258</v>
      </c>
      <c r="ASH18">
        <v>0.70949379999999995</v>
      </c>
      <c r="ASI18">
        <v>8258</v>
      </c>
      <c r="ASJ18">
        <v>0.29050619999999999</v>
      </c>
      <c r="ASK18">
        <v>37422</v>
      </c>
      <c r="ASL18">
        <v>0.45232749999999999</v>
      </c>
      <c r="ASM18">
        <v>168470</v>
      </c>
      <c r="ASN18">
        <v>0.60151960000000004</v>
      </c>
      <c r="ASO18">
        <v>101338</v>
      </c>
      <c r="ASP18">
        <v>0.3613748</v>
      </c>
      <c r="ASQ18">
        <v>36621</v>
      </c>
      <c r="ASR18">
        <v>0.55124110000000004</v>
      </c>
      <c r="ASS18">
        <v>20187</v>
      </c>
      <c r="AST18">
        <v>0.77995740000000002</v>
      </c>
      <c r="ASU18">
        <v>20187</v>
      </c>
      <c r="ASV18">
        <v>0.2200426</v>
      </c>
      <c r="ASW18">
        <v>36621</v>
      </c>
      <c r="ASX18">
        <v>0.44875890000000002</v>
      </c>
      <c r="ASY18">
        <v>16434</v>
      </c>
      <c r="ASZ18">
        <v>0.24662290000000001</v>
      </c>
      <c r="ATA18">
        <v>16434</v>
      </c>
      <c r="ATB18">
        <v>0.22222220000000001</v>
      </c>
      <c r="ATC18">
        <v>16434</v>
      </c>
      <c r="ATD18">
        <v>5.0322499999999999E-2</v>
      </c>
      <c r="ATE18">
        <v>36621</v>
      </c>
      <c r="ATF18">
        <v>1.6739E-2</v>
      </c>
      <c r="ATG18">
        <v>613</v>
      </c>
      <c r="ATH18">
        <v>1.4159870000000001</v>
      </c>
      <c r="ATI18">
        <v>613</v>
      </c>
      <c r="ATJ18">
        <v>3.6443720000000002</v>
      </c>
      <c r="ATK18">
        <v>613</v>
      </c>
      <c r="ATL18">
        <v>3.3915169999999999</v>
      </c>
      <c r="ATM18">
        <v>613</v>
      </c>
      <c r="ATN18">
        <v>3.438825</v>
      </c>
      <c r="ATO18">
        <v>36621</v>
      </c>
      <c r="ATP18">
        <v>3.94855E-2</v>
      </c>
      <c r="ATQ18">
        <v>1446</v>
      </c>
      <c r="ATR18">
        <v>0.45781470000000002</v>
      </c>
      <c r="ATS18">
        <v>1446</v>
      </c>
      <c r="ATT18">
        <v>7.2378980000000004</v>
      </c>
      <c r="ATU18">
        <v>101338</v>
      </c>
      <c r="ATV18">
        <v>2.9209000000000001E-3</v>
      </c>
      <c r="ATW18">
        <v>296</v>
      </c>
      <c r="ATX18">
        <v>6.4054060000000002</v>
      </c>
      <c r="ATY18">
        <v>296</v>
      </c>
      <c r="ATZ18">
        <v>2.5371619999999999</v>
      </c>
      <c r="AUA18">
        <v>751</v>
      </c>
      <c r="AUB18">
        <v>1.524634</v>
      </c>
      <c r="AUC18">
        <v>751</v>
      </c>
      <c r="AUD18">
        <v>3.0372840000000001</v>
      </c>
      <c r="AUE18">
        <v>296</v>
      </c>
      <c r="AUF18">
        <v>18.24662</v>
      </c>
      <c r="AUG18">
        <v>296</v>
      </c>
      <c r="AUH18">
        <v>2</v>
      </c>
      <c r="AUI18">
        <v>296</v>
      </c>
      <c r="AUJ18">
        <v>71.733109999999996</v>
      </c>
      <c r="AUK18">
        <v>101338</v>
      </c>
      <c r="AUL18">
        <v>0.13496420000000001</v>
      </c>
      <c r="AUM18">
        <v>13677</v>
      </c>
      <c r="AUN18">
        <v>0.55246030000000002</v>
      </c>
      <c r="AUO18">
        <v>13677</v>
      </c>
      <c r="AUP18">
        <v>4.8256000000000002E-3</v>
      </c>
      <c r="AUQ18">
        <v>101338</v>
      </c>
      <c r="AUR18">
        <v>0.1223924</v>
      </c>
      <c r="AUS18">
        <v>12403</v>
      </c>
      <c r="AUT18">
        <v>0.50939290000000004</v>
      </c>
      <c r="AUU18">
        <v>12403</v>
      </c>
      <c r="AUV18">
        <v>0.49060710000000002</v>
      </c>
      <c r="AUW18">
        <v>12403</v>
      </c>
      <c r="AUX18">
        <v>1.6567769999999999</v>
      </c>
      <c r="AUY18">
        <v>101338</v>
      </c>
      <c r="AUZ18">
        <v>0.11677750000000001</v>
      </c>
      <c r="AVA18">
        <v>11834</v>
      </c>
      <c r="AVB18">
        <v>0.73643740000000002</v>
      </c>
      <c r="AVC18">
        <v>11834</v>
      </c>
      <c r="AVD18">
        <v>7.2672E-2</v>
      </c>
      <c r="AVE18">
        <v>11834</v>
      </c>
      <c r="AVF18">
        <v>0.25528139999999999</v>
      </c>
      <c r="AVG18">
        <v>168470</v>
      </c>
      <c r="AVH18">
        <v>2.86935E-2</v>
      </c>
      <c r="AVI18">
        <v>4834</v>
      </c>
      <c r="AVJ18">
        <v>13.887460000000001</v>
      </c>
      <c r="AVK18">
        <v>67132</v>
      </c>
      <c r="AVL18">
        <v>0.42236190000000001</v>
      </c>
      <c r="AVM18">
        <v>28354</v>
      </c>
      <c r="AVN18">
        <v>0.43281370000000002</v>
      </c>
      <c r="AVO18">
        <v>28354</v>
      </c>
      <c r="AVP18">
        <v>0.26507720000000001</v>
      </c>
      <c r="AVQ18">
        <v>67132</v>
      </c>
      <c r="AVR18">
        <v>7.0845500000000006E-2</v>
      </c>
      <c r="AVS18">
        <v>4756</v>
      </c>
      <c r="AVT18">
        <v>3.3814129999999998</v>
      </c>
      <c r="AVU18">
        <v>4756</v>
      </c>
      <c r="AVV18">
        <v>0.31118590000000002</v>
      </c>
      <c r="AVW18">
        <v>4756</v>
      </c>
      <c r="AVX18">
        <v>0.137931</v>
      </c>
      <c r="AVY18">
        <v>67132</v>
      </c>
      <c r="AVZ18">
        <v>4.5284000000000001E-3</v>
      </c>
      <c r="AWA18">
        <v>304</v>
      </c>
      <c r="AWB18">
        <v>4.1381579999999998</v>
      </c>
      <c r="AWC18">
        <v>304</v>
      </c>
      <c r="AWD18">
        <v>2.3618420000000002</v>
      </c>
      <c r="AWE18">
        <v>304</v>
      </c>
      <c r="AWF18">
        <v>18.203949999999999</v>
      </c>
      <c r="AWG18">
        <v>304</v>
      </c>
      <c r="AWH18">
        <v>4.3717100000000002</v>
      </c>
      <c r="AWI18">
        <v>67132</v>
      </c>
      <c r="AWJ18">
        <v>7.1545600000000001E-2</v>
      </c>
      <c r="AWK18">
        <v>4803</v>
      </c>
      <c r="AWL18">
        <v>0.71663549999999998</v>
      </c>
      <c r="AWM18">
        <v>4803</v>
      </c>
      <c r="AWN18">
        <v>0.28336460000000002</v>
      </c>
      <c r="AWO18">
        <v>4834</v>
      </c>
      <c r="AWP18">
        <v>1.6739759999999999</v>
      </c>
      <c r="AWQ18">
        <v>8092</v>
      </c>
      <c r="AWR18">
        <v>0.25333660000000002</v>
      </c>
      <c r="AWS18">
        <v>8092</v>
      </c>
      <c r="AWT18">
        <v>6.7721199999999995E-2</v>
      </c>
      <c r="AWU18">
        <v>548</v>
      </c>
      <c r="AWV18">
        <v>0.51277379999999995</v>
      </c>
      <c r="AWW18">
        <v>548</v>
      </c>
      <c r="AWX18">
        <v>0.4872263</v>
      </c>
      <c r="AWY18">
        <v>8092</v>
      </c>
      <c r="AWZ18">
        <v>0.2145329</v>
      </c>
      <c r="AXA18">
        <v>8092</v>
      </c>
      <c r="AXB18">
        <v>0.2302274</v>
      </c>
      <c r="AXC18">
        <v>8092</v>
      </c>
      <c r="AXD18">
        <v>0.2341819</v>
      </c>
      <c r="AXE18">
        <v>4834</v>
      </c>
      <c r="AXF18">
        <v>4.6524619999999999</v>
      </c>
      <c r="AXG18">
        <v>22490</v>
      </c>
      <c r="AXH18">
        <v>0.31040459999999997</v>
      </c>
      <c r="AXI18">
        <v>22490</v>
      </c>
      <c r="AXJ18">
        <v>0.68959539999999997</v>
      </c>
      <c r="AXK18">
        <v>4834</v>
      </c>
      <c r="AXL18">
        <v>0</v>
      </c>
      <c r="AXM18">
        <v>0</v>
      </c>
      <c r="AXN18"/>
      <c r="AXO18">
        <v>0</v>
      </c>
      <c r="AXP18"/>
      <c r="AXQ18">
        <v>0</v>
      </c>
      <c r="AXR18"/>
      <c r="AXS18">
        <v>4834</v>
      </c>
      <c r="AXT18">
        <v>1.622466</v>
      </c>
      <c r="AXU18">
        <v>7843</v>
      </c>
      <c r="AXV18">
        <v>0.63674620000000004</v>
      </c>
      <c r="AXW18">
        <v>7843</v>
      </c>
      <c r="AXX18">
        <v>0.36325390000000002</v>
      </c>
      <c r="AXY18">
        <v>7843</v>
      </c>
      <c r="AXZ18">
        <v>2.0527900000000002E-2</v>
      </c>
      <c r="AYA18">
        <v>23452</v>
      </c>
      <c r="AYB18">
        <v>1.40713E-2</v>
      </c>
      <c r="AYC18">
        <v>23452</v>
      </c>
      <c r="AYD18">
        <v>0.17047590000000001</v>
      </c>
      <c r="AYE18">
        <v>23452</v>
      </c>
      <c r="AYF18">
        <v>0.31634830000000003</v>
      </c>
      <c r="AYG18">
        <v>23452</v>
      </c>
      <c r="AYH18">
        <v>0.3484138</v>
      </c>
      <c r="AYI18">
        <v>23452</v>
      </c>
      <c r="AYJ18">
        <v>6.1998999999999999E-2</v>
      </c>
      <c r="AYK18">
        <v>23452</v>
      </c>
      <c r="AYL18">
        <v>7.4791099999999999E-2</v>
      </c>
      <c r="AYM18">
        <v>23452</v>
      </c>
      <c r="AYN18">
        <v>1.39007E-2</v>
      </c>
      <c r="AYO18">
        <v>33478</v>
      </c>
      <c r="AYP18">
        <v>8.4473400000000004E-2</v>
      </c>
      <c r="AYQ18">
        <v>33478</v>
      </c>
      <c r="AYR18">
        <v>0.10514370000000001</v>
      </c>
      <c r="AYS18">
        <v>33478</v>
      </c>
      <c r="AYT18">
        <v>0.25616820000000001</v>
      </c>
      <c r="AYU18">
        <v>33478</v>
      </c>
      <c r="AYV18">
        <v>0.17539879999999999</v>
      </c>
      <c r="AYW18">
        <v>33478</v>
      </c>
      <c r="AYX18">
        <v>6.1951100000000002E-2</v>
      </c>
      <c r="AYY18">
        <v>33478</v>
      </c>
      <c r="AYZ18">
        <v>0.2614553</v>
      </c>
      <c r="AZA18">
        <v>33478</v>
      </c>
      <c r="AZB18">
        <v>5.54095E-2</v>
      </c>
      <c r="AZC18">
        <v>39894</v>
      </c>
      <c r="AZD18">
        <v>9.5753699999999997E-2</v>
      </c>
      <c r="AZE18">
        <v>39894</v>
      </c>
      <c r="AZF18">
        <v>9.0214100000000005E-2</v>
      </c>
      <c r="AZG18">
        <v>39894</v>
      </c>
      <c r="AZH18">
        <v>0.25778309999999999</v>
      </c>
      <c r="AZI18">
        <v>39894</v>
      </c>
      <c r="AZJ18">
        <v>0.15694089999999999</v>
      </c>
      <c r="AZK18">
        <v>39894</v>
      </c>
      <c r="AZL18">
        <v>8.1290399999999999E-2</v>
      </c>
      <c r="AZM18">
        <v>39894</v>
      </c>
      <c r="AZN18">
        <v>0.22955829999999999</v>
      </c>
      <c r="AZO18">
        <v>39894</v>
      </c>
      <c r="AZP18">
        <v>8.8459399999999994E-2</v>
      </c>
      <c r="AZQ18">
        <v>64351</v>
      </c>
      <c r="AZR18">
        <v>8.3728300000000005E-2</v>
      </c>
      <c r="AZS18">
        <v>64351</v>
      </c>
      <c r="AZT18">
        <v>7.4699699999999994E-2</v>
      </c>
      <c r="AZU18">
        <v>64351</v>
      </c>
      <c r="AZV18">
        <v>0.20336899999999999</v>
      </c>
      <c r="AZW18">
        <v>64351</v>
      </c>
      <c r="AZX18">
        <v>0.215863</v>
      </c>
      <c r="AZY18">
        <v>64351</v>
      </c>
      <c r="AZZ18">
        <v>6.4194799999999996E-2</v>
      </c>
      <c r="BAA18">
        <v>64351</v>
      </c>
      <c r="BAB18">
        <v>0.22325990000000001</v>
      </c>
      <c r="BAC18">
        <v>64351</v>
      </c>
      <c r="BAD18">
        <v>0.13488520000000001</v>
      </c>
      <c r="BAE18">
        <v>20245</v>
      </c>
      <c r="BAF18">
        <v>0.1523833</v>
      </c>
      <c r="BAG18">
        <v>20245</v>
      </c>
      <c r="BAH18">
        <v>0.1092122</v>
      </c>
      <c r="BAI18">
        <v>20245</v>
      </c>
      <c r="BAJ18">
        <v>0.20602619999999999</v>
      </c>
      <c r="BAK18">
        <v>20245</v>
      </c>
      <c r="BAL18">
        <v>0.21299090000000001</v>
      </c>
      <c r="BAM18">
        <v>20245</v>
      </c>
      <c r="BAN18">
        <v>4.9296100000000002E-2</v>
      </c>
      <c r="BAO18">
        <v>20245</v>
      </c>
      <c r="BAP18">
        <v>0.13139049999999999</v>
      </c>
      <c r="BAQ18">
        <v>20245</v>
      </c>
      <c r="BAR18">
        <v>0.13870089999999999</v>
      </c>
      <c r="BAS18">
        <v>21654</v>
      </c>
      <c r="BAT18">
        <v>1.56553E-2</v>
      </c>
      <c r="BAU18">
        <v>21654</v>
      </c>
      <c r="BAV18">
        <v>0.13027620000000001</v>
      </c>
      <c r="BAW18">
        <v>21654</v>
      </c>
      <c r="BAX18">
        <v>0.32880759999999998</v>
      </c>
      <c r="BAY18">
        <v>21654</v>
      </c>
      <c r="BAZ18">
        <v>0.35369909999999999</v>
      </c>
      <c r="BBA18">
        <v>21654</v>
      </c>
      <c r="BBB18">
        <v>7.0056300000000002E-2</v>
      </c>
      <c r="BBC18">
        <v>21654</v>
      </c>
      <c r="BBD18">
        <v>0.10021239999999999</v>
      </c>
      <c r="BBE18">
        <v>21654</v>
      </c>
      <c r="BBF18">
        <v>1.2930999999999999E-3</v>
      </c>
      <c r="BBG18">
        <v>30697</v>
      </c>
      <c r="BBH18">
        <v>6.5674200000000002E-2</v>
      </c>
      <c r="BBI18">
        <v>30697</v>
      </c>
      <c r="BBJ18">
        <v>9.8152900000000001E-2</v>
      </c>
      <c r="BBK18">
        <v>30697</v>
      </c>
      <c r="BBL18">
        <v>0.1865655</v>
      </c>
      <c r="BBM18">
        <v>30697</v>
      </c>
      <c r="BBN18">
        <v>0.2255595</v>
      </c>
      <c r="BBO18">
        <v>30697</v>
      </c>
      <c r="BBP18">
        <v>7.6717599999999997E-2</v>
      </c>
      <c r="BBQ18">
        <v>30697</v>
      </c>
      <c r="BBR18">
        <v>0.2530541</v>
      </c>
      <c r="BBS18">
        <v>30697</v>
      </c>
      <c r="BBT18">
        <v>9.4276299999999993E-2</v>
      </c>
      <c r="BBU18">
        <v>36844</v>
      </c>
      <c r="BBV18">
        <v>0.1070188</v>
      </c>
      <c r="BBW18">
        <v>36844</v>
      </c>
      <c r="BBX18">
        <v>7.3689099999999993E-2</v>
      </c>
      <c r="BBY18">
        <v>36844</v>
      </c>
      <c r="BBZ18">
        <v>0.18396480000000001</v>
      </c>
      <c r="BCA18">
        <v>36844</v>
      </c>
      <c r="BCB18">
        <v>0.17641950000000001</v>
      </c>
      <c r="BCC18">
        <v>36844</v>
      </c>
      <c r="BCD18">
        <v>7.5480400000000003E-2</v>
      </c>
      <c r="BCE18">
        <v>36844</v>
      </c>
      <c r="BCF18">
        <v>0.28805229999999998</v>
      </c>
      <c r="BCG18">
        <v>36844</v>
      </c>
      <c r="BCH18">
        <v>9.5375100000000004E-2</v>
      </c>
      <c r="BCI18">
        <v>63246</v>
      </c>
      <c r="BCJ18">
        <v>7.3332700000000001E-2</v>
      </c>
      <c r="BCK18">
        <v>63246</v>
      </c>
      <c r="BCL18">
        <v>6.3419000000000003E-2</v>
      </c>
      <c r="BCM18">
        <v>63246</v>
      </c>
      <c r="BCN18">
        <v>0.25288559999999999</v>
      </c>
      <c r="BCO18">
        <v>63246</v>
      </c>
      <c r="BCP18">
        <v>0.21909690000000001</v>
      </c>
      <c r="BCQ18">
        <v>63246</v>
      </c>
      <c r="BCR18">
        <v>8.1965700000000002E-2</v>
      </c>
      <c r="BCS18">
        <v>63246</v>
      </c>
      <c r="BCT18">
        <v>0.18913450000000001</v>
      </c>
      <c r="BCU18">
        <v>63246</v>
      </c>
      <c r="BCV18">
        <v>0.1201657</v>
      </c>
      <c r="BCW18">
        <v>26421</v>
      </c>
      <c r="BCX18">
        <v>7.4334800000000006E-2</v>
      </c>
      <c r="BCY18">
        <v>26421</v>
      </c>
      <c r="BCZ18">
        <v>0.1106317</v>
      </c>
      <c r="BDA18">
        <v>26421</v>
      </c>
      <c r="BDB18">
        <v>0.43211840000000001</v>
      </c>
      <c r="BDC18">
        <v>26421</v>
      </c>
      <c r="BDD18">
        <v>0.18076529999999999</v>
      </c>
      <c r="BDE18">
        <v>26421</v>
      </c>
      <c r="BDF18">
        <v>4.4207299999999998E-2</v>
      </c>
      <c r="BDG18">
        <v>26421</v>
      </c>
      <c r="BDH18">
        <v>0.1194504</v>
      </c>
      <c r="BDI18">
        <v>26421</v>
      </c>
      <c r="BDJ18">
        <v>3.8492100000000001E-2</v>
      </c>
      <c r="BDK18">
        <v>121438</v>
      </c>
      <c r="BDL18">
        <v>6.86441E-2</v>
      </c>
      <c r="BDM18">
        <v>8336</v>
      </c>
      <c r="BDN18">
        <v>0.75287910000000002</v>
      </c>
      <c r="BDO18">
        <v>6276</v>
      </c>
      <c r="BDP18">
        <v>0.6220523</v>
      </c>
      <c r="BDQ18">
        <v>6276</v>
      </c>
      <c r="BDR18">
        <v>0.3779477</v>
      </c>
      <c r="BDS18">
        <v>8336</v>
      </c>
      <c r="BDT18">
        <v>0.2471209</v>
      </c>
      <c r="BDU18">
        <v>2060</v>
      </c>
      <c r="BDV18">
        <v>0.79466020000000004</v>
      </c>
      <c r="BDW18">
        <v>2060</v>
      </c>
      <c r="BDX18">
        <v>0.20533979999999999</v>
      </c>
      <c r="BDY18">
        <v>121438</v>
      </c>
      <c r="BDZ18">
        <v>0.93135590000000001</v>
      </c>
      <c r="BEA18">
        <v>113102</v>
      </c>
      <c r="BEB18">
        <v>0.50161800000000001</v>
      </c>
      <c r="BEC18">
        <v>56734</v>
      </c>
      <c r="BED18">
        <v>0.76314029999999999</v>
      </c>
      <c r="BEE18">
        <v>56734</v>
      </c>
      <c r="BEF18">
        <v>0.23685970000000001</v>
      </c>
      <c r="BEG18">
        <v>113102</v>
      </c>
      <c r="BEH18">
        <v>0.49838199999999999</v>
      </c>
      <c r="BEI18">
        <v>56368</v>
      </c>
      <c r="BEJ18">
        <v>0.70426480000000002</v>
      </c>
      <c r="BEK18">
        <v>56368</v>
      </c>
      <c r="BEL18">
        <v>0.29573519999999998</v>
      </c>
      <c r="BEM18">
        <v>240735</v>
      </c>
      <c r="BEN18">
        <v>0.54964999999999997</v>
      </c>
      <c r="BEO18">
        <v>132320</v>
      </c>
      <c r="BEP18">
        <v>0.88197550000000002</v>
      </c>
      <c r="BEQ18">
        <v>116703</v>
      </c>
      <c r="BER18">
        <v>0.26614569999999999</v>
      </c>
      <c r="BES18">
        <v>116703</v>
      </c>
      <c r="BET18">
        <v>0.73385429999999996</v>
      </c>
      <c r="BEU18">
        <v>132320</v>
      </c>
      <c r="BEV18">
        <v>0.1180245</v>
      </c>
      <c r="BEW18">
        <v>240735</v>
      </c>
      <c r="BEX18">
        <v>0.45034999999999997</v>
      </c>
      <c r="BEY18">
        <v>108415</v>
      </c>
      <c r="BEZ18">
        <v>0.88217500000000004</v>
      </c>
      <c r="BFA18">
        <v>95641</v>
      </c>
      <c r="BFB18">
        <v>0.299265</v>
      </c>
      <c r="BFC18">
        <v>95641</v>
      </c>
      <c r="BFD18">
        <v>0.700735</v>
      </c>
      <c r="BFE18">
        <v>108415</v>
      </c>
      <c r="BFF18">
        <v>0.117825</v>
      </c>
      <c r="BFG18">
        <v>259000</v>
      </c>
      <c r="BFH18">
        <v>0.29953669999999999</v>
      </c>
      <c r="BFI18">
        <v>77580</v>
      </c>
      <c r="BFJ18">
        <v>0.96656350000000002</v>
      </c>
      <c r="BFK18">
        <v>77580</v>
      </c>
      <c r="BFL18">
        <v>3.3436500000000001E-2</v>
      </c>
      <c r="BFM18">
        <v>2594</v>
      </c>
      <c r="BFN18">
        <v>0.24209720000000001</v>
      </c>
      <c r="BFO18">
        <v>2594</v>
      </c>
      <c r="BFP18">
        <v>0.75790290000000005</v>
      </c>
      <c r="BFQ18">
        <v>259000</v>
      </c>
      <c r="BFR18">
        <v>0.70046330000000001</v>
      </c>
      <c r="BFS18">
        <v>181420</v>
      </c>
      <c r="BFT18">
        <v>0.76585270000000005</v>
      </c>
      <c r="BFU18">
        <v>181420</v>
      </c>
      <c r="BFV18">
        <v>0.2341473</v>
      </c>
      <c r="BFW18">
        <v>42479</v>
      </c>
      <c r="BFX18">
        <v>0.35212690000000002</v>
      </c>
      <c r="BFY18">
        <v>42479</v>
      </c>
      <c r="BFZ18">
        <v>0.64787300000000003</v>
      </c>
      <c r="BGA18">
        <v>252892</v>
      </c>
      <c r="BGB18">
        <v>0.29273369999999999</v>
      </c>
      <c r="BGC18">
        <v>74030</v>
      </c>
      <c r="BGD18">
        <v>0.96655409999999997</v>
      </c>
      <c r="BGE18">
        <v>74030</v>
      </c>
      <c r="BGF18">
        <v>3.3445900000000001E-2</v>
      </c>
      <c r="BGG18">
        <v>2476</v>
      </c>
      <c r="BGH18">
        <v>0.18295639999999999</v>
      </c>
      <c r="BGI18">
        <v>2476</v>
      </c>
      <c r="BGJ18">
        <v>0.81704359999999998</v>
      </c>
      <c r="BGK18">
        <v>252892</v>
      </c>
      <c r="BGL18">
        <v>0.70726630000000001</v>
      </c>
      <c r="BGM18">
        <v>178862</v>
      </c>
      <c r="BGN18">
        <v>0.79827459999999995</v>
      </c>
      <c r="BGO18">
        <v>178862</v>
      </c>
      <c r="BGP18">
        <v>0.2017253</v>
      </c>
      <c r="BGQ18">
        <v>36081</v>
      </c>
      <c r="BGR18">
        <v>0.34142620000000001</v>
      </c>
      <c r="BGS18">
        <v>36081</v>
      </c>
      <c r="BGT18">
        <v>0.65857370000000004</v>
      </c>
    </row>
    <row r="19" spans="1:1554" x14ac:dyDescent="0.25">
      <c r="A19" t="s">
        <v>134</v>
      </c>
      <c r="B19">
        <v>2010</v>
      </c>
      <c r="C19">
        <v>1</v>
      </c>
      <c r="D19" t="s">
        <v>549</v>
      </c>
      <c r="E19">
        <v>56707</v>
      </c>
      <c r="F19">
        <v>0.4846492</v>
      </c>
      <c r="G19">
        <v>27483</v>
      </c>
      <c r="H19">
        <v>0.1237128</v>
      </c>
      <c r="I19">
        <v>27483</v>
      </c>
      <c r="J19">
        <v>3.1073799999999999E-2</v>
      </c>
      <c r="K19">
        <v>27483</v>
      </c>
      <c r="L19">
        <v>0.1958665</v>
      </c>
      <c r="M19">
        <v>27483</v>
      </c>
      <c r="N19">
        <v>7.1935399999999997E-2</v>
      </c>
      <c r="O19">
        <v>27483</v>
      </c>
      <c r="P19">
        <v>2.1249500000000001E-2</v>
      </c>
      <c r="Q19">
        <v>27483</v>
      </c>
      <c r="R19">
        <v>4.4500199999999997E-2</v>
      </c>
      <c r="S19">
        <v>27483</v>
      </c>
      <c r="T19">
        <v>9.7660399999999994E-2</v>
      </c>
      <c r="U19">
        <v>27483</v>
      </c>
      <c r="V19">
        <v>0.15817049999999999</v>
      </c>
      <c r="W19">
        <v>27483</v>
      </c>
      <c r="X19">
        <v>0.1067205</v>
      </c>
      <c r="Y19">
        <v>27483</v>
      </c>
      <c r="Z19">
        <v>9.7078200000000003E-2</v>
      </c>
      <c r="AA19">
        <v>27483</v>
      </c>
      <c r="AB19">
        <v>3.1728699999999999E-2</v>
      </c>
      <c r="AC19">
        <v>27483</v>
      </c>
      <c r="AD19">
        <v>4.9848999999999996E-3</v>
      </c>
      <c r="AE19">
        <v>27483</v>
      </c>
      <c r="AF19">
        <v>1.53186E-2</v>
      </c>
      <c r="AG19">
        <v>56707</v>
      </c>
      <c r="AH19">
        <v>0.5153508</v>
      </c>
      <c r="AI19">
        <v>29224</v>
      </c>
      <c r="AJ19">
        <v>0.1021421</v>
      </c>
      <c r="AK19">
        <v>29224</v>
      </c>
      <c r="AL19">
        <v>3.0317500000000001E-2</v>
      </c>
      <c r="AM19">
        <v>29224</v>
      </c>
      <c r="AN19">
        <v>0.1428962</v>
      </c>
      <c r="AO19">
        <v>29224</v>
      </c>
      <c r="AP19">
        <v>7.9523700000000003E-2</v>
      </c>
      <c r="AQ19">
        <v>29224</v>
      </c>
      <c r="AR19">
        <v>1.3242500000000001E-2</v>
      </c>
      <c r="AS19">
        <v>29224</v>
      </c>
      <c r="AT19">
        <v>3.7263900000000003E-2</v>
      </c>
      <c r="AU19">
        <v>29224</v>
      </c>
      <c r="AV19">
        <v>0.100089</v>
      </c>
      <c r="AW19">
        <v>29224</v>
      </c>
      <c r="AX19">
        <v>0.14761840000000001</v>
      </c>
      <c r="AY19">
        <v>29224</v>
      </c>
      <c r="AZ19">
        <v>0.13269909999999999</v>
      </c>
      <c r="BA19">
        <v>29224</v>
      </c>
      <c r="BB19">
        <v>6.2893500000000005E-2</v>
      </c>
      <c r="BC19">
        <v>29224</v>
      </c>
      <c r="BD19">
        <v>7.6615100000000005E-2</v>
      </c>
      <c r="BE19">
        <v>29224</v>
      </c>
      <c r="BF19">
        <v>2.4945200000000001E-2</v>
      </c>
      <c r="BG19">
        <v>29224</v>
      </c>
      <c r="BH19">
        <v>4.9753600000000002E-2</v>
      </c>
      <c r="BI19">
        <v>453696</v>
      </c>
      <c r="BJ19">
        <v>0.49952170000000001</v>
      </c>
      <c r="BK19">
        <v>226631</v>
      </c>
      <c r="BL19">
        <v>7.3233599999999996E-2</v>
      </c>
      <c r="BM19">
        <v>226631</v>
      </c>
      <c r="BN19">
        <v>1.1560600000000001E-2</v>
      </c>
      <c r="BO19">
        <v>226631</v>
      </c>
      <c r="BP19">
        <v>8.9696499999999998E-2</v>
      </c>
      <c r="BQ19">
        <v>226631</v>
      </c>
      <c r="BR19">
        <v>5.2644999999999997E-2</v>
      </c>
      <c r="BS19">
        <v>226631</v>
      </c>
      <c r="BT19">
        <v>1.4759700000000001E-2</v>
      </c>
      <c r="BU19">
        <v>226631</v>
      </c>
      <c r="BV19">
        <v>3.0494500000000001E-2</v>
      </c>
      <c r="BW19">
        <v>226631</v>
      </c>
      <c r="BX19">
        <v>8.44192E-2</v>
      </c>
      <c r="BY19">
        <v>226631</v>
      </c>
      <c r="BZ19">
        <v>0.1317516</v>
      </c>
      <c r="CA19">
        <v>226631</v>
      </c>
      <c r="CB19">
        <v>0.15530530000000001</v>
      </c>
      <c r="CC19">
        <v>226631</v>
      </c>
      <c r="CD19">
        <v>0.150584</v>
      </c>
      <c r="CE19">
        <v>226631</v>
      </c>
      <c r="CF19">
        <v>0.1120985</v>
      </c>
      <c r="CG19">
        <v>226631</v>
      </c>
      <c r="CH19">
        <v>5.9665299999999998E-2</v>
      </c>
      <c r="CI19">
        <v>226631</v>
      </c>
      <c r="CJ19">
        <v>3.3786200000000002E-2</v>
      </c>
      <c r="CK19">
        <v>453696</v>
      </c>
      <c r="CL19">
        <v>0.50047830000000004</v>
      </c>
      <c r="CM19">
        <v>227065</v>
      </c>
      <c r="CN19">
        <v>7.31068E-2</v>
      </c>
      <c r="CO19">
        <v>227065</v>
      </c>
      <c r="CP19">
        <v>1.38639E-2</v>
      </c>
      <c r="CQ19">
        <v>227065</v>
      </c>
      <c r="CR19">
        <v>8.8617799999999997E-2</v>
      </c>
      <c r="CS19">
        <v>227065</v>
      </c>
      <c r="CT19">
        <v>4.49431E-2</v>
      </c>
      <c r="CU19">
        <v>227065</v>
      </c>
      <c r="CV19">
        <v>1.28509E-2</v>
      </c>
      <c r="CW19">
        <v>227065</v>
      </c>
      <c r="CX19">
        <v>3.2972899999999999E-2</v>
      </c>
      <c r="CY19">
        <v>227065</v>
      </c>
      <c r="CZ19">
        <v>7.6577199999999998E-2</v>
      </c>
      <c r="DA19">
        <v>227065</v>
      </c>
      <c r="DB19">
        <v>0.1284786</v>
      </c>
      <c r="DC19">
        <v>227065</v>
      </c>
      <c r="DD19">
        <v>0.1509876</v>
      </c>
      <c r="DE19">
        <v>227065</v>
      </c>
      <c r="DF19">
        <v>0.1543699</v>
      </c>
      <c r="DG19">
        <v>227065</v>
      </c>
      <c r="DH19">
        <v>0.1098408</v>
      </c>
      <c r="DI19">
        <v>227065</v>
      </c>
      <c r="DJ19">
        <v>6.4285599999999998E-2</v>
      </c>
      <c r="DK19">
        <v>227065</v>
      </c>
      <c r="DL19">
        <v>4.91049E-2</v>
      </c>
      <c r="DM19">
        <v>320794</v>
      </c>
      <c r="DN19">
        <v>8.0518999999999993E-2</v>
      </c>
      <c r="DO19">
        <v>25830</v>
      </c>
      <c r="DP19">
        <v>0.44049559999999999</v>
      </c>
      <c r="DQ19">
        <v>157145</v>
      </c>
      <c r="DR19">
        <v>7.2404499999999997E-2</v>
      </c>
      <c r="DS19">
        <v>11378</v>
      </c>
      <c r="DT19">
        <v>0.55053609999999997</v>
      </c>
      <c r="DU19">
        <v>28126</v>
      </c>
      <c r="DV19">
        <v>0.2227121</v>
      </c>
      <c r="DW19">
        <v>11378</v>
      </c>
      <c r="DX19">
        <v>0.21963440000000001</v>
      </c>
      <c r="DY19">
        <v>35972</v>
      </c>
      <c r="DZ19">
        <v>6.9470699999999996E-2</v>
      </c>
      <c r="EA19">
        <v>11378</v>
      </c>
      <c r="EB19">
        <v>0.1984532</v>
      </c>
      <c r="EC19">
        <v>42155</v>
      </c>
      <c r="ED19">
        <v>5.3564199999999999E-2</v>
      </c>
      <c r="EE19">
        <v>11378</v>
      </c>
      <c r="EF19">
        <v>3.1376300000000003E-2</v>
      </c>
      <c r="EG19">
        <v>50892</v>
      </c>
      <c r="EH19">
        <v>7.0149000000000001E-3</v>
      </c>
      <c r="EI19">
        <v>25830</v>
      </c>
      <c r="EJ19">
        <v>0.55950440000000001</v>
      </c>
      <c r="EK19">
        <v>163649</v>
      </c>
      <c r="EL19">
        <v>8.8311000000000001E-2</v>
      </c>
      <c r="EM19">
        <v>14452</v>
      </c>
      <c r="EN19">
        <v>0.43191249999999998</v>
      </c>
      <c r="EO19">
        <v>24289</v>
      </c>
      <c r="EP19">
        <v>0.25698880000000002</v>
      </c>
      <c r="EQ19">
        <v>14452</v>
      </c>
      <c r="ER19">
        <v>0.27338780000000001</v>
      </c>
      <c r="ES19">
        <v>40740</v>
      </c>
      <c r="ET19">
        <v>9.6980899999999995E-2</v>
      </c>
      <c r="EU19">
        <v>14452</v>
      </c>
      <c r="EV19">
        <v>0.22432879999999999</v>
      </c>
      <c r="EW19">
        <v>47674</v>
      </c>
      <c r="EX19">
        <v>6.8003499999999995E-2</v>
      </c>
      <c r="EY19">
        <v>14452</v>
      </c>
      <c r="EZ19">
        <v>7.03709E-2</v>
      </c>
      <c r="FA19">
        <v>50946</v>
      </c>
      <c r="FB19">
        <v>1.9962299999999999E-2</v>
      </c>
      <c r="FC19">
        <v>320794</v>
      </c>
      <c r="FD19">
        <v>0.91948099999999999</v>
      </c>
      <c r="FE19">
        <v>294964</v>
      </c>
      <c r="FF19">
        <v>0.49418570000000001</v>
      </c>
      <c r="FG19">
        <v>157145</v>
      </c>
      <c r="FH19">
        <v>0.92759559999999996</v>
      </c>
      <c r="FI19">
        <v>145767</v>
      </c>
      <c r="FJ19">
        <v>0.1499791</v>
      </c>
      <c r="FK19">
        <v>28126</v>
      </c>
      <c r="FL19">
        <v>0.77728790000000003</v>
      </c>
      <c r="FM19">
        <v>145767</v>
      </c>
      <c r="FN19">
        <v>0.22963359999999999</v>
      </c>
      <c r="FO19">
        <v>35972</v>
      </c>
      <c r="FP19">
        <v>0.9305293</v>
      </c>
      <c r="FQ19">
        <v>145767</v>
      </c>
      <c r="FR19">
        <v>0.2737039</v>
      </c>
      <c r="FS19">
        <v>42155</v>
      </c>
      <c r="FT19">
        <v>0.94643569999999999</v>
      </c>
      <c r="FU19">
        <v>145767</v>
      </c>
      <c r="FV19">
        <v>0.34668339999999997</v>
      </c>
      <c r="FW19">
        <v>50892</v>
      </c>
      <c r="FX19">
        <v>0.99298509999999995</v>
      </c>
      <c r="FY19">
        <v>294964</v>
      </c>
      <c r="FZ19">
        <v>0.50581430000000005</v>
      </c>
      <c r="GA19">
        <v>163649</v>
      </c>
      <c r="GB19">
        <v>0.91168899999999997</v>
      </c>
      <c r="GC19">
        <v>149197</v>
      </c>
      <c r="GD19">
        <v>0.1209609</v>
      </c>
      <c r="GE19">
        <v>24289</v>
      </c>
      <c r="GF19">
        <v>0.74301119999999998</v>
      </c>
      <c r="GG19">
        <v>149197</v>
      </c>
      <c r="GH19">
        <v>0.24657999999999999</v>
      </c>
      <c r="GI19">
        <v>40740</v>
      </c>
      <c r="GJ19">
        <v>0.90301909999999996</v>
      </c>
      <c r="GK19">
        <v>149197</v>
      </c>
      <c r="GL19">
        <v>0.29780760000000001</v>
      </c>
      <c r="GM19">
        <v>47674</v>
      </c>
      <c r="GN19">
        <v>0.93199650000000001</v>
      </c>
      <c r="GO19">
        <v>149197</v>
      </c>
      <c r="GP19">
        <v>0.33465149999999999</v>
      </c>
      <c r="GQ19">
        <v>50946</v>
      </c>
      <c r="GR19">
        <v>0.98003770000000001</v>
      </c>
      <c r="GS19">
        <v>379633</v>
      </c>
      <c r="GT19">
        <v>8.8904300000000006E-2</v>
      </c>
      <c r="GU19">
        <v>33751</v>
      </c>
      <c r="GV19">
        <v>0.45287549999999999</v>
      </c>
      <c r="GW19">
        <v>15285</v>
      </c>
      <c r="GX19">
        <v>0.2356559</v>
      </c>
      <c r="GY19">
        <v>15285</v>
      </c>
      <c r="GZ19">
        <v>0.36905460000000001</v>
      </c>
      <c r="HA19">
        <v>15285</v>
      </c>
      <c r="HB19">
        <v>0.39528950000000002</v>
      </c>
      <c r="HC19">
        <v>15285</v>
      </c>
      <c r="HD19">
        <v>0.6870134</v>
      </c>
      <c r="HE19">
        <v>15285</v>
      </c>
      <c r="HF19">
        <v>0.3129866</v>
      </c>
      <c r="HG19">
        <v>10501</v>
      </c>
      <c r="HH19">
        <v>0.7516427</v>
      </c>
      <c r="HI19">
        <v>10501</v>
      </c>
      <c r="HJ19">
        <v>0.2483573</v>
      </c>
      <c r="HK19">
        <v>33751</v>
      </c>
      <c r="HL19">
        <v>0.54712450000000001</v>
      </c>
      <c r="HM19">
        <v>18466</v>
      </c>
      <c r="HN19">
        <v>7.0724599999999999E-2</v>
      </c>
      <c r="HO19">
        <v>18466</v>
      </c>
      <c r="HP19">
        <v>0.25657970000000002</v>
      </c>
      <c r="HQ19">
        <v>18466</v>
      </c>
      <c r="HR19">
        <v>0.67269579999999995</v>
      </c>
      <c r="HS19">
        <v>18466</v>
      </c>
      <c r="HT19">
        <v>0.39505040000000002</v>
      </c>
      <c r="HU19">
        <v>18466</v>
      </c>
      <c r="HV19">
        <v>0.60494970000000003</v>
      </c>
      <c r="HW19">
        <v>7295</v>
      </c>
      <c r="HX19">
        <v>0.50829329999999995</v>
      </c>
      <c r="HY19">
        <v>7295</v>
      </c>
      <c r="HZ19">
        <v>0.49170659999999999</v>
      </c>
      <c r="IA19">
        <v>379633</v>
      </c>
      <c r="IB19">
        <v>0.91109569999999995</v>
      </c>
      <c r="IC19">
        <v>345882</v>
      </c>
      <c r="ID19">
        <v>0.49673010000000001</v>
      </c>
      <c r="IE19">
        <v>171810</v>
      </c>
      <c r="IF19">
        <v>0.53653450000000003</v>
      </c>
      <c r="IG19">
        <v>171810</v>
      </c>
      <c r="IH19">
        <v>0.24316979999999999</v>
      </c>
      <c r="II19">
        <v>171810</v>
      </c>
      <c r="IJ19">
        <v>0.22029570000000001</v>
      </c>
      <c r="IK19">
        <v>171633</v>
      </c>
      <c r="IL19">
        <v>0.79621640000000005</v>
      </c>
      <c r="IM19">
        <v>171633</v>
      </c>
      <c r="IN19">
        <v>0.20378370000000001</v>
      </c>
      <c r="IO19">
        <v>136657</v>
      </c>
      <c r="IP19">
        <v>0.88706759999999996</v>
      </c>
      <c r="IQ19">
        <v>136657</v>
      </c>
      <c r="IR19">
        <v>0.1129324</v>
      </c>
      <c r="IS19">
        <v>345882</v>
      </c>
      <c r="IT19">
        <v>0.50326990000000005</v>
      </c>
      <c r="IU19">
        <v>174072</v>
      </c>
      <c r="IV19">
        <v>0.37290889999999999</v>
      </c>
      <c r="IW19">
        <v>174072</v>
      </c>
      <c r="IX19">
        <v>0.29872700000000002</v>
      </c>
      <c r="IY19">
        <v>174072</v>
      </c>
      <c r="IZ19">
        <v>0.32836409999999999</v>
      </c>
      <c r="JA19">
        <v>174072</v>
      </c>
      <c r="JB19">
        <v>0.6611977</v>
      </c>
      <c r="JC19">
        <v>174072</v>
      </c>
      <c r="JD19">
        <v>0.3388023</v>
      </c>
      <c r="JE19">
        <v>115096</v>
      </c>
      <c r="JF19">
        <v>0.92792110000000005</v>
      </c>
      <c r="JG19">
        <v>115096</v>
      </c>
      <c r="JH19">
        <v>7.2079000000000004E-2</v>
      </c>
      <c r="JI19">
        <v>129044</v>
      </c>
      <c r="JJ19">
        <v>0.1187424</v>
      </c>
      <c r="JK19">
        <v>15323</v>
      </c>
      <c r="JL19">
        <v>0.49885790000000002</v>
      </c>
      <c r="JM19">
        <v>7644</v>
      </c>
      <c r="JN19">
        <v>0.80180530000000005</v>
      </c>
      <c r="JO19">
        <v>7644</v>
      </c>
      <c r="JP19">
        <v>0.80180530000000005</v>
      </c>
      <c r="JQ19">
        <v>7644</v>
      </c>
      <c r="JR19">
        <v>0.80180530000000005</v>
      </c>
      <c r="JS19">
        <v>7644</v>
      </c>
      <c r="JT19">
        <v>0.80180530000000005</v>
      </c>
      <c r="JU19">
        <v>7644</v>
      </c>
      <c r="JV19">
        <v>0.1981947</v>
      </c>
      <c r="JW19">
        <v>15323</v>
      </c>
      <c r="JX19">
        <v>0.50114210000000003</v>
      </c>
      <c r="JY19">
        <v>7679</v>
      </c>
      <c r="JZ19">
        <v>0.22047140000000001</v>
      </c>
      <c r="KA19">
        <v>1693</v>
      </c>
      <c r="KB19">
        <v>0.93325460000000005</v>
      </c>
      <c r="KC19">
        <v>1580</v>
      </c>
      <c r="KD19">
        <v>0.13544300000000001</v>
      </c>
      <c r="KE19">
        <v>1580</v>
      </c>
      <c r="KF19">
        <v>8.6075899999999997E-2</v>
      </c>
      <c r="KG19">
        <v>1580</v>
      </c>
      <c r="KH19">
        <v>0.77848099999999998</v>
      </c>
      <c r="KI19">
        <v>1693</v>
      </c>
      <c r="KJ19">
        <v>6.6745399999999996E-2</v>
      </c>
      <c r="KK19">
        <v>7679</v>
      </c>
      <c r="KL19">
        <v>0.77952860000000002</v>
      </c>
      <c r="KM19">
        <v>5986</v>
      </c>
      <c r="KN19">
        <v>0.89191450000000005</v>
      </c>
      <c r="KO19">
        <v>5339</v>
      </c>
      <c r="KP19">
        <v>0.2110882</v>
      </c>
      <c r="KQ19">
        <v>5339</v>
      </c>
      <c r="KR19">
        <v>0.35849409999999998</v>
      </c>
      <c r="KS19">
        <v>5339</v>
      </c>
      <c r="KT19">
        <v>0.43041770000000001</v>
      </c>
      <c r="KU19">
        <v>5986</v>
      </c>
      <c r="KV19">
        <v>0.1080855</v>
      </c>
      <c r="KW19">
        <v>129044</v>
      </c>
      <c r="KX19">
        <v>3.6561200000000002E-2</v>
      </c>
      <c r="KY19">
        <v>4718</v>
      </c>
      <c r="KZ19">
        <v>0.59919460000000002</v>
      </c>
      <c r="LA19">
        <v>2827</v>
      </c>
      <c r="LB19">
        <v>0.76759820000000001</v>
      </c>
      <c r="LC19">
        <v>2827</v>
      </c>
      <c r="LD19">
        <v>0.76759820000000001</v>
      </c>
      <c r="LE19">
        <v>2827</v>
      </c>
      <c r="LF19">
        <v>0.76759820000000001</v>
      </c>
      <c r="LG19">
        <v>2827</v>
      </c>
      <c r="LH19">
        <v>0.76759820000000001</v>
      </c>
      <c r="LI19">
        <v>2827</v>
      </c>
      <c r="LJ19">
        <v>0.23240179999999999</v>
      </c>
      <c r="LK19">
        <v>4718</v>
      </c>
      <c r="LL19">
        <v>0.40080539999999998</v>
      </c>
      <c r="LM19">
        <v>1891</v>
      </c>
      <c r="LN19">
        <v>0.16710729999999999</v>
      </c>
      <c r="LO19">
        <v>316</v>
      </c>
      <c r="LP19">
        <v>0.81329110000000004</v>
      </c>
      <c r="LQ19">
        <v>257</v>
      </c>
      <c r="LR19">
        <v>0</v>
      </c>
      <c r="LS19">
        <v>257</v>
      </c>
      <c r="LT19">
        <v>0.76264589999999999</v>
      </c>
      <c r="LU19">
        <v>257</v>
      </c>
      <c r="LV19">
        <v>0.23735410000000001</v>
      </c>
      <c r="LW19">
        <v>316</v>
      </c>
      <c r="LX19">
        <v>0.18670890000000001</v>
      </c>
      <c r="LY19">
        <v>1891</v>
      </c>
      <c r="LZ19">
        <v>0.83289270000000004</v>
      </c>
      <c r="MA19">
        <v>1575</v>
      </c>
      <c r="MB19">
        <v>0.87682539999999998</v>
      </c>
      <c r="MC19">
        <v>1381</v>
      </c>
      <c r="MD19">
        <v>0.16509779999999999</v>
      </c>
      <c r="ME19">
        <v>1381</v>
      </c>
      <c r="MF19">
        <v>0.25850830000000002</v>
      </c>
      <c r="MG19">
        <v>1381</v>
      </c>
      <c r="MH19">
        <v>0.57639390000000001</v>
      </c>
      <c r="MI19">
        <v>1575</v>
      </c>
      <c r="MJ19">
        <v>0.1231746</v>
      </c>
      <c r="MK19">
        <v>129044</v>
      </c>
      <c r="ML19">
        <v>6.2033100000000001E-2</v>
      </c>
      <c r="MM19">
        <v>8005</v>
      </c>
      <c r="MN19">
        <v>0.71817609999999998</v>
      </c>
      <c r="MO19">
        <v>5749</v>
      </c>
      <c r="MP19">
        <v>0.77787439999999997</v>
      </c>
      <c r="MQ19">
        <v>5749</v>
      </c>
      <c r="MR19">
        <v>0.77787439999999997</v>
      </c>
      <c r="MS19">
        <v>5749</v>
      </c>
      <c r="MT19">
        <v>0.77787439999999997</v>
      </c>
      <c r="MU19">
        <v>5749</v>
      </c>
      <c r="MV19">
        <v>0.77787439999999997</v>
      </c>
      <c r="MW19">
        <v>5749</v>
      </c>
      <c r="MX19">
        <v>0.22212560000000001</v>
      </c>
      <c r="MY19">
        <v>8005</v>
      </c>
      <c r="MZ19">
        <v>0.28182390000000002</v>
      </c>
      <c r="NA19">
        <v>2256</v>
      </c>
      <c r="NB19">
        <v>0.27881210000000001</v>
      </c>
      <c r="NC19">
        <v>629</v>
      </c>
      <c r="ND19">
        <v>0.91414949999999995</v>
      </c>
      <c r="NE19">
        <v>575</v>
      </c>
      <c r="NF19">
        <v>0.12</v>
      </c>
      <c r="NG19">
        <v>575</v>
      </c>
      <c r="NH19">
        <v>0.4904348</v>
      </c>
      <c r="NI19">
        <v>575</v>
      </c>
      <c r="NJ19">
        <v>0.3895652</v>
      </c>
      <c r="NK19">
        <v>629</v>
      </c>
      <c r="NL19">
        <v>8.5850599999999999E-2</v>
      </c>
      <c r="NM19">
        <v>2256</v>
      </c>
      <c r="NN19">
        <v>0.72118789999999999</v>
      </c>
      <c r="NO19">
        <v>1627</v>
      </c>
      <c r="NP19">
        <v>0.62937920000000003</v>
      </c>
      <c r="NQ19">
        <v>1024</v>
      </c>
      <c r="NR19">
        <v>0.25</v>
      </c>
      <c r="NS19">
        <v>1024</v>
      </c>
      <c r="NT19">
        <v>0.15625</v>
      </c>
      <c r="NU19">
        <v>1024</v>
      </c>
      <c r="NV19">
        <v>0.59375</v>
      </c>
      <c r="NW19">
        <v>1627</v>
      </c>
      <c r="NX19">
        <v>0.37062079999999997</v>
      </c>
      <c r="NY19">
        <v>129044</v>
      </c>
      <c r="NZ19">
        <v>0.78266329999999995</v>
      </c>
      <c r="OA19">
        <v>100998</v>
      </c>
      <c r="OB19">
        <v>0.8383235</v>
      </c>
      <c r="OC19">
        <v>84669</v>
      </c>
      <c r="OD19">
        <v>0.43243690000000001</v>
      </c>
      <c r="OE19">
        <v>84669</v>
      </c>
      <c r="OF19">
        <v>0.43243690000000001</v>
      </c>
      <c r="OG19">
        <v>84669</v>
      </c>
      <c r="OH19">
        <v>0.43243690000000001</v>
      </c>
      <c r="OI19">
        <v>84669</v>
      </c>
      <c r="OJ19">
        <v>0.43243690000000001</v>
      </c>
      <c r="OK19">
        <v>84669</v>
      </c>
      <c r="OL19">
        <v>0.56756309999999999</v>
      </c>
      <c r="OM19">
        <v>100998</v>
      </c>
      <c r="ON19">
        <v>0.1616765</v>
      </c>
      <c r="OO19">
        <v>16329</v>
      </c>
      <c r="OP19">
        <v>0.38220340000000003</v>
      </c>
      <c r="OQ19">
        <v>6241</v>
      </c>
      <c r="OR19">
        <v>0.44399939999999999</v>
      </c>
      <c r="OS19">
        <v>2771</v>
      </c>
      <c r="OT19">
        <v>0.1930711</v>
      </c>
      <c r="OU19">
        <v>2771</v>
      </c>
      <c r="OV19">
        <v>0.1129556</v>
      </c>
      <c r="OW19">
        <v>2771</v>
      </c>
      <c r="OX19">
        <v>0.69397330000000002</v>
      </c>
      <c r="OY19">
        <v>6241</v>
      </c>
      <c r="OZ19">
        <v>0.55600059999999996</v>
      </c>
      <c r="PA19">
        <v>16329</v>
      </c>
      <c r="PB19">
        <v>0.61779649999999997</v>
      </c>
      <c r="PC19">
        <v>10088</v>
      </c>
      <c r="PD19">
        <v>0.52032120000000004</v>
      </c>
      <c r="PE19">
        <v>5249</v>
      </c>
      <c r="PF19">
        <v>0.2011812</v>
      </c>
      <c r="PG19">
        <v>5249</v>
      </c>
      <c r="PH19">
        <v>5.9249400000000001E-2</v>
      </c>
      <c r="PI19">
        <v>5249</v>
      </c>
      <c r="PJ19">
        <v>0.73956940000000004</v>
      </c>
      <c r="PK19">
        <v>10088</v>
      </c>
      <c r="PL19">
        <v>0.47967880000000002</v>
      </c>
      <c r="PM19">
        <v>516499</v>
      </c>
      <c r="PN19">
        <v>0.49862830000000002</v>
      </c>
      <c r="PO19">
        <v>257541</v>
      </c>
      <c r="PP19">
        <v>7.9447500000000004E-2</v>
      </c>
      <c r="PQ19">
        <v>257541</v>
      </c>
      <c r="PR19">
        <v>7.9897999999999997E-2</v>
      </c>
      <c r="PS19">
        <v>257541</v>
      </c>
      <c r="PT19">
        <v>8.86966E-2</v>
      </c>
      <c r="PU19">
        <v>257541</v>
      </c>
      <c r="PV19">
        <v>4.7945799999999997E-2</v>
      </c>
      <c r="PW19">
        <v>257541</v>
      </c>
      <c r="PX19">
        <v>2.80732E-2</v>
      </c>
      <c r="PY19">
        <v>257541</v>
      </c>
      <c r="PZ19">
        <v>9.4587000000000004E-3</v>
      </c>
      <c r="QA19">
        <v>257541</v>
      </c>
      <c r="QB19">
        <v>1.5527600000000001E-2</v>
      </c>
      <c r="QC19">
        <v>257541</v>
      </c>
      <c r="QD19">
        <v>3.4798299999999997E-2</v>
      </c>
      <c r="QE19">
        <v>257541</v>
      </c>
      <c r="QF19">
        <v>6.5935099999999996E-2</v>
      </c>
      <c r="QG19">
        <v>257541</v>
      </c>
      <c r="QH19">
        <v>6.9157899999999994E-2</v>
      </c>
      <c r="QI19">
        <v>257541</v>
      </c>
      <c r="QJ19">
        <v>6.6098199999999996E-2</v>
      </c>
      <c r="QK19">
        <v>257541</v>
      </c>
      <c r="QL19">
        <v>8.3074200000000001E-2</v>
      </c>
      <c r="QM19">
        <v>257541</v>
      </c>
      <c r="QN19">
        <v>7.3926099999999995E-2</v>
      </c>
      <c r="QO19">
        <v>257541</v>
      </c>
      <c r="QP19">
        <v>6.9744200000000006E-2</v>
      </c>
      <c r="QQ19">
        <v>257541</v>
      </c>
      <c r="QR19">
        <v>5.90042E-2</v>
      </c>
      <c r="QS19">
        <v>257541</v>
      </c>
      <c r="QT19">
        <v>1.87621E-2</v>
      </c>
      <c r="QU19">
        <v>257541</v>
      </c>
      <c r="QV19">
        <v>2.4749500000000001E-2</v>
      </c>
      <c r="QW19">
        <v>257541</v>
      </c>
      <c r="QX19">
        <v>1.6273099999999999E-2</v>
      </c>
      <c r="QY19">
        <v>257541</v>
      </c>
      <c r="QZ19">
        <v>1.38502E-2</v>
      </c>
      <c r="RA19">
        <v>257541</v>
      </c>
      <c r="RB19">
        <v>2.3398200000000001E-2</v>
      </c>
      <c r="RC19">
        <v>257541</v>
      </c>
      <c r="RD19">
        <v>1.35085E-2</v>
      </c>
      <c r="RE19">
        <v>257541</v>
      </c>
      <c r="RF19">
        <v>1.2693100000000001E-2</v>
      </c>
      <c r="RG19">
        <v>257541</v>
      </c>
      <c r="RH19">
        <v>5.9795999999999998E-3</v>
      </c>
      <c r="RI19">
        <v>516499</v>
      </c>
      <c r="RJ19">
        <v>0.50137169999999998</v>
      </c>
      <c r="RK19">
        <v>258958</v>
      </c>
      <c r="RL19">
        <v>7.5630000000000003E-2</v>
      </c>
      <c r="RM19">
        <v>258958</v>
      </c>
      <c r="RN19">
        <v>8.49829E-2</v>
      </c>
      <c r="RO19">
        <v>258958</v>
      </c>
      <c r="RP19">
        <v>7.5560500000000003E-2</v>
      </c>
      <c r="RQ19">
        <v>258958</v>
      </c>
      <c r="RR19">
        <v>4.5934099999999999E-2</v>
      </c>
      <c r="RS19">
        <v>258958</v>
      </c>
      <c r="RT19">
        <v>2.3134999999999999E-2</v>
      </c>
      <c r="RU19">
        <v>258958</v>
      </c>
      <c r="RV19">
        <v>1.2778100000000001E-2</v>
      </c>
      <c r="RW19">
        <v>258958</v>
      </c>
      <c r="RX19">
        <v>8.7273000000000003E-3</v>
      </c>
      <c r="RY19">
        <v>258958</v>
      </c>
      <c r="RZ19">
        <v>3.5395700000000002E-2</v>
      </c>
      <c r="SA19">
        <v>258958</v>
      </c>
      <c r="SB19">
        <v>6.3041100000000003E-2</v>
      </c>
      <c r="SC19">
        <v>258958</v>
      </c>
      <c r="SD19">
        <v>6.77677E-2</v>
      </c>
      <c r="SE19">
        <v>258958</v>
      </c>
      <c r="SF19">
        <v>6.7594000000000001E-2</v>
      </c>
      <c r="SG19">
        <v>258958</v>
      </c>
      <c r="SH19">
        <v>8.0144300000000002E-2</v>
      </c>
      <c r="SI19">
        <v>258958</v>
      </c>
      <c r="SJ19">
        <v>7.5162800000000002E-2</v>
      </c>
      <c r="SK19">
        <v>258958</v>
      </c>
      <c r="SL19">
        <v>6.7783200000000002E-2</v>
      </c>
      <c r="SM19">
        <v>258958</v>
      </c>
      <c r="SN19">
        <v>5.4329299999999997E-2</v>
      </c>
      <c r="SO19">
        <v>258958</v>
      </c>
      <c r="SP19">
        <v>2.04628E-2</v>
      </c>
      <c r="SQ19">
        <v>258958</v>
      </c>
      <c r="SR19">
        <v>3.0167099999999999E-2</v>
      </c>
      <c r="SS19">
        <v>258958</v>
      </c>
      <c r="ST19">
        <v>1.3141099999999999E-2</v>
      </c>
      <c r="SU19">
        <v>258958</v>
      </c>
      <c r="SV19">
        <v>2.07601E-2</v>
      </c>
      <c r="SW19">
        <v>258958</v>
      </c>
      <c r="SX19">
        <v>2.5282099999999998E-2</v>
      </c>
      <c r="SY19">
        <v>258958</v>
      </c>
      <c r="SZ19">
        <v>1.8875599999999999E-2</v>
      </c>
      <c r="TA19">
        <v>258958</v>
      </c>
      <c r="TB19">
        <v>1.44E-2</v>
      </c>
      <c r="TC19">
        <v>258958</v>
      </c>
      <c r="TD19">
        <v>1.8945199999999999E-2</v>
      </c>
      <c r="TE19">
        <v>389075</v>
      </c>
      <c r="TF19">
        <v>0.499477</v>
      </c>
      <c r="TG19">
        <v>29807</v>
      </c>
      <c r="TH19">
        <v>0.48891200000000001</v>
      </c>
      <c r="TI19"/>
      <c r="TJ19"/>
      <c r="TK19">
        <v>17144</v>
      </c>
      <c r="TL19">
        <v>0.470252</v>
      </c>
      <c r="TM19"/>
      <c r="TN19"/>
      <c r="TO19">
        <v>70208</v>
      </c>
      <c r="TP19">
        <v>0.50401660000000004</v>
      </c>
      <c r="TQ19">
        <v>9698</v>
      </c>
      <c r="TR19">
        <v>0.48319240000000002</v>
      </c>
      <c r="TS19">
        <v>304316</v>
      </c>
      <c r="TT19">
        <v>0.49174210000000002</v>
      </c>
      <c r="TU19">
        <v>159376</v>
      </c>
      <c r="TV19">
        <v>0.51733010000000001</v>
      </c>
      <c r="TW19">
        <v>389075</v>
      </c>
      <c r="TX19">
        <v>0.50052300000000005</v>
      </c>
      <c r="TY19">
        <v>29807</v>
      </c>
      <c r="TZ19">
        <v>0.51108799999999999</v>
      </c>
      <c r="UA19"/>
      <c r="UB19"/>
      <c r="UC19">
        <v>17144</v>
      </c>
      <c r="UD19">
        <v>0.529748</v>
      </c>
      <c r="UE19"/>
      <c r="UF19"/>
      <c r="UG19">
        <v>70208</v>
      </c>
      <c r="UH19">
        <v>0.49598340000000002</v>
      </c>
      <c r="UI19">
        <v>9698</v>
      </c>
      <c r="UJ19">
        <v>0.51680760000000003</v>
      </c>
      <c r="UK19">
        <v>304316</v>
      </c>
      <c r="UL19">
        <v>0.50825790000000004</v>
      </c>
      <c r="UM19">
        <v>159376</v>
      </c>
      <c r="UN19">
        <v>0.48266989999999999</v>
      </c>
      <c r="UO19">
        <v>125047</v>
      </c>
      <c r="UP19">
        <v>125047</v>
      </c>
      <c r="UQ19">
        <v>125047</v>
      </c>
      <c r="UR19">
        <v>102728</v>
      </c>
      <c r="US19">
        <v>102728</v>
      </c>
      <c r="UT19">
        <v>102728</v>
      </c>
      <c r="UU19">
        <v>1.4155000000000001E-3</v>
      </c>
      <c r="UV19">
        <v>0.88538709999999998</v>
      </c>
      <c r="UW19">
        <v>0.1131974</v>
      </c>
      <c r="UX19">
        <v>0</v>
      </c>
      <c r="UY19">
        <v>0.91080329999999998</v>
      </c>
      <c r="UZ19">
        <v>8.9196700000000004E-2</v>
      </c>
      <c r="VA19">
        <v>8121</v>
      </c>
      <c r="VB19">
        <v>2.17953E-2</v>
      </c>
      <c r="VC19">
        <v>8121</v>
      </c>
      <c r="VD19">
        <v>0.85432830000000004</v>
      </c>
      <c r="VE19">
        <v>8121</v>
      </c>
      <c r="VF19">
        <v>0.1238764</v>
      </c>
      <c r="VG19">
        <v>15071</v>
      </c>
      <c r="VH19">
        <v>0</v>
      </c>
      <c r="VI19">
        <v>15071</v>
      </c>
      <c r="VJ19">
        <v>0.85535130000000004</v>
      </c>
      <c r="VK19">
        <v>15071</v>
      </c>
      <c r="VL19">
        <v>0.14464869999999999</v>
      </c>
      <c r="VM19">
        <v>16837</v>
      </c>
      <c r="VN19">
        <v>0</v>
      </c>
      <c r="VO19">
        <v>16837</v>
      </c>
      <c r="VP19">
        <v>0.89742829999999996</v>
      </c>
      <c r="VQ19">
        <v>16837</v>
      </c>
      <c r="VR19">
        <v>0.1025717</v>
      </c>
      <c r="VS19">
        <v>37083</v>
      </c>
      <c r="VT19">
        <v>0</v>
      </c>
      <c r="VU19">
        <v>37083</v>
      </c>
      <c r="VV19">
        <v>0.90513180000000004</v>
      </c>
      <c r="VW19">
        <v>37083</v>
      </c>
      <c r="VX19">
        <v>9.4868300000000003E-2</v>
      </c>
      <c r="VY19">
        <v>34175</v>
      </c>
      <c r="VZ19">
        <v>0</v>
      </c>
      <c r="WA19">
        <v>34175</v>
      </c>
      <c r="WB19">
        <v>0.87452819999999998</v>
      </c>
      <c r="WC19">
        <v>34175</v>
      </c>
      <c r="WD19">
        <v>0.12547179999999999</v>
      </c>
      <c r="WE19">
        <v>13760</v>
      </c>
      <c r="WF19">
        <v>0</v>
      </c>
      <c r="WG19">
        <v>13760</v>
      </c>
      <c r="WH19">
        <v>0.89563950000000003</v>
      </c>
      <c r="WI19">
        <v>13760</v>
      </c>
      <c r="WJ19">
        <v>0.10436049999999999</v>
      </c>
      <c r="WK19">
        <v>8133</v>
      </c>
      <c r="WL19">
        <v>0</v>
      </c>
      <c r="WM19">
        <v>8133</v>
      </c>
      <c r="WN19">
        <v>0.84040329999999996</v>
      </c>
      <c r="WO19">
        <v>8133</v>
      </c>
      <c r="WP19">
        <v>0.15959670000000001</v>
      </c>
      <c r="WQ19">
        <v>12571</v>
      </c>
      <c r="WR19">
        <v>0</v>
      </c>
      <c r="WS19">
        <v>12571</v>
      </c>
      <c r="WT19">
        <v>0.88091640000000004</v>
      </c>
      <c r="WU19">
        <v>12571</v>
      </c>
      <c r="WV19">
        <v>0.1190836</v>
      </c>
      <c r="WW19">
        <v>13352</v>
      </c>
      <c r="WX19">
        <v>0</v>
      </c>
      <c r="WY19">
        <v>13352</v>
      </c>
      <c r="WZ19">
        <v>0.93042239999999998</v>
      </c>
      <c r="XA19">
        <v>13352</v>
      </c>
      <c r="XB19">
        <v>6.9577600000000003E-2</v>
      </c>
      <c r="XC19">
        <v>28877</v>
      </c>
      <c r="XD19">
        <v>0</v>
      </c>
      <c r="XE19">
        <v>28877</v>
      </c>
      <c r="XF19">
        <v>0.93468850000000003</v>
      </c>
      <c r="XG19">
        <v>28877</v>
      </c>
      <c r="XH19">
        <v>6.5311499999999995E-2</v>
      </c>
      <c r="XI19">
        <v>29810</v>
      </c>
      <c r="XJ19">
        <v>0</v>
      </c>
      <c r="XK19">
        <v>29810</v>
      </c>
      <c r="XL19">
        <v>0.9100973</v>
      </c>
      <c r="XM19">
        <v>29810</v>
      </c>
      <c r="XN19">
        <v>8.9902700000000002E-2</v>
      </c>
      <c r="XO19">
        <v>9985</v>
      </c>
      <c r="XP19">
        <v>0</v>
      </c>
      <c r="XQ19">
        <v>9985</v>
      </c>
      <c r="XR19">
        <v>0.91256890000000002</v>
      </c>
      <c r="XS19">
        <v>9985</v>
      </c>
      <c r="XT19">
        <v>8.7431099999999998E-2</v>
      </c>
      <c r="XU19">
        <v>333239</v>
      </c>
      <c r="XV19">
        <v>0.50292429999999999</v>
      </c>
      <c r="XW19">
        <v>167594</v>
      </c>
      <c r="XX19">
        <v>0.82831719999999998</v>
      </c>
      <c r="XY19">
        <v>167594</v>
      </c>
      <c r="XZ19">
        <v>0.1716828</v>
      </c>
      <c r="YA19">
        <v>138821</v>
      </c>
      <c r="YB19">
        <v>0.83820170000000005</v>
      </c>
      <c r="YC19">
        <v>116360</v>
      </c>
      <c r="YD19">
        <v>0.80568059999999997</v>
      </c>
      <c r="YE19">
        <v>116360</v>
      </c>
      <c r="YF19">
        <v>1.50481E-2</v>
      </c>
      <c r="YG19">
        <v>116360</v>
      </c>
      <c r="YH19">
        <v>4.47491E-2</v>
      </c>
      <c r="YI19">
        <v>116360</v>
      </c>
      <c r="YJ19">
        <v>4.7172600000000002E-2</v>
      </c>
      <c r="YK19">
        <v>116360</v>
      </c>
      <c r="YL19">
        <v>4.2540399999999999E-2</v>
      </c>
      <c r="YM19">
        <v>116360</v>
      </c>
      <c r="YN19">
        <v>4.48092E-2</v>
      </c>
      <c r="YO19">
        <v>138821</v>
      </c>
      <c r="YP19">
        <v>0.1294257</v>
      </c>
      <c r="YQ19">
        <v>17967</v>
      </c>
      <c r="YR19">
        <v>0.47425840000000002</v>
      </c>
      <c r="YS19">
        <v>17967</v>
      </c>
      <c r="YT19">
        <v>2.6047799999999999E-2</v>
      </c>
      <c r="YU19">
        <v>17967</v>
      </c>
      <c r="YV19">
        <v>7.6918799999999996E-2</v>
      </c>
      <c r="YW19">
        <v>17967</v>
      </c>
      <c r="YX19">
        <v>0.19068289999999999</v>
      </c>
      <c r="YY19">
        <v>17967</v>
      </c>
      <c r="YZ19">
        <v>8.4710900000000006E-2</v>
      </c>
      <c r="ZA19">
        <v>17967</v>
      </c>
      <c r="ZB19">
        <v>0.14738129999999999</v>
      </c>
      <c r="ZC19">
        <v>138821</v>
      </c>
      <c r="ZD19">
        <v>3.2372600000000001E-2</v>
      </c>
      <c r="ZE19">
        <v>4494</v>
      </c>
      <c r="ZF19">
        <v>0.26791280000000001</v>
      </c>
      <c r="ZG19">
        <v>4494</v>
      </c>
      <c r="ZH19">
        <v>0</v>
      </c>
      <c r="ZI19">
        <v>4494</v>
      </c>
      <c r="ZJ19">
        <v>5.8522499999999998E-2</v>
      </c>
      <c r="ZK19">
        <v>4494</v>
      </c>
      <c r="ZL19">
        <v>0.13373389999999999</v>
      </c>
      <c r="ZM19">
        <v>4494</v>
      </c>
      <c r="ZN19">
        <v>0.12639069999999999</v>
      </c>
      <c r="ZO19">
        <v>4494</v>
      </c>
      <c r="ZP19">
        <v>0.41344009999999998</v>
      </c>
      <c r="ZQ19">
        <v>333239</v>
      </c>
      <c r="ZR19">
        <v>0.49707570000000001</v>
      </c>
      <c r="ZS19">
        <v>165645</v>
      </c>
      <c r="ZT19">
        <v>0.72340850000000001</v>
      </c>
      <c r="ZU19">
        <v>165645</v>
      </c>
      <c r="ZV19">
        <v>0.27659149999999999</v>
      </c>
      <c r="ZW19">
        <v>119829</v>
      </c>
      <c r="ZX19">
        <v>0.65743680000000004</v>
      </c>
      <c r="ZY19">
        <v>78780</v>
      </c>
      <c r="ZZ19">
        <v>0.82655500000000004</v>
      </c>
      <c r="AAA19">
        <v>78780</v>
      </c>
      <c r="AAB19">
        <v>1.15765E-2</v>
      </c>
      <c r="AAC19">
        <v>78780</v>
      </c>
      <c r="AAD19">
        <v>5.9456700000000001E-2</v>
      </c>
      <c r="AAE19">
        <v>78780</v>
      </c>
      <c r="AAF19">
        <v>3.78649E-2</v>
      </c>
      <c r="AAG19">
        <v>78780</v>
      </c>
      <c r="AAH19">
        <v>3.9261200000000003E-2</v>
      </c>
      <c r="AAI19">
        <v>78780</v>
      </c>
      <c r="AAJ19">
        <v>2.5285599999999998E-2</v>
      </c>
      <c r="AAK19">
        <v>119829</v>
      </c>
      <c r="AAL19">
        <v>0.2619399</v>
      </c>
      <c r="AAM19">
        <v>31388</v>
      </c>
      <c r="AAN19">
        <v>0.57168350000000001</v>
      </c>
      <c r="AAO19">
        <v>31388</v>
      </c>
      <c r="AAP19">
        <v>1.9274900000000001E-2</v>
      </c>
      <c r="AAQ19">
        <v>31388</v>
      </c>
      <c r="AAR19">
        <v>8.5669700000000001E-2</v>
      </c>
      <c r="AAS19">
        <v>31388</v>
      </c>
      <c r="AAT19">
        <v>0.12593979999999999</v>
      </c>
      <c r="AAU19">
        <v>31388</v>
      </c>
      <c r="AAV19">
        <v>8.7804300000000002E-2</v>
      </c>
      <c r="AAW19">
        <v>31388</v>
      </c>
      <c r="AAX19">
        <v>0.1096279</v>
      </c>
      <c r="AAY19">
        <v>119829</v>
      </c>
      <c r="AAZ19">
        <v>8.0623200000000006E-2</v>
      </c>
      <c r="ABA19">
        <v>9661</v>
      </c>
      <c r="ABB19">
        <v>0.21974949999999999</v>
      </c>
      <c r="ABC19">
        <v>9661</v>
      </c>
      <c r="ABD19">
        <v>2.6084300000000001E-2</v>
      </c>
      <c r="ABE19">
        <v>9661</v>
      </c>
      <c r="ABF19">
        <v>8.3014199999999996E-2</v>
      </c>
      <c r="ABG19">
        <v>9661</v>
      </c>
      <c r="ABH19">
        <v>0.14222129999999999</v>
      </c>
      <c r="ABI19">
        <v>9661</v>
      </c>
      <c r="ABJ19">
        <v>0.16002479999999999</v>
      </c>
      <c r="ABK19">
        <v>9661</v>
      </c>
      <c r="ABL19">
        <v>0.36890590000000001</v>
      </c>
      <c r="ABM19">
        <v>169897</v>
      </c>
      <c r="ABN19">
        <v>0.75954250000000001</v>
      </c>
      <c r="ABO19">
        <v>129044</v>
      </c>
      <c r="ABP19">
        <v>0.78181860000000003</v>
      </c>
      <c r="ABQ19">
        <v>129044</v>
      </c>
      <c r="ABR19">
        <v>0.2181814</v>
      </c>
      <c r="ABS19">
        <v>28155</v>
      </c>
      <c r="ABT19">
        <v>0.31536140000000001</v>
      </c>
      <c r="ABU19">
        <v>28155</v>
      </c>
      <c r="ABV19">
        <v>0.68463859999999999</v>
      </c>
      <c r="ABW19">
        <v>169897</v>
      </c>
      <c r="ABX19">
        <v>0.24045749999999999</v>
      </c>
      <c r="ABY19">
        <v>40853</v>
      </c>
      <c r="ABZ19">
        <v>0.79436030000000002</v>
      </c>
      <c r="ACA19">
        <v>40853</v>
      </c>
      <c r="ACB19">
        <v>0.20563970000000001</v>
      </c>
      <c r="ACC19">
        <v>391459</v>
      </c>
      <c r="ACD19">
        <v>0.49471340000000003</v>
      </c>
      <c r="ACE19">
        <v>193660</v>
      </c>
      <c r="ACF19">
        <v>0.32082519999999998</v>
      </c>
      <c r="ACG19">
        <v>62131</v>
      </c>
      <c r="ACH19">
        <v>0.19874140000000001</v>
      </c>
      <c r="ACI19">
        <v>62131</v>
      </c>
      <c r="ACJ19">
        <v>0.1145</v>
      </c>
      <c r="ACK19">
        <v>62131</v>
      </c>
      <c r="ACL19">
        <v>0.21522269999999999</v>
      </c>
      <c r="ACM19">
        <v>62131</v>
      </c>
      <c r="ACN19">
        <v>0.1817772</v>
      </c>
      <c r="ACO19">
        <v>62131</v>
      </c>
      <c r="ACP19">
        <v>0.1032174</v>
      </c>
      <c r="ACQ19">
        <v>62131</v>
      </c>
      <c r="ACR19">
        <v>6.7405999999999994E-2</v>
      </c>
      <c r="ACS19">
        <v>62131</v>
      </c>
      <c r="ACT19">
        <v>4.9717499999999998E-2</v>
      </c>
      <c r="ACU19">
        <v>62131</v>
      </c>
      <c r="ACV19">
        <v>3.1868100000000003E-2</v>
      </c>
      <c r="ACW19">
        <v>62131</v>
      </c>
      <c r="ACX19">
        <v>2.00222E-2</v>
      </c>
      <c r="ACY19">
        <v>62131</v>
      </c>
      <c r="ACZ19">
        <v>7.9348000000000005E-3</v>
      </c>
      <c r="ADA19">
        <v>62131</v>
      </c>
      <c r="ADB19">
        <v>5.6654000000000001E-3</v>
      </c>
      <c r="ADC19">
        <v>62131</v>
      </c>
      <c r="ADD19">
        <v>1.2715000000000001E-3</v>
      </c>
      <c r="ADE19">
        <v>62131</v>
      </c>
      <c r="ADF19">
        <v>2.6557E-3</v>
      </c>
      <c r="ADG19">
        <v>62131</v>
      </c>
      <c r="ADH19">
        <v>0</v>
      </c>
      <c r="ADI19">
        <v>193660</v>
      </c>
      <c r="ADJ19">
        <v>0.59196009999999999</v>
      </c>
      <c r="ADK19">
        <v>114639</v>
      </c>
      <c r="ADL19">
        <v>0.93025930000000001</v>
      </c>
      <c r="ADM19">
        <v>106644</v>
      </c>
      <c r="ADN19">
        <v>0</v>
      </c>
      <c r="ADO19">
        <v>106644</v>
      </c>
      <c r="ADP19">
        <v>1.0877E-3</v>
      </c>
      <c r="ADQ19">
        <v>106644</v>
      </c>
      <c r="ADR19">
        <v>1.0792899999999999E-2</v>
      </c>
      <c r="ADS19">
        <v>106644</v>
      </c>
      <c r="ADT19">
        <v>4.48314E-2</v>
      </c>
      <c r="ADU19">
        <v>106644</v>
      </c>
      <c r="ADV19">
        <v>9.2035199999999998E-2</v>
      </c>
      <c r="ADW19">
        <v>106644</v>
      </c>
      <c r="ADX19">
        <v>9.3751200000000007E-2</v>
      </c>
      <c r="ADY19">
        <v>106644</v>
      </c>
      <c r="ADZ19">
        <v>0.13820750000000001</v>
      </c>
      <c r="AEA19">
        <v>106644</v>
      </c>
      <c r="AEB19">
        <v>0.1374011</v>
      </c>
      <c r="AEC19">
        <v>106644</v>
      </c>
      <c r="AED19">
        <v>0.12589549999999999</v>
      </c>
      <c r="AEE19">
        <v>106644</v>
      </c>
      <c r="AEF19">
        <v>0.11262709999999999</v>
      </c>
      <c r="AEG19">
        <v>106644</v>
      </c>
      <c r="AEH19">
        <v>8.6033899999999996E-2</v>
      </c>
      <c r="AEI19">
        <v>106644</v>
      </c>
      <c r="AEJ19">
        <v>0.1085574</v>
      </c>
      <c r="AEK19">
        <v>106644</v>
      </c>
      <c r="AEL19">
        <v>4.1765099999999999E-2</v>
      </c>
      <c r="AEM19">
        <v>106644</v>
      </c>
      <c r="AEN19">
        <v>7.0140000000000003E-3</v>
      </c>
      <c r="AEO19">
        <v>114639</v>
      </c>
      <c r="AEP19">
        <v>6.9740700000000003E-2</v>
      </c>
      <c r="AEQ19">
        <v>7995</v>
      </c>
      <c r="AER19">
        <v>0.29643530000000001</v>
      </c>
      <c r="AES19">
        <v>2370</v>
      </c>
      <c r="AET19">
        <v>0</v>
      </c>
      <c r="AEU19">
        <v>2370</v>
      </c>
      <c r="AEV19">
        <v>0</v>
      </c>
      <c r="AEW19">
        <v>2370</v>
      </c>
      <c r="AEX19">
        <v>0.15654009999999999</v>
      </c>
      <c r="AEY19">
        <v>2370</v>
      </c>
      <c r="AEZ19">
        <v>2.2784800000000001E-2</v>
      </c>
      <c r="AFA19">
        <v>2370</v>
      </c>
      <c r="AFB19">
        <v>7.59494E-2</v>
      </c>
      <c r="AFC19">
        <v>2370</v>
      </c>
      <c r="AFD19">
        <v>5.2320699999999998E-2</v>
      </c>
      <c r="AFE19">
        <v>2370</v>
      </c>
      <c r="AFF19">
        <v>0.19451479999999999</v>
      </c>
      <c r="AFG19">
        <v>2370</v>
      </c>
      <c r="AFH19">
        <v>2.3628699999999999E-2</v>
      </c>
      <c r="AFI19">
        <v>2370</v>
      </c>
      <c r="AFJ19">
        <v>0.33164559999999998</v>
      </c>
      <c r="AFK19">
        <v>2370</v>
      </c>
      <c r="AFL19">
        <v>6.9198300000000004E-2</v>
      </c>
      <c r="AFM19">
        <v>2370</v>
      </c>
      <c r="AFN19">
        <v>4.2194099999999998E-2</v>
      </c>
      <c r="AFO19">
        <v>2370</v>
      </c>
      <c r="AFP19">
        <v>3.1223600000000001E-2</v>
      </c>
      <c r="AFQ19">
        <v>2370</v>
      </c>
      <c r="AFR19">
        <v>0</v>
      </c>
      <c r="AFS19">
        <v>2370</v>
      </c>
      <c r="AFT19">
        <v>0</v>
      </c>
      <c r="AFU19">
        <v>7995</v>
      </c>
      <c r="AFV19">
        <v>0.70356470000000004</v>
      </c>
      <c r="AFW19">
        <v>5625</v>
      </c>
      <c r="AFX19">
        <v>0</v>
      </c>
      <c r="AFY19">
        <v>5625</v>
      </c>
      <c r="AFZ19">
        <v>0</v>
      </c>
      <c r="AGA19">
        <v>5625</v>
      </c>
      <c r="AGB19">
        <v>7.3599999999999999E-2</v>
      </c>
      <c r="AGC19">
        <v>5625</v>
      </c>
      <c r="AGD19">
        <v>0.1168</v>
      </c>
      <c r="AGE19">
        <v>5625</v>
      </c>
      <c r="AGF19">
        <v>8.4088899999999994E-2</v>
      </c>
      <c r="AGG19">
        <v>5625</v>
      </c>
      <c r="AGH19">
        <v>0.2867556</v>
      </c>
      <c r="AGI19">
        <v>5625</v>
      </c>
      <c r="AGJ19">
        <v>0.1089778</v>
      </c>
      <c r="AGK19">
        <v>5625</v>
      </c>
      <c r="AGL19">
        <v>4.7999999999999996E-3</v>
      </c>
      <c r="AGM19">
        <v>5625</v>
      </c>
      <c r="AGN19">
        <v>6.0622200000000001E-2</v>
      </c>
      <c r="AGO19">
        <v>5625</v>
      </c>
      <c r="AGP19">
        <v>0.17084450000000001</v>
      </c>
      <c r="AGQ19">
        <v>5625</v>
      </c>
      <c r="AGR19">
        <v>0</v>
      </c>
      <c r="AGS19">
        <v>5625</v>
      </c>
      <c r="AGT19">
        <v>4.6399999999999997E-2</v>
      </c>
      <c r="AGU19">
        <v>5625</v>
      </c>
      <c r="AGV19">
        <v>3.2177799999999999E-2</v>
      </c>
      <c r="AGW19">
        <v>5625</v>
      </c>
      <c r="AGX19">
        <v>1.49333E-2</v>
      </c>
      <c r="AGY19">
        <v>193660</v>
      </c>
      <c r="AGZ19">
        <v>1.9926699999999999E-2</v>
      </c>
      <c r="AHA19">
        <v>3859</v>
      </c>
      <c r="AHB19">
        <v>0</v>
      </c>
      <c r="AHC19">
        <v>3859</v>
      </c>
      <c r="AHD19">
        <v>0</v>
      </c>
      <c r="AHE19">
        <v>3859</v>
      </c>
      <c r="AHF19">
        <v>2.3063E-2</v>
      </c>
      <c r="AHG19">
        <v>3859</v>
      </c>
      <c r="AHH19">
        <v>0</v>
      </c>
      <c r="AHI19">
        <v>3859</v>
      </c>
      <c r="AHJ19">
        <v>0</v>
      </c>
      <c r="AHK19">
        <v>3859</v>
      </c>
      <c r="AHL19">
        <v>0</v>
      </c>
      <c r="AHM19">
        <v>3859</v>
      </c>
      <c r="AHN19">
        <v>0</v>
      </c>
      <c r="AHO19">
        <v>3859</v>
      </c>
      <c r="AHP19">
        <v>3.2650899999999997E-2</v>
      </c>
      <c r="AHQ19">
        <v>3859</v>
      </c>
      <c r="AHR19">
        <v>7.0743700000000007E-2</v>
      </c>
      <c r="AHS19">
        <v>3859</v>
      </c>
      <c r="AHT19">
        <v>0</v>
      </c>
      <c r="AHU19">
        <v>3859</v>
      </c>
      <c r="AHV19">
        <v>0.13967350000000001</v>
      </c>
      <c r="AHW19">
        <v>3859</v>
      </c>
      <c r="AHX19">
        <v>0.2614667</v>
      </c>
      <c r="AHY19">
        <v>3859</v>
      </c>
      <c r="AHZ19">
        <v>0.28893489999999999</v>
      </c>
      <c r="AIA19">
        <v>3859</v>
      </c>
      <c r="AIB19">
        <v>0.1834672</v>
      </c>
      <c r="AIC19">
        <v>193660</v>
      </c>
      <c r="AID19">
        <v>6.7288000000000001E-2</v>
      </c>
      <c r="AIE19">
        <v>13031</v>
      </c>
      <c r="AIF19">
        <v>0</v>
      </c>
      <c r="AIG19">
        <v>13031</v>
      </c>
      <c r="AIH19">
        <v>0</v>
      </c>
      <c r="AII19">
        <v>13031</v>
      </c>
      <c r="AIJ19">
        <v>0</v>
      </c>
      <c r="AIK19">
        <v>13031</v>
      </c>
      <c r="AIL19">
        <v>1.49643E-2</v>
      </c>
      <c r="AIM19">
        <v>13031</v>
      </c>
      <c r="AIN19">
        <v>7.1368299999999996E-2</v>
      </c>
      <c r="AIO19">
        <v>13031</v>
      </c>
      <c r="AIP19">
        <v>8.4414100000000006E-2</v>
      </c>
      <c r="AIQ19">
        <v>13031</v>
      </c>
      <c r="AIR19">
        <v>0.19131300000000001</v>
      </c>
      <c r="AIS19">
        <v>13031</v>
      </c>
      <c r="AIT19">
        <v>0.168598</v>
      </c>
      <c r="AIU19">
        <v>13031</v>
      </c>
      <c r="AIV19">
        <v>0.14519219999999999</v>
      </c>
      <c r="AIW19">
        <v>13031</v>
      </c>
      <c r="AIX19">
        <v>0.1202517</v>
      </c>
      <c r="AIY19">
        <v>13031</v>
      </c>
      <c r="AIZ19">
        <v>7.9809699999999997E-2</v>
      </c>
      <c r="AJA19">
        <v>13031</v>
      </c>
      <c r="AJB19">
        <v>6.0164200000000001E-2</v>
      </c>
      <c r="AJC19">
        <v>13031</v>
      </c>
      <c r="AJD19">
        <v>6.3924499999999995E-2</v>
      </c>
      <c r="AJE19">
        <v>13031</v>
      </c>
      <c r="AJF19">
        <v>0</v>
      </c>
      <c r="AJG19">
        <v>391459</v>
      </c>
      <c r="AJH19">
        <v>0.50528660000000003</v>
      </c>
      <c r="AJI19">
        <v>197799</v>
      </c>
      <c r="AJJ19">
        <v>0.26893460000000002</v>
      </c>
      <c r="AJK19">
        <v>53195</v>
      </c>
      <c r="AJL19">
        <v>0.22188179999999999</v>
      </c>
      <c r="AJM19">
        <v>53195</v>
      </c>
      <c r="AJN19">
        <v>0.10685219999999999</v>
      </c>
      <c r="AJO19">
        <v>53195</v>
      </c>
      <c r="AJP19">
        <v>0.2401354</v>
      </c>
      <c r="AJQ19">
        <v>53195</v>
      </c>
      <c r="AJR19">
        <v>0.1684745</v>
      </c>
      <c r="AJS19">
        <v>53195</v>
      </c>
      <c r="AJT19">
        <v>8.4349999999999994E-2</v>
      </c>
      <c r="AJU19">
        <v>53195</v>
      </c>
      <c r="AJV19">
        <v>4.9008400000000001E-2</v>
      </c>
      <c r="AJW19">
        <v>53195</v>
      </c>
      <c r="AJX19">
        <v>3.4890499999999998E-2</v>
      </c>
      <c r="AJY19">
        <v>53195</v>
      </c>
      <c r="AJZ19">
        <v>2.4682800000000001E-2</v>
      </c>
      <c r="AKA19">
        <v>53195</v>
      </c>
      <c r="AKB19">
        <v>2.3705199999999999E-2</v>
      </c>
      <c r="AKC19">
        <v>53195</v>
      </c>
      <c r="AKD19">
        <v>1.2144E-2</v>
      </c>
      <c r="AKE19">
        <v>53195</v>
      </c>
      <c r="AKF19">
        <v>2.1336600000000001E-2</v>
      </c>
      <c r="AKG19">
        <v>53195</v>
      </c>
      <c r="AKH19">
        <v>3.3649999999999999E-3</v>
      </c>
      <c r="AKI19">
        <v>53195</v>
      </c>
      <c r="AKJ19">
        <v>5.1133000000000003E-3</v>
      </c>
      <c r="AKK19">
        <v>53195</v>
      </c>
      <c r="AKL19">
        <v>4.0604999999999999E-3</v>
      </c>
      <c r="AKM19">
        <v>197799</v>
      </c>
      <c r="AKN19">
        <v>0.55487640000000005</v>
      </c>
      <c r="AKO19">
        <v>109754</v>
      </c>
      <c r="AKP19">
        <v>0.93831659999999995</v>
      </c>
      <c r="AKQ19">
        <v>102984</v>
      </c>
      <c r="AKR19">
        <v>0</v>
      </c>
      <c r="AKS19">
        <v>102984</v>
      </c>
      <c r="AKT19">
        <v>2.9810000000000001E-3</v>
      </c>
      <c r="AKU19">
        <v>102984</v>
      </c>
      <c r="AKV19">
        <v>1.75464E-2</v>
      </c>
      <c r="AKW19">
        <v>102984</v>
      </c>
      <c r="AKX19">
        <v>5.5037700000000002E-2</v>
      </c>
      <c r="AKY19">
        <v>102984</v>
      </c>
      <c r="AKZ19">
        <v>0.1024528</v>
      </c>
      <c r="ALA19">
        <v>102984</v>
      </c>
      <c r="ALB19">
        <v>0.12116449999999999</v>
      </c>
      <c r="ALC19">
        <v>102984</v>
      </c>
      <c r="ALD19">
        <v>0.1445273</v>
      </c>
      <c r="ALE19">
        <v>102984</v>
      </c>
      <c r="ALF19">
        <v>0.14166280000000001</v>
      </c>
      <c r="ALG19">
        <v>102984</v>
      </c>
      <c r="ALH19">
        <v>0.11479449999999999</v>
      </c>
      <c r="ALI19">
        <v>102984</v>
      </c>
      <c r="ALJ19">
        <v>0.1004816</v>
      </c>
      <c r="ALK19">
        <v>102984</v>
      </c>
      <c r="ALL19">
        <v>7.8138399999999997E-2</v>
      </c>
      <c r="ALM19">
        <v>102984</v>
      </c>
      <c r="ALN19">
        <v>8.7770899999999999E-2</v>
      </c>
      <c r="ALO19">
        <v>102984</v>
      </c>
      <c r="ALP19">
        <v>2.9043300000000001E-2</v>
      </c>
      <c r="ALQ19">
        <v>102984</v>
      </c>
      <c r="ALR19">
        <v>4.3987000000000002E-3</v>
      </c>
      <c r="ALS19">
        <v>109754</v>
      </c>
      <c r="ALT19">
        <v>6.1683399999999999E-2</v>
      </c>
      <c r="ALU19">
        <v>6770</v>
      </c>
      <c r="ALV19">
        <v>0.59335300000000002</v>
      </c>
      <c r="ALW19">
        <v>4017</v>
      </c>
      <c r="ALX19">
        <v>2.2902700000000002E-2</v>
      </c>
      <c r="ALY19">
        <v>4017</v>
      </c>
      <c r="ALZ19">
        <v>0</v>
      </c>
      <c r="AMA19">
        <v>4017</v>
      </c>
      <c r="AMB19">
        <v>0</v>
      </c>
      <c r="AMC19">
        <v>4017</v>
      </c>
      <c r="AMD19">
        <v>0.1272094</v>
      </c>
      <c r="AME19">
        <v>4017</v>
      </c>
      <c r="AMF19">
        <v>0.2066219</v>
      </c>
      <c r="AMG19">
        <v>4017</v>
      </c>
      <c r="AMH19">
        <v>7.2940000000000005E-2</v>
      </c>
      <c r="AMI19">
        <v>4017</v>
      </c>
      <c r="AMJ19">
        <v>0.17027629999999999</v>
      </c>
      <c r="AMK19">
        <v>4017</v>
      </c>
      <c r="AML19">
        <v>0.21085390000000001</v>
      </c>
      <c r="AMM19">
        <v>4017</v>
      </c>
      <c r="AMN19">
        <v>9.7336300000000001E-2</v>
      </c>
      <c r="AMO19">
        <v>4017</v>
      </c>
      <c r="AMP19">
        <v>0</v>
      </c>
      <c r="AMQ19">
        <v>4017</v>
      </c>
      <c r="AMR19">
        <v>4.3067000000000001E-2</v>
      </c>
      <c r="AMS19">
        <v>4017</v>
      </c>
      <c r="AMT19">
        <v>3.0370899999999999E-2</v>
      </c>
      <c r="AMU19">
        <v>4017</v>
      </c>
      <c r="AMV19">
        <v>0</v>
      </c>
      <c r="AMW19">
        <v>4017</v>
      </c>
      <c r="AMX19">
        <v>1.8421699999999999E-2</v>
      </c>
      <c r="AMY19">
        <v>6770</v>
      </c>
      <c r="AMZ19">
        <v>0.40664699999999998</v>
      </c>
      <c r="ANA19">
        <v>2753</v>
      </c>
      <c r="ANB19">
        <v>0</v>
      </c>
      <c r="ANC19">
        <v>2753</v>
      </c>
      <c r="AND19">
        <v>0</v>
      </c>
      <c r="ANE19">
        <v>2753</v>
      </c>
      <c r="ANF19">
        <v>1.3076600000000001E-2</v>
      </c>
      <c r="ANG19">
        <v>2753</v>
      </c>
      <c r="ANH19">
        <v>0.19070110000000001</v>
      </c>
      <c r="ANI19">
        <v>2753</v>
      </c>
      <c r="ANJ19">
        <v>9.0446799999999994E-2</v>
      </c>
      <c r="ANK19">
        <v>2753</v>
      </c>
      <c r="ANL19">
        <v>2.9785699999999998E-2</v>
      </c>
      <c r="ANM19">
        <v>2753</v>
      </c>
      <c r="ANN19">
        <v>0.127134</v>
      </c>
      <c r="ANO19">
        <v>2753</v>
      </c>
      <c r="ANP19">
        <v>8.5724700000000001E-2</v>
      </c>
      <c r="ANQ19">
        <v>2753</v>
      </c>
      <c r="ANR19">
        <v>8.8993799999999998E-2</v>
      </c>
      <c r="ANS19">
        <v>2753</v>
      </c>
      <c r="ANT19">
        <v>2.3247400000000001E-2</v>
      </c>
      <c r="ANU19">
        <v>2753</v>
      </c>
      <c r="ANV19">
        <v>0.20050850000000001</v>
      </c>
      <c r="ANW19">
        <v>2753</v>
      </c>
      <c r="ANX19">
        <v>5.7391900000000003E-2</v>
      </c>
      <c r="ANY19">
        <v>2753</v>
      </c>
      <c r="ANZ19">
        <v>1.7072299999999999E-2</v>
      </c>
      <c r="AOA19">
        <v>2753</v>
      </c>
      <c r="AOB19">
        <v>7.5917200000000004E-2</v>
      </c>
      <c r="AOC19">
        <v>197799</v>
      </c>
      <c r="AOD19">
        <v>6.9125699999999998E-2</v>
      </c>
      <c r="AOE19">
        <v>13673</v>
      </c>
      <c r="AOF19">
        <v>0</v>
      </c>
      <c r="AOG19">
        <v>13673</v>
      </c>
      <c r="AOH19">
        <v>0</v>
      </c>
      <c r="AOI19">
        <v>13673</v>
      </c>
      <c r="AOJ19">
        <v>0</v>
      </c>
      <c r="AOK19">
        <v>13673</v>
      </c>
      <c r="AOL19">
        <v>0</v>
      </c>
      <c r="AOM19">
        <v>13673</v>
      </c>
      <c r="AON19">
        <v>0</v>
      </c>
      <c r="AOO19">
        <v>13673</v>
      </c>
      <c r="AOP19">
        <v>4.7539000000000001E-3</v>
      </c>
      <c r="AOQ19">
        <v>13673</v>
      </c>
      <c r="AOR19">
        <v>1.0019699999999999E-2</v>
      </c>
      <c r="AOS19">
        <v>13673</v>
      </c>
      <c r="AOT19">
        <v>1.47736E-2</v>
      </c>
      <c r="AOU19">
        <v>13673</v>
      </c>
      <c r="AOV19">
        <v>2.1721600000000001E-2</v>
      </c>
      <c r="AOW19">
        <v>13673</v>
      </c>
      <c r="AOX19">
        <v>3.4228000000000001E-2</v>
      </c>
      <c r="AOY19">
        <v>13673</v>
      </c>
      <c r="AOZ19">
        <v>6.3336500000000004E-2</v>
      </c>
      <c r="APA19">
        <v>13673</v>
      </c>
      <c r="APB19">
        <v>0.24990860000000001</v>
      </c>
      <c r="APC19">
        <v>13673</v>
      </c>
      <c r="APD19">
        <v>0.33752650000000001</v>
      </c>
      <c r="APE19">
        <v>13673</v>
      </c>
      <c r="APF19">
        <v>0.2637314</v>
      </c>
      <c r="APG19">
        <v>197799</v>
      </c>
      <c r="APH19">
        <v>0.1070632</v>
      </c>
      <c r="API19">
        <v>21177</v>
      </c>
      <c r="APJ19">
        <v>0</v>
      </c>
      <c r="APK19">
        <v>21177</v>
      </c>
      <c r="APL19">
        <v>0</v>
      </c>
      <c r="APM19">
        <v>21177</v>
      </c>
      <c r="APN19">
        <v>5.5721E-3</v>
      </c>
      <c r="APO19">
        <v>21177</v>
      </c>
      <c r="APP19">
        <v>3.1118699999999999E-2</v>
      </c>
      <c r="APQ19">
        <v>21177</v>
      </c>
      <c r="APR19">
        <v>6.76205E-2</v>
      </c>
      <c r="APS19">
        <v>21177</v>
      </c>
      <c r="APT19">
        <v>9.3450400000000003E-2</v>
      </c>
      <c r="APU19">
        <v>21177</v>
      </c>
      <c r="APV19">
        <v>0.13424939999999999</v>
      </c>
      <c r="APW19">
        <v>21177</v>
      </c>
      <c r="APX19">
        <v>0.1075223</v>
      </c>
      <c r="APY19">
        <v>21177</v>
      </c>
      <c r="APZ19">
        <v>0.1670208</v>
      </c>
      <c r="AQA19">
        <v>21177</v>
      </c>
      <c r="AQB19">
        <v>0.1200831</v>
      </c>
      <c r="AQC19">
        <v>21177</v>
      </c>
      <c r="AQD19">
        <v>0.1104028</v>
      </c>
      <c r="AQE19">
        <v>21177</v>
      </c>
      <c r="AQF19">
        <v>0.1138499</v>
      </c>
      <c r="AQG19">
        <v>21177</v>
      </c>
      <c r="AQH19">
        <v>3.2676999999999998E-2</v>
      </c>
      <c r="AQI19">
        <v>21177</v>
      </c>
      <c r="AQJ19">
        <v>1.64329E-2</v>
      </c>
      <c r="AQK19">
        <v>62047</v>
      </c>
      <c r="AQL19">
        <v>0.1798314</v>
      </c>
      <c r="AQM19">
        <v>169897</v>
      </c>
      <c r="AQN19">
        <v>0.76690579999999997</v>
      </c>
      <c r="AQO19">
        <v>130295</v>
      </c>
      <c r="AQP19">
        <v>0.80668490000000004</v>
      </c>
      <c r="AQQ19">
        <v>105107</v>
      </c>
      <c r="AQR19">
        <v>0.84231310000000004</v>
      </c>
      <c r="AQS19">
        <v>88533</v>
      </c>
      <c r="AQT19">
        <v>0.4468164</v>
      </c>
      <c r="AQU19">
        <v>88533</v>
      </c>
      <c r="AQV19">
        <v>0.5531836</v>
      </c>
      <c r="AQW19">
        <v>105107</v>
      </c>
      <c r="AQX19">
        <v>0.15768689999999999</v>
      </c>
      <c r="AQY19">
        <v>16574</v>
      </c>
      <c r="AQZ19">
        <v>0.3320864</v>
      </c>
      <c r="ARA19">
        <v>5504</v>
      </c>
      <c r="ARB19">
        <v>0.3515625</v>
      </c>
      <c r="ARC19">
        <v>5504</v>
      </c>
      <c r="ARD19">
        <v>0.6484375</v>
      </c>
      <c r="ARE19">
        <v>16574</v>
      </c>
      <c r="ARF19">
        <v>0.6679136</v>
      </c>
      <c r="ARG19">
        <v>11070</v>
      </c>
      <c r="ARH19">
        <v>0.44037939999999998</v>
      </c>
      <c r="ARI19">
        <v>11070</v>
      </c>
      <c r="ARJ19">
        <v>0.55962060000000002</v>
      </c>
      <c r="ARK19">
        <v>130295</v>
      </c>
      <c r="ARL19">
        <v>0.19331519999999999</v>
      </c>
      <c r="ARM19">
        <v>169897</v>
      </c>
      <c r="ARN19">
        <v>0.2330942</v>
      </c>
      <c r="ARO19">
        <v>39602</v>
      </c>
      <c r="ARP19">
        <v>0.60443919999999995</v>
      </c>
      <c r="ARQ19">
        <v>23937</v>
      </c>
      <c r="ARR19">
        <v>0.51618830000000004</v>
      </c>
      <c r="ARS19">
        <v>12356</v>
      </c>
      <c r="ART19">
        <v>0.62593069999999995</v>
      </c>
      <c r="ARU19">
        <v>12356</v>
      </c>
      <c r="ARV19">
        <v>0.37406929999999999</v>
      </c>
      <c r="ARW19">
        <v>23937</v>
      </c>
      <c r="ARX19">
        <v>0.48381170000000001</v>
      </c>
      <c r="ARY19">
        <v>11581</v>
      </c>
      <c r="ARZ19">
        <v>0.29142560000000001</v>
      </c>
      <c r="ASA19">
        <v>3375</v>
      </c>
      <c r="ASB19">
        <v>0.49244450000000001</v>
      </c>
      <c r="ASC19">
        <v>3375</v>
      </c>
      <c r="ASD19">
        <v>0.50755550000000005</v>
      </c>
      <c r="ASE19">
        <v>11581</v>
      </c>
      <c r="ASF19">
        <v>0.70857440000000005</v>
      </c>
      <c r="ASG19">
        <v>8206</v>
      </c>
      <c r="ASH19">
        <v>0.76565930000000004</v>
      </c>
      <c r="ASI19">
        <v>8206</v>
      </c>
      <c r="ASJ19">
        <v>0.23434070000000001</v>
      </c>
      <c r="ASK19">
        <v>39602</v>
      </c>
      <c r="ASL19">
        <v>0.39556079999999999</v>
      </c>
      <c r="ASM19">
        <v>161664</v>
      </c>
      <c r="ASN19">
        <v>0.59068189999999998</v>
      </c>
      <c r="ASO19">
        <v>95492</v>
      </c>
      <c r="ASP19">
        <v>0.3666066</v>
      </c>
      <c r="ASQ19">
        <v>35008</v>
      </c>
      <c r="ASR19">
        <v>0.59574959999999999</v>
      </c>
      <c r="ASS19">
        <v>20856</v>
      </c>
      <c r="AST19">
        <v>0.76908330000000003</v>
      </c>
      <c r="ASU19">
        <v>20856</v>
      </c>
      <c r="ASV19">
        <v>0.23091680000000001</v>
      </c>
      <c r="ASW19">
        <v>35008</v>
      </c>
      <c r="ASX19">
        <v>0.21180869999999999</v>
      </c>
      <c r="ASY19">
        <v>7415</v>
      </c>
      <c r="ASZ19">
        <v>0.55751850000000003</v>
      </c>
      <c r="ATA19">
        <v>7415</v>
      </c>
      <c r="ATB19">
        <v>0.36048550000000001</v>
      </c>
      <c r="ATC19">
        <v>7415</v>
      </c>
      <c r="ATD19">
        <v>8.1995999999999999E-2</v>
      </c>
      <c r="ATE19">
        <v>35008</v>
      </c>
      <c r="ATF19">
        <v>0.14085349999999999</v>
      </c>
      <c r="ATG19">
        <v>4931</v>
      </c>
      <c r="ATH19">
        <v>0.1879943</v>
      </c>
      <c r="ATI19">
        <v>4931</v>
      </c>
      <c r="ATJ19">
        <v>0.1725816</v>
      </c>
      <c r="ATK19">
        <v>4931</v>
      </c>
      <c r="ATL19">
        <v>0.3597648</v>
      </c>
      <c r="ATM19">
        <v>4931</v>
      </c>
      <c r="ATN19">
        <v>0.2796593</v>
      </c>
      <c r="ATO19">
        <v>35008</v>
      </c>
      <c r="ATP19">
        <v>5.1588200000000001E-2</v>
      </c>
      <c r="ATQ19">
        <v>1806</v>
      </c>
      <c r="ATR19">
        <v>0.96677740000000001</v>
      </c>
      <c r="ATS19">
        <v>1806</v>
      </c>
      <c r="ATT19">
        <v>3.3222599999999998E-2</v>
      </c>
      <c r="ATU19">
        <v>95492</v>
      </c>
      <c r="ATV19">
        <v>0.1167323</v>
      </c>
      <c r="ATW19">
        <v>11147</v>
      </c>
      <c r="ATX19">
        <v>1.0944600000000001E-2</v>
      </c>
      <c r="ATY19">
        <v>11147</v>
      </c>
      <c r="ATZ19">
        <v>0.23217009999999999</v>
      </c>
      <c r="AUA19">
        <v>2588</v>
      </c>
      <c r="AUB19">
        <v>0.50888719999999998</v>
      </c>
      <c r="AUC19">
        <v>2588</v>
      </c>
      <c r="AUD19">
        <v>0.49111280000000002</v>
      </c>
      <c r="AUE19">
        <v>11147</v>
      </c>
      <c r="AUF19">
        <v>0.24912529999999999</v>
      </c>
      <c r="AUG19">
        <v>11147</v>
      </c>
      <c r="AUH19">
        <v>0.43697849999999999</v>
      </c>
      <c r="AUI19">
        <v>11147</v>
      </c>
      <c r="AUJ19">
        <v>7.0781399999999994E-2</v>
      </c>
      <c r="AUK19">
        <v>95492</v>
      </c>
      <c r="AUL19">
        <v>0.1914611</v>
      </c>
      <c r="AUM19">
        <v>18283</v>
      </c>
      <c r="AUN19">
        <v>0.5942132</v>
      </c>
      <c r="AUO19">
        <v>18283</v>
      </c>
      <c r="AUP19">
        <v>0.4057868</v>
      </c>
      <c r="AUQ19">
        <v>95492</v>
      </c>
      <c r="AUR19">
        <v>0.120785</v>
      </c>
      <c r="AUS19">
        <v>11534</v>
      </c>
      <c r="AUT19">
        <v>1.9854299999999998E-2</v>
      </c>
      <c r="AUU19">
        <v>11534</v>
      </c>
      <c r="AUV19">
        <v>0.52167509999999995</v>
      </c>
      <c r="AUW19">
        <v>11534</v>
      </c>
      <c r="AUX19">
        <v>0.45847060000000001</v>
      </c>
      <c r="AUY19">
        <v>95492</v>
      </c>
      <c r="AUZ19">
        <v>0.20441500000000001</v>
      </c>
      <c r="AVA19">
        <v>19520</v>
      </c>
      <c r="AVB19">
        <v>0.48427249999999999</v>
      </c>
      <c r="AVC19">
        <v>19520</v>
      </c>
      <c r="AVD19">
        <v>0.27879100000000001</v>
      </c>
      <c r="AVE19">
        <v>19520</v>
      </c>
      <c r="AVF19">
        <v>0.23693649999999999</v>
      </c>
      <c r="AVG19">
        <v>161664</v>
      </c>
      <c r="AVH19">
        <v>0.40931810000000002</v>
      </c>
      <c r="AVI19">
        <v>66172</v>
      </c>
      <c r="AVJ19">
        <v>0.4055492</v>
      </c>
      <c r="AVK19">
        <v>26836</v>
      </c>
      <c r="AVL19">
        <v>0.42048000000000002</v>
      </c>
      <c r="AVM19">
        <v>11284</v>
      </c>
      <c r="AVN19">
        <v>0.54820979999999997</v>
      </c>
      <c r="AVO19">
        <v>11284</v>
      </c>
      <c r="AVP19">
        <v>0.45179019999999998</v>
      </c>
      <c r="AVQ19">
        <v>26836</v>
      </c>
      <c r="AVR19">
        <v>8.9394799999999996E-2</v>
      </c>
      <c r="AVS19">
        <v>2399</v>
      </c>
      <c r="AVT19">
        <v>0.58190909999999996</v>
      </c>
      <c r="AVU19">
        <v>2399</v>
      </c>
      <c r="AVV19">
        <v>0.20758650000000001</v>
      </c>
      <c r="AVW19">
        <v>2399</v>
      </c>
      <c r="AVX19">
        <v>0.21050440000000001</v>
      </c>
      <c r="AVY19">
        <v>26836</v>
      </c>
      <c r="AVZ19">
        <v>0.31539719999999999</v>
      </c>
      <c r="AWA19">
        <v>8464</v>
      </c>
      <c r="AWB19">
        <v>0.11838369999999999</v>
      </c>
      <c r="AWC19">
        <v>8464</v>
      </c>
      <c r="AWD19">
        <v>0.14331289999999999</v>
      </c>
      <c r="AWE19">
        <v>8464</v>
      </c>
      <c r="AWF19">
        <v>0.63740549999999996</v>
      </c>
      <c r="AWG19">
        <v>8464</v>
      </c>
      <c r="AWH19">
        <v>0.1008979</v>
      </c>
      <c r="AWI19">
        <v>26836</v>
      </c>
      <c r="AWJ19">
        <v>0.17472799999999999</v>
      </c>
      <c r="AWK19">
        <v>4689</v>
      </c>
      <c r="AWL19">
        <v>0.62571980000000005</v>
      </c>
      <c r="AWM19">
        <v>4689</v>
      </c>
      <c r="AWN19">
        <v>0.37428020000000001</v>
      </c>
      <c r="AWO19">
        <v>66172</v>
      </c>
      <c r="AWP19">
        <v>0.13541980000000001</v>
      </c>
      <c r="AWQ19">
        <v>8961</v>
      </c>
      <c r="AWR19">
        <v>0.2082357</v>
      </c>
      <c r="AWS19">
        <v>8961</v>
      </c>
      <c r="AWT19">
        <v>6.0930699999999997E-2</v>
      </c>
      <c r="AWU19">
        <v>546</v>
      </c>
      <c r="AWV19">
        <v>0.86996329999999999</v>
      </c>
      <c r="AWW19">
        <v>546</v>
      </c>
      <c r="AWX19">
        <v>0.1300366</v>
      </c>
      <c r="AWY19">
        <v>8961</v>
      </c>
      <c r="AWZ19">
        <v>0.29081580000000001</v>
      </c>
      <c r="AXA19">
        <v>8961</v>
      </c>
      <c r="AXB19">
        <v>0.2099096</v>
      </c>
      <c r="AXC19">
        <v>8961</v>
      </c>
      <c r="AXD19">
        <v>0.23010820000000001</v>
      </c>
      <c r="AXE19">
        <v>66172</v>
      </c>
      <c r="AXF19">
        <v>0.36527539999999997</v>
      </c>
      <c r="AXG19">
        <v>24171</v>
      </c>
      <c r="AXH19">
        <v>0.3116544</v>
      </c>
      <c r="AXI19">
        <v>24171</v>
      </c>
      <c r="AXJ19">
        <v>0.6883456</v>
      </c>
      <c r="AXK19">
        <v>66172</v>
      </c>
      <c r="AXL19">
        <v>8.2209999999999991E-3</v>
      </c>
      <c r="AXM19">
        <v>544</v>
      </c>
      <c r="AXN19">
        <v>0.1231618</v>
      </c>
      <c r="AXO19">
        <v>544</v>
      </c>
      <c r="AXP19">
        <v>0.1194853</v>
      </c>
      <c r="AXQ19">
        <v>544</v>
      </c>
      <c r="AXR19">
        <v>0.7573529</v>
      </c>
      <c r="AXS19">
        <v>66172</v>
      </c>
      <c r="AXT19">
        <v>8.5534700000000005E-2</v>
      </c>
      <c r="AXU19">
        <v>5660</v>
      </c>
      <c r="AXV19">
        <v>0.67915199999999998</v>
      </c>
      <c r="AXW19">
        <v>5660</v>
      </c>
      <c r="AXX19">
        <v>9.6289799999999995E-2</v>
      </c>
      <c r="AXY19">
        <v>5660</v>
      </c>
      <c r="AXZ19">
        <v>0.22455829999999999</v>
      </c>
      <c r="AYA19">
        <v>22627</v>
      </c>
      <c r="AYB19">
        <v>3.3146200000000001E-2</v>
      </c>
      <c r="AYC19">
        <v>22627</v>
      </c>
      <c r="AYD19">
        <v>0.19463469999999999</v>
      </c>
      <c r="AYE19">
        <v>22627</v>
      </c>
      <c r="AYF19">
        <v>0.3384452</v>
      </c>
      <c r="AYG19">
        <v>22627</v>
      </c>
      <c r="AYH19">
        <v>0.31785039999999998</v>
      </c>
      <c r="AYI19">
        <v>22627</v>
      </c>
      <c r="AYJ19">
        <v>3.5090799999999998E-2</v>
      </c>
      <c r="AYK19">
        <v>22627</v>
      </c>
      <c r="AYL19">
        <v>8.0832600000000004E-2</v>
      </c>
      <c r="AYM19">
        <v>22627</v>
      </c>
      <c r="AYN19">
        <v>0</v>
      </c>
      <c r="AYO19">
        <v>34792</v>
      </c>
      <c r="AYP19">
        <v>0.10283970000000001</v>
      </c>
      <c r="AYQ19">
        <v>34792</v>
      </c>
      <c r="AYR19">
        <v>0.15575420000000001</v>
      </c>
      <c r="AYS19">
        <v>34792</v>
      </c>
      <c r="AYT19">
        <v>0.23703730000000001</v>
      </c>
      <c r="AYU19">
        <v>34792</v>
      </c>
      <c r="AYV19">
        <v>0.19570589999999999</v>
      </c>
      <c r="AYW19">
        <v>34792</v>
      </c>
      <c r="AYX19">
        <v>6.6164600000000004E-2</v>
      </c>
      <c r="AYY19">
        <v>34792</v>
      </c>
      <c r="AYZ19">
        <v>0.1900724</v>
      </c>
      <c r="AZA19">
        <v>34792</v>
      </c>
      <c r="AZB19">
        <v>5.2425800000000002E-2</v>
      </c>
      <c r="AZC19">
        <v>38418</v>
      </c>
      <c r="AZD19">
        <v>9.1988100000000003E-2</v>
      </c>
      <c r="AZE19">
        <v>38418</v>
      </c>
      <c r="AZF19">
        <v>0.1081785</v>
      </c>
      <c r="AZG19">
        <v>38418</v>
      </c>
      <c r="AZH19">
        <v>0.22918939999999999</v>
      </c>
      <c r="AZI19">
        <v>38418</v>
      </c>
      <c r="AZJ19">
        <v>0.1883232</v>
      </c>
      <c r="AZK19">
        <v>38418</v>
      </c>
      <c r="AZL19">
        <v>5.9034799999999998E-2</v>
      </c>
      <c r="AZM19">
        <v>38418</v>
      </c>
      <c r="AZN19">
        <v>0.22114629999999999</v>
      </c>
      <c r="AZO19">
        <v>38418</v>
      </c>
      <c r="AZP19">
        <v>0.1021396</v>
      </c>
      <c r="AZQ19">
        <v>63403</v>
      </c>
      <c r="AZR19">
        <v>6.9002999999999995E-2</v>
      </c>
      <c r="AZS19">
        <v>63403</v>
      </c>
      <c r="AZT19">
        <v>6.54859E-2</v>
      </c>
      <c r="AZU19">
        <v>63403</v>
      </c>
      <c r="AZV19">
        <v>0.2107629</v>
      </c>
      <c r="AZW19">
        <v>63403</v>
      </c>
      <c r="AZX19">
        <v>0.23009950000000001</v>
      </c>
      <c r="AZY19">
        <v>63403</v>
      </c>
      <c r="AZZ19">
        <v>5.9760599999999997E-2</v>
      </c>
      <c r="BAA19">
        <v>63403</v>
      </c>
      <c r="BAB19">
        <v>0.21565229999999999</v>
      </c>
      <c r="BAC19">
        <v>63403</v>
      </c>
      <c r="BAD19">
        <v>0.1492358</v>
      </c>
      <c r="BAE19">
        <v>22072</v>
      </c>
      <c r="BAF19">
        <v>7.2444700000000001E-2</v>
      </c>
      <c r="BAG19">
        <v>22072</v>
      </c>
      <c r="BAH19">
        <v>7.6431700000000005E-2</v>
      </c>
      <c r="BAI19">
        <v>22072</v>
      </c>
      <c r="BAJ19">
        <v>0.28547479999999997</v>
      </c>
      <c r="BAK19">
        <v>22072</v>
      </c>
      <c r="BAL19">
        <v>0.20360639999999999</v>
      </c>
      <c r="BAM19">
        <v>22072</v>
      </c>
      <c r="BAN19">
        <v>4.43548E-2</v>
      </c>
      <c r="BAO19">
        <v>22072</v>
      </c>
      <c r="BAP19">
        <v>0.167905</v>
      </c>
      <c r="BAQ19">
        <v>22072</v>
      </c>
      <c r="BAR19">
        <v>0.14978250000000001</v>
      </c>
      <c r="BAS19">
        <v>20726</v>
      </c>
      <c r="BAT19">
        <v>1.43781E-2</v>
      </c>
      <c r="BAU19">
        <v>20726</v>
      </c>
      <c r="BAV19">
        <v>0.1225996</v>
      </c>
      <c r="BAW19">
        <v>20726</v>
      </c>
      <c r="BAX19">
        <v>0.30686099999999999</v>
      </c>
      <c r="BAY19">
        <v>20726</v>
      </c>
      <c r="BAZ19">
        <v>0.3875808</v>
      </c>
      <c r="BBA19">
        <v>20726</v>
      </c>
      <c r="BBB19">
        <v>5.3893700000000003E-2</v>
      </c>
      <c r="BBC19">
        <v>20726</v>
      </c>
      <c r="BBD19">
        <v>0.11077869999999999</v>
      </c>
      <c r="BBE19">
        <v>20726</v>
      </c>
      <c r="BBF19">
        <v>3.9081000000000003E-3</v>
      </c>
      <c r="BBG19">
        <v>33874</v>
      </c>
      <c r="BBH19">
        <v>3.8436600000000001E-2</v>
      </c>
      <c r="BBI19">
        <v>33874</v>
      </c>
      <c r="BBJ19">
        <v>0.1647576</v>
      </c>
      <c r="BBK19">
        <v>33874</v>
      </c>
      <c r="BBL19">
        <v>0.19253709999999999</v>
      </c>
      <c r="BBM19">
        <v>33874</v>
      </c>
      <c r="BBN19">
        <v>0.22843479999999999</v>
      </c>
      <c r="BBO19">
        <v>33874</v>
      </c>
      <c r="BBP19">
        <v>6.3618099999999997E-2</v>
      </c>
      <c r="BBQ19">
        <v>33874</v>
      </c>
      <c r="BBR19">
        <v>0.2169806</v>
      </c>
      <c r="BBS19">
        <v>33874</v>
      </c>
      <c r="BBT19">
        <v>9.5235299999999995E-2</v>
      </c>
      <c r="BBU19">
        <v>38258</v>
      </c>
      <c r="BBV19">
        <v>8.8243000000000002E-2</v>
      </c>
      <c r="BBW19">
        <v>38258</v>
      </c>
      <c r="BBX19">
        <v>6.6495899999999997E-2</v>
      </c>
      <c r="BBY19">
        <v>38258</v>
      </c>
      <c r="BBZ19">
        <v>0.18309900000000001</v>
      </c>
      <c r="BCA19">
        <v>38258</v>
      </c>
      <c r="BCB19">
        <v>0.189529</v>
      </c>
      <c r="BCC19">
        <v>38258</v>
      </c>
      <c r="BCD19">
        <v>0.1032202</v>
      </c>
      <c r="BCE19">
        <v>38258</v>
      </c>
      <c r="BCF19">
        <v>0.225051</v>
      </c>
      <c r="BCG19">
        <v>38258</v>
      </c>
      <c r="BCH19">
        <v>0.14436199999999999</v>
      </c>
      <c r="BCI19">
        <v>64197</v>
      </c>
      <c r="BCJ19">
        <v>6.2323799999999999E-2</v>
      </c>
      <c r="BCK19">
        <v>64197</v>
      </c>
      <c r="BCL19">
        <v>5.0796800000000003E-2</v>
      </c>
      <c r="BCM19">
        <v>64197</v>
      </c>
      <c r="BCN19">
        <v>0.249669</v>
      </c>
      <c r="BCO19">
        <v>64197</v>
      </c>
      <c r="BCP19">
        <v>0.2262255</v>
      </c>
      <c r="BCQ19">
        <v>64197</v>
      </c>
      <c r="BCR19">
        <v>8.72782E-2</v>
      </c>
      <c r="BCS19">
        <v>64197</v>
      </c>
      <c r="BCT19">
        <v>0.20689440000000001</v>
      </c>
      <c r="BCU19">
        <v>64197</v>
      </c>
      <c r="BCV19">
        <v>0.11681229999999999</v>
      </c>
      <c r="BCW19">
        <v>28849</v>
      </c>
      <c r="BCX19">
        <v>9.1580300000000003E-2</v>
      </c>
      <c r="BCY19">
        <v>28849</v>
      </c>
      <c r="BCZ19">
        <v>7.4040700000000001E-2</v>
      </c>
      <c r="BDA19">
        <v>28849</v>
      </c>
      <c r="BDB19">
        <v>0.40434680000000001</v>
      </c>
      <c r="BDC19">
        <v>28849</v>
      </c>
      <c r="BDD19">
        <v>0.2025373</v>
      </c>
      <c r="BDE19">
        <v>28849</v>
      </c>
      <c r="BDF19">
        <v>3.7158999999999998E-2</v>
      </c>
      <c r="BDG19">
        <v>28849</v>
      </c>
      <c r="BDH19">
        <v>9.3798699999999999E-2</v>
      </c>
      <c r="BDI19">
        <v>28849</v>
      </c>
      <c r="BDJ19">
        <v>9.6537100000000001E-2</v>
      </c>
      <c r="BDK19">
        <v>124756</v>
      </c>
      <c r="BDL19">
        <v>5.5869099999999998E-2</v>
      </c>
      <c r="BDM19">
        <v>6970</v>
      </c>
      <c r="BDN19">
        <v>0.63457669999999999</v>
      </c>
      <c r="BDO19">
        <v>4423</v>
      </c>
      <c r="BDP19">
        <v>0.63621970000000005</v>
      </c>
      <c r="BDQ19">
        <v>4423</v>
      </c>
      <c r="BDR19">
        <v>0.3637802</v>
      </c>
      <c r="BDS19">
        <v>6970</v>
      </c>
      <c r="BDT19">
        <v>0.3654232</v>
      </c>
      <c r="BDU19">
        <v>2547</v>
      </c>
      <c r="BDV19">
        <v>0.56929719999999995</v>
      </c>
      <c r="BDW19">
        <v>2547</v>
      </c>
      <c r="BDX19">
        <v>0.4307028</v>
      </c>
      <c r="BDY19">
        <v>124756</v>
      </c>
      <c r="BDZ19">
        <v>0.94413100000000005</v>
      </c>
      <c r="BEA19">
        <v>117786</v>
      </c>
      <c r="BEB19">
        <v>0.53820489999999999</v>
      </c>
      <c r="BEC19">
        <v>63393</v>
      </c>
      <c r="BED19">
        <v>0.74571319999999996</v>
      </c>
      <c r="BEE19">
        <v>63393</v>
      </c>
      <c r="BEF19">
        <v>0.25428669999999998</v>
      </c>
      <c r="BEG19">
        <v>117786</v>
      </c>
      <c r="BEH19">
        <v>0.46179510000000001</v>
      </c>
      <c r="BEI19">
        <v>54393</v>
      </c>
      <c r="BEJ19">
        <v>0.72967110000000002</v>
      </c>
      <c r="BEK19">
        <v>54393</v>
      </c>
      <c r="BEL19">
        <v>0.27032889999999998</v>
      </c>
      <c r="BEM19">
        <v>235114</v>
      </c>
      <c r="BEN19">
        <v>0.54312380000000005</v>
      </c>
      <c r="BEO19">
        <v>127696</v>
      </c>
      <c r="BEP19">
        <v>0.87635479999999999</v>
      </c>
      <c r="BEQ19">
        <v>111907</v>
      </c>
      <c r="BER19">
        <v>0.21648329999999999</v>
      </c>
      <c r="BES19">
        <v>111907</v>
      </c>
      <c r="BET19">
        <v>0.78351660000000001</v>
      </c>
      <c r="BEU19">
        <v>127696</v>
      </c>
      <c r="BEV19">
        <v>0.1236452</v>
      </c>
      <c r="BEW19">
        <v>235114</v>
      </c>
      <c r="BEX19">
        <v>0.45687620000000001</v>
      </c>
      <c r="BEY19">
        <v>107418</v>
      </c>
      <c r="BEZ19">
        <v>0.88635050000000004</v>
      </c>
      <c r="BFA19">
        <v>95210</v>
      </c>
      <c r="BFB19">
        <v>0.28939189999999998</v>
      </c>
      <c r="BFC19">
        <v>95210</v>
      </c>
      <c r="BFD19">
        <v>0.71060809999999996</v>
      </c>
      <c r="BFE19">
        <v>107418</v>
      </c>
      <c r="BFF19">
        <v>0.1136495</v>
      </c>
      <c r="BFG19">
        <v>257541</v>
      </c>
      <c r="BFH19">
        <v>0.29598780000000002</v>
      </c>
      <c r="BFI19">
        <v>76229</v>
      </c>
      <c r="BFJ19">
        <v>0.94961240000000002</v>
      </c>
      <c r="BFK19">
        <v>76229</v>
      </c>
      <c r="BFL19">
        <v>5.0387599999999998E-2</v>
      </c>
      <c r="BFM19">
        <v>3841</v>
      </c>
      <c r="BFN19">
        <v>0.1416298</v>
      </c>
      <c r="BFO19">
        <v>3841</v>
      </c>
      <c r="BFP19">
        <v>0.85837019999999997</v>
      </c>
      <c r="BFQ19">
        <v>257541</v>
      </c>
      <c r="BFR19">
        <v>0.70401219999999998</v>
      </c>
      <c r="BFS19">
        <v>181312</v>
      </c>
      <c r="BFT19">
        <v>0.74261489999999997</v>
      </c>
      <c r="BFU19">
        <v>181312</v>
      </c>
      <c r="BFV19">
        <v>0.25738499999999997</v>
      </c>
      <c r="BFW19">
        <v>46667</v>
      </c>
      <c r="BFX19">
        <v>0.34553329999999999</v>
      </c>
      <c r="BFY19">
        <v>46667</v>
      </c>
      <c r="BFZ19">
        <v>0.65446669999999996</v>
      </c>
      <c r="BGA19">
        <v>258958</v>
      </c>
      <c r="BGB19">
        <v>0.28210750000000001</v>
      </c>
      <c r="BGC19">
        <v>73054</v>
      </c>
      <c r="BGD19">
        <v>0.96165849999999997</v>
      </c>
      <c r="BGE19">
        <v>73054</v>
      </c>
      <c r="BGF19">
        <v>3.8341500000000001E-2</v>
      </c>
      <c r="BGG19">
        <v>2801</v>
      </c>
      <c r="BGH19">
        <v>0.22027849999999999</v>
      </c>
      <c r="BGI19">
        <v>2801</v>
      </c>
      <c r="BGJ19">
        <v>0.77972149999999996</v>
      </c>
      <c r="BGK19">
        <v>258958</v>
      </c>
      <c r="BGL19">
        <v>0.71789250000000004</v>
      </c>
      <c r="BGM19">
        <v>185904</v>
      </c>
      <c r="BGN19">
        <v>0.78009079999999997</v>
      </c>
      <c r="BGO19">
        <v>185904</v>
      </c>
      <c r="BGP19">
        <v>0.2199092</v>
      </c>
      <c r="BGQ19">
        <v>40882</v>
      </c>
      <c r="BGR19">
        <v>0.3479526</v>
      </c>
      <c r="BGS19">
        <v>40882</v>
      </c>
      <c r="BGT19">
        <v>0.6520473</v>
      </c>
    </row>
    <row r="20" spans="1:1554" x14ac:dyDescent="0.25">
      <c r="A20" t="s">
        <v>134</v>
      </c>
      <c r="B20">
        <v>2011</v>
      </c>
      <c r="C20">
        <v>1</v>
      </c>
      <c r="D20" t="s">
        <v>555</v>
      </c>
      <c r="E20">
        <v>67635</v>
      </c>
      <c r="F20">
        <v>0.44985579999999997</v>
      </c>
      <c r="G20">
        <v>30426</v>
      </c>
      <c r="H20">
        <v>0.21287710000000001</v>
      </c>
      <c r="I20">
        <v>30426</v>
      </c>
      <c r="J20">
        <v>3.4608600000000003E-2</v>
      </c>
      <c r="K20">
        <v>30426</v>
      </c>
      <c r="L20">
        <v>0.15476889999999999</v>
      </c>
      <c r="M20">
        <v>30426</v>
      </c>
      <c r="N20">
        <v>8.5420399999999994E-2</v>
      </c>
      <c r="O20">
        <v>30426</v>
      </c>
      <c r="P20">
        <v>1.14047E-2</v>
      </c>
      <c r="Q20">
        <v>30426</v>
      </c>
      <c r="R20">
        <v>1.9489900000000001E-2</v>
      </c>
      <c r="S20">
        <v>30426</v>
      </c>
      <c r="T20">
        <v>7.7893900000000002E-2</v>
      </c>
      <c r="U20">
        <v>30426</v>
      </c>
      <c r="V20">
        <v>0.10517319999999999</v>
      </c>
      <c r="W20">
        <v>30426</v>
      </c>
      <c r="X20">
        <v>0.12831129999999999</v>
      </c>
      <c r="Y20">
        <v>30426</v>
      </c>
      <c r="Z20">
        <v>8.4138599999999994E-2</v>
      </c>
      <c r="AA20">
        <v>30426</v>
      </c>
      <c r="AB20">
        <v>5.37698E-2</v>
      </c>
      <c r="AC20">
        <v>30426</v>
      </c>
      <c r="AD20">
        <v>1.1010300000000001E-2</v>
      </c>
      <c r="AE20">
        <v>30426</v>
      </c>
      <c r="AF20">
        <v>2.1133200000000001E-2</v>
      </c>
      <c r="AG20">
        <v>67635</v>
      </c>
      <c r="AH20">
        <v>0.55014410000000002</v>
      </c>
      <c r="AI20">
        <v>37209</v>
      </c>
      <c r="AJ20">
        <v>0.1212879</v>
      </c>
      <c r="AK20">
        <v>37209</v>
      </c>
      <c r="AL20">
        <v>3.5932199999999997E-2</v>
      </c>
      <c r="AM20">
        <v>37209</v>
      </c>
      <c r="AN20">
        <v>0.13098979999999999</v>
      </c>
      <c r="AO20">
        <v>37209</v>
      </c>
      <c r="AP20">
        <v>5.1869199999999997E-2</v>
      </c>
      <c r="AQ20">
        <v>37209</v>
      </c>
      <c r="AR20">
        <v>1.52651E-2</v>
      </c>
      <c r="AS20">
        <v>37209</v>
      </c>
      <c r="AT20">
        <v>2.7520200000000002E-2</v>
      </c>
      <c r="AU20">
        <v>37209</v>
      </c>
      <c r="AV20">
        <v>0.1045715</v>
      </c>
      <c r="AW20">
        <v>37209</v>
      </c>
      <c r="AX20">
        <v>0.15813379999999999</v>
      </c>
      <c r="AY20">
        <v>37209</v>
      </c>
      <c r="AZ20">
        <v>0.16952890000000001</v>
      </c>
      <c r="BA20">
        <v>37209</v>
      </c>
      <c r="BB20">
        <v>5.1224199999999998E-2</v>
      </c>
      <c r="BC20">
        <v>37209</v>
      </c>
      <c r="BD20">
        <v>5.6464800000000002E-2</v>
      </c>
      <c r="BE20">
        <v>37209</v>
      </c>
      <c r="BF20">
        <v>5.29173E-2</v>
      </c>
      <c r="BG20">
        <v>37209</v>
      </c>
      <c r="BH20">
        <v>2.4295199999999999E-2</v>
      </c>
      <c r="BI20">
        <v>446596</v>
      </c>
      <c r="BJ20">
        <v>0.50586889999999995</v>
      </c>
      <c r="BK20">
        <v>225919</v>
      </c>
      <c r="BL20">
        <v>5.7449800000000002E-2</v>
      </c>
      <c r="BM20">
        <v>225919</v>
      </c>
      <c r="BN20">
        <v>1.4823899999999999E-2</v>
      </c>
      <c r="BO20">
        <v>225919</v>
      </c>
      <c r="BP20">
        <v>9.4082399999999997E-2</v>
      </c>
      <c r="BQ20">
        <v>225919</v>
      </c>
      <c r="BR20">
        <v>4.3024300000000001E-2</v>
      </c>
      <c r="BS20">
        <v>225919</v>
      </c>
      <c r="BT20">
        <v>2.26851E-2</v>
      </c>
      <c r="BU20">
        <v>225919</v>
      </c>
      <c r="BV20">
        <v>2.8970599999999999E-2</v>
      </c>
      <c r="BW20">
        <v>225919</v>
      </c>
      <c r="BX20">
        <v>9.12274E-2</v>
      </c>
      <c r="BY20">
        <v>225919</v>
      </c>
      <c r="BZ20">
        <v>0.13702259999999999</v>
      </c>
      <c r="CA20">
        <v>225919</v>
      </c>
      <c r="CB20">
        <v>0.1509346</v>
      </c>
      <c r="CC20">
        <v>225919</v>
      </c>
      <c r="CD20">
        <v>0.15024850000000001</v>
      </c>
      <c r="CE20">
        <v>225919</v>
      </c>
      <c r="CF20">
        <v>0.11387269999999999</v>
      </c>
      <c r="CG20">
        <v>225919</v>
      </c>
      <c r="CH20">
        <v>6.0959899999999997E-2</v>
      </c>
      <c r="CI20">
        <v>225919</v>
      </c>
      <c r="CJ20">
        <v>3.4698300000000001E-2</v>
      </c>
      <c r="CK20">
        <v>446596</v>
      </c>
      <c r="CL20">
        <v>0.49413109999999999</v>
      </c>
      <c r="CM20">
        <v>220677</v>
      </c>
      <c r="CN20">
        <v>6.7560300000000004E-2</v>
      </c>
      <c r="CO20">
        <v>220677</v>
      </c>
      <c r="CP20">
        <v>1.36761E-2</v>
      </c>
      <c r="CQ20">
        <v>220677</v>
      </c>
      <c r="CR20">
        <v>9.2628600000000005E-2</v>
      </c>
      <c r="CS20">
        <v>220677</v>
      </c>
      <c r="CT20">
        <v>3.9360699999999998E-2</v>
      </c>
      <c r="CU20">
        <v>220677</v>
      </c>
      <c r="CV20">
        <v>1.48679E-2</v>
      </c>
      <c r="CW20">
        <v>220677</v>
      </c>
      <c r="CX20">
        <v>3.2722000000000001E-2</v>
      </c>
      <c r="CY20">
        <v>220677</v>
      </c>
      <c r="CZ20">
        <v>7.5852900000000001E-2</v>
      </c>
      <c r="DA20">
        <v>220677</v>
      </c>
      <c r="DB20">
        <v>0.12534609999999999</v>
      </c>
      <c r="DC20">
        <v>220677</v>
      </c>
      <c r="DD20">
        <v>0.14277880000000001</v>
      </c>
      <c r="DE20">
        <v>220677</v>
      </c>
      <c r="DF20">
        <v>0.15988069999999999</v>
      </c>
      <c r="DG20">
        <v>220677</v>
      </c>
      <c r="DH20">
        <v>0.12112729999999999</v>
      </c>
      <c r="DI20">
        <v>220677</v>
      </c>
      <c r="DJ20">
        <v>6.2797699999999998E-2</v>
      </c>
      <c r="DK20">
        <v>220677</v>
      </c>
      <c r="DL20">
        <v>5.1400899999999999E-2</v>
      </c>
      <c r="DM20">
        <v>324068</v>
      </c>
      <c r="DN20">
        <v>9.6739000000000006E-2</v>
      </c>
      <c r="DO20">
        <v>31350</v>
      </c>
      <c r="DP20">
        <v>0.39164270000000001</v>
      </c>
      <c r="DQ20">
        <v>158614</v>
      </c>
      <c r="DR20">
        <v>7.7408000000000005E-2</v>
      </c>
      <c r="DS20">
        <v>12278</v>
      </c>
      <c r="DT20">
        <v>0.47654340000000001</v>
      </c>
      <c r="DU20">
        <v>28775</v>
      </c>
      <c r="DV20">
        <v>0.20333619999999999</v>
      </c>
      <c r="DW20">
        <v>12278</v>
      </c>
      <c r="DX20">
        <v>0.26014009999999999</v>
      </c>
      <c r="DY20">
        <v>34974</v>
      </c>
      <c r="DZ20">
        <v>9.1325000000000003E-2</v>
      </c>
      <c r="EA20">
        <v>12278</v>
      </c>
      <c r="EB20">
        <v>0.1671282</v>
      </c>
      <c r="EC20">
        <v>43267</v>
      </c>
      <c r="ED20">
        <v>4.7426400000000001E-2</v>
      </c>
      <c r="EE20">
        <v>12278</v>
      </c>
      <c r="EF20">
        <v>9.6188300000000004E-2</v>
      </c>
      <c r="EG20">
        <v>51598</v>
      </c>
      <c r="EH20">
        <v>2.2888499999999999E-2</v>
      </c>
      <c r="EI20">
        <v>31350</v>
      </c>
      <c r="EJ20">
        <v>0.60835729999999999</v>
      </c>
      <c r="EK20">
        <v>165454</v>
      </c>
      <c r="EL20">
        <v>0.1152707</v>
      </c>
      <c r="EM20">
        <v>19072</v>
      </c>
      <c r="EN20">
        <v>0.36813129999999999</v>
      </c>
      <c r="EO20">
        <v>25871</v>
      </c>
      <c r="EP20">
        <v>0.27138499999999999</v>
      </c>
      <c r="EQ20">
        <v>19072</v>
      </c>
      <c r="ER20">
        <v>0.34977979999999997</v>
      </c>
      <c r="ES20">
        <v>40833</v>
      </c>
      <c r="ET20">
        <v>0.16337280000000001</v>
      </c>
      <c r="EU20">
        <v>19072</v>
      </c>
      <c r="EV20">
        <v>0.1919044</v>
      </c>
      <c r="EW20">
        <v>46603</v>
      </c>
      <c r="EX20">
        <v>7.85357E-2</v>
      </c>
      <c r="EY20">
        <v>19072</v>
      </c>
      <c r="EZ20">
        <v>9.0184600000000004E-2</v>
      </c>
      <c r="FA20">
        <v>52147</v>
      </c>
      <c r="FB20">
        <v>3.2983699999999998E-2</v>
      </c>
      <c r="FC20">
        <v>324068</v>
      </c>
      <c r="FD20">
        <v>0.90326110000000004</v>
      </c>
      <c r="FE20">
        <v>292718</v>
      </c>
      <c r="FF20">
        <v>0.49992140000000002</v>
      </c>
      <c r="FG20">
        <v>158614</v>
      </c>
      <c r="FH20">
        <v>0.92259190000000002</v>
      </c>
      <c r="FI20">
        <v>146336</v>
      </c>
      <c r="FJ20">
        <v>0.15665319999999999</v>
      </c>
      <c r="FK20">
        <v>28775</v>
      </c>
      <c r="FL20">
        <v>0.79666380000000003</v>
      </c>
      <c r="FM20">
        <v>146336</v>
      </c>
      <c r="FN20">
        <v>0.21717139999999999</v>
      </c>
      <c r="FO20">
        <v>34974</v>
      </c>
      <c r="FP20">
        <v>0.90867500000000001</v>
      </c>
      <c r="FQ20">
        <v>146336</v>
      </c>
      <c r="FR20">
        <v>0.28164630000000002</v>
      </c>
      <c r="FS20">
        <v>43267</v>
      </c>
      <c r="FT20">
        <v>0.95257349999999996</v>
      </c>
      <c r="FU20">
        <v>146336</v>
      </c>
      <c r="FV20">
        <v>0.34452899999999997</v>
      </c>
      <c r="FW20">
        <v>51598</v>
      </c>
      <c r="FX20">
        <v>0.97711150000000002</v>
      </c>
      <c r="FY20">
        <v>292718</v>
      </c>
      <c r="FZ20">
        <v>0.50007860000000004</v>
      </c>
      <c r="GA20">
        <v>165454</v>
      </c>
      <c r="GB20">
        <v>0.88472930000000005</v>
      </c>
      <c r="GC20">
        <v>146382</v>
      </c>
      <c r="GD20">
        <v>0.12877269999999999</v>
      </c>
      <c r="GE20">
        <v>25871</v>
      </c>
      <c r="GF20">
        <v>0.72861500000000001</v>
      </c>
      <c r="GG20">
        <v>146382</v>
      </c>
      <c r="GH20">
        <v>0.23337569999999999</v>
      </c>
      <c r="GI20">
        <v>40833</v>
      </c>
      <c r="GJ20">
        <v>0.83662720000000002</v>
      </c>
      <c r="GK20">
        <v>146382</v>
      </c>
      <c r="GL20">
        <v>0.29336259999999997</v>
      </c>
      <c r="GM20">
        <v>46603</v>
      </c>
      <c r="GN20">
        <v>0.92146430000000001</v>
      </c>
      <c r="GO20">
        <v>146382</v>
      </c>
      <c r="GP20">
        <v>0.34448909999999999</v>
      </c>
      <c r="GQ20">
        <v>52147</v>
      </c>
      <c r="GR20">
        <v>0.96701630000000005</v>
      </c>
      <c r="GS20">
        <v>383061</v>
      </c>
      <c r="GT20">
        <v>0.1024067</v>
      </c>
      <c r="GU20">
        <v>39228</v>
      </c>
      <c r="GV20">
        <v>0.38852350000000002</v>
      </c>
      <c r="GW20">
        <v>15241</v>
      </c>
      <c r="GX20">
        <v>0.24880260000000001</v>
      </c>
      <c r="GY20">
        <v>15241</v>
      </c>
      <c r="GZ20">
        <v>0.35903160000000001</v>
      </c>
      <c r="HA20">
        <v>15241</v>
      </c>
      <c r="HB20">
        <v>0.39216590000000001</v>
      </c>
      <c r="HC20">
        <v>15241</v>
      </c>
      <c r="HD20">
        <v>0.67849879999999996</v>
      </c>
      <c r="HE20">
        <v>15241</v>
      </c>
      <c r="HF20">
        <v>0.32150119999999999</v>
      </c>
      <c r="HG20">
        <v>10341</v>
      </c>
      <c r="HH20">
        <v>0.67440279999999997</v>
      </c>
      <c r="HI20">
        <v>10341</v>
      </c>
      <c r="HJ20">
        <v>0.32559709999999997</v>
      </c>
      <c r="HK20">
        <v>39228</v>
      </c>
      <c r="HL20">
        <v>0.61147649999999998</v>
      </c>
      <c r="HM20">
        <v>23987</v>
      </c>
      <c r="HN20">
        <v>7.3873300000000003E-2</v>
      </c>
      <c r="HO20">
        <v>23987</v>
      </c>
      <c r="HP20">
        <v>0.319965</v>
      </c>
      <c r="HQ20">
        <v>23987</v>
      </c>
      <c r="HR20">
        <v>0.60616170000000003</v>
      </c>
      <c r="HS20">
        <v>23987</v>
      </c>
      <c r="HT20">
        <v>0.4382374</v>
      </c>
      <c r="HU20">
        <v>23987</v>
      </c>
      <c r="HV20">
        <v>0.5617626</v>
      </c>
      <c r="HW20">
        <v>10512</v>
      </c>
      <c r="HX20">
        <v>0.70605019999999996</v>
      </c>
      <c r="HY20">
        <v>10512</v>
      </c>
      <c r="HZ20">
        <v>0.29394979999999998</v>
      </c>
      <c r="IA20">
        <v>383061</v>
      </c>
      <c r="IB20">
        <v>0.89759330000000004</v>
      </c>
      <c r="IC20">
        <v>343833</v>
      </c>
      <c r="ID20">
        <v>0.50457920000000001</v>
      </c>
      <c r="IE20">
        <v>173491</v>
      </c>
      <c r="IF20">
        <v>0.55151559999999999</v>
      </c>
      <c r="IG20">
        <v>173491</v>
      </c>
      <c r="IH20">
        <v>0.25609399999999999</v>
      </c>
      <c r="II20">
        <v>173491</v>
      </c>
      <c r="IJ20">
        <v>0.19239039999999999</v>
      </c>
      <c r="IK20">
        <v>173410</v>
      </c>
      <c r="IL20">
        <v>0.81322300000000003</v>
      </c>
      <c r="IM20">
        <v>173410</v>
      </c>
      <c r="IN20">
        <v>0.186777</v>
      </c>
      <c r="IO20">
        <v>141021</v>
      </c>
      <c r="IP20">
        <v>0.90010710000000005</v>
      </c>
      <c r="IQ20">
        <v>141021</v>
      </c>
      <c r="IR20">
        <v>9.9892900000000007E-2</v>
      </c>
      <c r="IS20">
        <v>343833</v>
      </c>
      <c r="IT20">
        <v>0.49542079999999999</v>
      </c>
      <c r="IU20">
        <v>170342</v>
      </c>
      <c r="IV20">
        <v>0.41912149999999998</v>
      </c>
      <c r="IW20">
        <v>170342</v>
      </c>
      <c r="IX20">
        <v>0.25598500000000002</v>
      </c>
      <c r="IY20">
        <v>170342</v>
      </c>
      <c r="IZ20">
        <v>0.3248934</v>
      </c>
      <c r="JA20">
        <v>170342</v>
      </c>
      <c r="JB20">
        <v>0.65655569999999996</v>
      </c>
      <c r="JC20">
        <v>170342</v>
      </c>
      <c r="JD20">
        <v>0.34344439999999998</v>
      </c>
      <c r="JE20">
        <v>111839</v>
      </c>
      <c r="JF20">
        <v>0.94608320000000001</v>
      </c>
      <c r="JG20">
        <v>111839</v>
      </c>
      <c r="JH20">
        <v>5.3916800000000001E-2</v>
      </c>
      <c r="JI20">
        <v>126905</v>
      </c>
      <c r="JJ20">
        <v>0.1361018</v>
      </c>
      <c r="JK20">
        <v>17272</v>
      </c>
      <c r="JL20">
        <v>0.4582561</v>
      </c>
      <c r="JM20">
        <v>7915</v>
      </c>
      <c r="JN20">
        <v>0.79393550000000002</v>
      </c>
      <c r="JO20">
        <v>7915</v>
      </c>
      <c r="JP20">
        <v>0.79393550000000002</v>
      </c>
      <c r="JQ20">
        <v>7915</v>
      </c>
      <c r="JR20">
        <v>0.79393550000000002</v>
      </c>
      <c r="JS20">
        <v>7915</v>
      </c>
      <c r="JT20">
        <v>0.79393550000000002</v>
      </c>
      <c r="JU20">
        <v>7915</v>
      </c>
      <c r="JV20">
        <v>0.20606440000000001</v>
      </c>
      <c r="JW20">
        <v>17272</v>
      </c>
      <c r="JX20">
        <v>0.54174389999999994</v>
      </c>
      <c r="JY20">
        <v>9357</v>
      </c>
      <c r="JZ20">
        <v>0.1487656</v>
      </c>
      <c r="KA20">
        <v>1392</v>
      </c>
      <c r="KB20">
        <v>0.88433910000000004</v>
      </c>
      <c r="KC20">
        <v>1231</v>
      </c>
      <c r="KD20">
        <v>0.1088546</v>
      </c>
      <c r="KE20">
        <v>1231</v>
      </c>
      <c r="KF20">
        <v>0.18196590000000001</v>
      </c>
      <c r="KG20">
        <v>1231</v>
      </c>
      <c r="KH20">
        <v>0.70917949999999996</v>
      </c>
      <c r="KI20">
        <v>1392</v>
      </c>
      <c r="KJ20">
        <v>0.1156609</v>
      </c>
      <c r="KK20">
        <v>9357</v>
      </c>
      <c r="KL20">
        <v>0.85123439999999995</v>
      </c>
      <c r="KM20">
        <v>7965</v>
      </c>
      <c r="KN20">
        <v>0.94048960000000004</v>
      </c>
      <c r="KO20">
        <v>7491</v>
      </c>
      <c r="KP20">
        <v>0.1895608</v>
      </c>
      <c r="KQ20">
        <v>7491</v>
      </c>
      <c r="KR20">
        <v>0.42464289999999999</v>
      </c>
      <c r="KS20">
        <v>7491</v>
      </c>
      <c r="KT20">
        <v>0.38579629999999998</v>
      </c>
      <c r="KU20">
        <v>7965</v>
      </c>
      <c r="KV20">
        <v>5.9510399999999998E-2</v>
      </c>
      <c r="KW20">
        <v>126905</v>
      </c>
      <c r="KX20">
        <v>2.5396999999999999E-2</v>
      </c>
      <c r="KY20">
        <v>3223</v>
      </c>
      <c r="KZ20">
        <v>0.52963079999999996</v>
      </c>
      <c r="LA20">
        <v>1707</v>
      </c>
      <c r="LB20">
        <v>0.83304040000000001</v>
      </c>
      <c r="LC20">
        <v>1707</v>
      </c>
      <c r="LD20">
        <v>0.83304040000000001</v>
      </c>
      <c r="LE20">
        <v>1707</v>
      </c>
      <c r="LF20">
        <v>0.83304040000000001</v>
      </c>
      <c r="LG20">
        <v>1707</v>
      </c>
      <c r="LH20">
        <v>0.83304040000000001</v>
      </c>
      <c r="LI20">
        <v>1707</v>
      </c>
      <c r="LJ20">
        <v>0.16695960000000001</v>
      </c>
      <c r="LK20">
        <v>3223</v>
      </c>
      <c r="LL20">
        <v>0.47036919999999999</v>
      </c>
      <c r="LM20">
        <v>1516</v>
      </c>
      <c r="LN20">
        <v>0.366095</v>
      </c>
      <c r="LO20">
        <v>555</v>
      </c>
      <c r="LP20">
        <v>1</v>
      </c>
      <c r="LQ20">
        <v>555</v>
      </c>
      <c r="LR20">
        <v>0.23243240000000001</v>
      </c>
      <c r="LS20">
        <v>555</v>
      </c>
      <c r="LT20">
        <v>0.42162159999999999</v>
      </c>
      <c r="LU20">
        <v>555</v>
      </c>
      <c r="LV20">
        <v>0.34594599999999998</v>
      </c>
      <c r="LW20">
        <v>555</v>
      </c>
      <c r="LX20">
        <v>0</v>
      </c>
      <c r="LY20">
        <v>1516</v>
      </c>
      <c r="LZ20">
        <v>0.63390500000000005</v>
      </c>
      <c r="MA20">
        <v>961</v>
      </c>
      <c r="MB20">
        <v>0.90010400000000002</v>
      </c>
      <c r="MC20">
        <v>865</v>
      </c>
      <c r="MD20">
        <v>0.37919069999999999</v>
      </c>
      <c r="ME20">
        <v>865</v>
      </c>
      <c r="MF20">
        <v>0.18381500000000001</v>
      </c>
      <c r="MG20">
        <v>865</v>
      </c>
      <c r="MH20">
        <v>0.4369942</v>
      </c>
      <c r="MI20">
        <v>961</v>
      </c>
      <c r="MJ20">
        <v>9.9895899999999996E-2</v>
      </c>
      <c r="MK20">
        <v>126905</v>
      </c>
      <c r="ML20">
        <v>5.3394299999999999E-2</v>
      </c>
      <c r="MM20">
        <v>6776</v>
      </c>
      <c r="MN20">
        <v>0.67340610000000001</v>
      </c>
      <c r="MO20">
        <v>4563</v>
      </c>
      <c r="MP20">
        <v>0.70633360000000001</v>
      </c>
      <c r="MQ20">
        <v>4563</v>
      </c>
      <c r="MR20">
        <v>0.70633360000000001</v>
      </c>
      <c r="MS20">
        <v>4563</v>
      </c>
      <c r="MT20">
        <v>0.70633360000000001</v>
      </c>
      <c r="MU20">
        <v>4563</v>
      </c>
      <c r="MV20">
        <v>0.70633360000000001</v>
      </c>
      <c r="MW20">
        <v>4563</v>
      </c>
      <c r="MX20">
        <v>0.2936665</v>
      </c>
      <c r="MY20">
        <v>6776</v>
      </c>
      <c r="MZ20">
        <v>0.32659379999999999</v>
      </c>
      <c r="NA20">
        <v>2213</v>
      </c>
      <c r="NB20">
        <v>0.3854496</v>
      </c>
      <c r="NC20">
        <v>853</v>
      </c>
      <c r="ND20">
        <v>0.60609610000000003</v>
      </c>
      <c r="NE20">
        <v>517</v>
      </c>
      <c r="NF20">
        <v>0.69439070000000003</v>
      </c>
      <c r="NG20">
        <v>517</v>
      </c>
      <c r="NH20">
        <v>0</v>
      </c>
      <c r="NI20">
        <v>517</v>
      </c>
      <c r="NJ20">
        <v>0.30560929999999997</v>
      </c>
      <c r="NK20">
        <v>853</v>
      </c>
      <c r="NL20">
        <v>0.39390389999999997</v>
      </c>
      <c r="NM20">
        <v>2213</v>
      </c>
      <c r="NN20">
        <v>0.61455040000000005</v>
      </c>
      <c r="NO20">
        <v>1360</v>
      </c>
      <c r="NP20">
        <v>0.85367649999999995</v>
      </c>
      <c r="NQ20">
        <v>1161</v>
      </c>
      <c r="NR20">
        <v>0.52799309999999999</v>
      </c>
      <c r="NS20">
        <v>1161</v>
      </c>
      <c r="NT20">
        <v>0.15848409999999999</v>
      </c>
      <c r="NU20">
        <v>1161</v>
      </c>
      <c r="NV20">
        <v>0.31352279999999999</v>
      </c>
      <c r="NW20">
        <v>1360</v>
      </c>
      <c r="NX20">
        <v>0.1463235</v>
      </c>
      <c r="NY20">
        <v>126905</v>
      </c>
      <c r="NZ20">
        <v>0.785107</v>
      </c>
      <c r="OA20">
        <v>99634</v>
      </c>
      <c r="OB20">
        <v>0.84057649999999995</v>
      </c>
      <c r="OC20">
        <v>83750</v>
      </c>
      <c r="OD20">
        <v>0.46298509999999998</v>
      </c>
      <c r="OE20">
        <v>83750</v>
      </c>
      <c r="OF20">
        <v>0.46298509999999998</v>
      </c>
      <c r="OG20">
        <v>83750</v>
      </c>
      <c r="OH20">
        <v>0.46298509999999998</v>
      </c>
      <c r="OI20">
        <v>83750</v>
      </c>
      <c r="OJ20">
        <v>0.46298509999999998</v>
      </c>
      <c r="OK20">
        <v>83750</v>
      </c>
      <c r="OL20">
        <v>0.53701489999999996</v>
      </c>
      <c r="OM20">
        <v>99634</v>
      </c>
      <c r="ON20">
        <v>0.1594235</v>
      </c>
      <c r="OO20">
        <v>15884</v>
      </c>
      <c r="OP20">
        <v>0.36275499999999999</v>
      </c>
      <c r="OQ20">
        <v>5762</v>
      </c>
      <c r="OR20">
        <v>0.4076709</v>
      </c>
      <c r="OS20">
        <v>2349</v>
      </c>
      <c r="OT20">
        <v>0.25755640000000002</v>
      </c>
      <c r="OU20">
        <v>2349</v>
      </c>
      <c r="OV20">
        <v>0.2043423</v>
      </c>
      <c r="OW20">
        <v>2349</v>
      </c>
      <c r="OX20">
        <v>0.5381013</v>
      </c>
      <c r="OY20">
        <v>5762</v>
      </c>
      <c r="OZ20">
        <v>0.59232899999999999</v>
      </c>
      <c r="PA20">
        <v>15884</v>
      </c>
      <c r="PB20">
        <v>0.63724499999999995</v>
      </c>
      <c r="PC20">
        <v>10122</v>
      </c>
      <c r="PD20">
        <v>0.46887970000000001</v>
      </c>
      <c r="PE20">
        <v>4746</v>
      </c>
      <c r="PF20">
        <v>0.10851239999999999</v>
      </c>
      <c r="PG20">
        <v>4746</v>
      </c>
      <c r="PH20">
        <v>6.5107499999999999E-2</v>
      </c>
      <c r="PI20">
        <v>4746</v>
      </c>
      <c r="PJ20">
        <v>0.82638009999999995</v>
      </c>
      <c r="PK20">
        <v>10122</v>
      </c>
      <c r="PL20">
        <v>0.53112040000000005</v>
      </c>
      <c r="PM20">
        <v>520271</v>
      </c>
      <c r="PN20">
        <v>0.49833640000000001</v>
      </c>
      <c r="PO20">
        <v>259270</v>
      </c>
      <c r="PP20">
        <v>7.6287300000000002E-2</v>
      </c>
      <c r="PQ20">
        <v>259270</v>
      </c>
      <c r="PR20">
        <v>8.6616299999999993E-2</v>
      </c>
      <c r="PS20">
        <v>259270</v>
      </c>
      <c r="PT20">
        <v>8.0919500000000005E-2</v>
      </c>
      <c r="PU20">
        <v>259270</v>
      </c>
      <c r="PV20">
        <v>4.9758900000000002E-2</v>
      </c>
      <c r="PW20">
        <v>259270</v>
      </c>
      <c r="PX20">
        <v>2.9667900000000001E-2</v>
      </c>
      <c r="PY20">
        <v>259270</v>
      </c>
      <c r="PZ20">
        <v>8.5200999999999992E-3</v>
      </c>
      <c r="QA20">
        <v>259270</v>
      </c>
      <c r="QB20">
        <v>1.7348700000000002E-2</v>
      </c>
      <c r="QC20">
        <v>259270</v>
      </c>
      <c r="QD20">
        <v>3.4296300000000002E-2</v>
      </c>
      <c r="QE20">
        <v>259270</v>
      </c>
      <c r="QF20">
        <v>6.2780100000000005E-2</v>
      </c>
      <c r="QG20">
        <v>259270</v>
      </c>
      <c r="QH20">
        <v>7.0004200000000003E-2</v>
      </c>
      <c r="QI20">
        <v>259270</v>
      </c>
      <c r="QJ20">
        <v>7.1311799999999995E-2</v>
      </c>
      <c r="QK20">
        <v>259270</v>
      </c>
      <c r="QL20">
        <v>7.6599700000000007E-2</v>
      </c>
      <c r="QM20">
        <v>259270</v>
      </c>
      <c r="QN20">
        <v>7.0551900000000001E-2</v>
      </c>
      <c r="QO20">
        <v>259270</v>
      </c>
      <c r="QP20">
        <v>7.0852799999999994E-2</v>
      </c>
      <c r="QQ20">
        <v>259270</v>
      </c>
      <c r="QR20">
        <v>5.3612100000000003E-2</v>
      </c>
      <c r="QS20">
        <v>259270</v>
      </c>
      <c r="QT20">
        <v>2.4962399999999999E-2</v>
      </c>
      <c r="QU20">
        <v>259270</v>
      </c>
      <c r="QV20">
        <v>2.7612100000000001E-2</v>
      </c>
      <c r="QW20">
        <v>259270</v>
      </c>
      <c r="QX20">
        <v>1.5127099999999999E-2</v>
      </c>
      <c r="QY20">
        <v>259270</v>
      </c>
      <c r="QZ20">
        <v>1.6584999999999999E-2</v>
      </c>
      <c r="RA20">
        <v>259270</v>
      </c>
      <c r="RB20">
        <v>2.2698300000000001E-2</v>
      </c>
      <c r="RC20">
        <v>259270</v>
      </c>
      <c r="RD20">
        <v>1.54935E-2</v>
      </c>
      <c r="RE20">
        <v>259270</v>
      </c>
      <c r="RF20">
        <v>9.9973000000000006E-3</v>
      </c>
      <c r="RG20">
        <v>259270</v>
      </c>
      <c r="RH20">
        <v>8.3967E-3</v>
      </c>
      <c r="RI20">
        <v>520271</v>
      </c>
      <c r="RJ20">
        <v>0.50166359999999999</v>
      </c>
      <c r="RK20">
        <v>261001</v>
      </c>
      <c r="RL20">
        <v>7.4972899999999995E-2</v>
      </c>
      <c r="RM20">
        <v>261001</v>
      </c>
      <c r="RN20">
        <v>8.7493899999999999E-2</v>
      </c>
      <c r="RO20">
        <v>261001</v>
      </c>
      <c r="RP20">
        <v>7.0348400000000005E-2</v>
      </c>
      <c r="RQ20">
        <v>261001</v>
      </c>
      <c r="RR20">
        <v>4.6337000000000003E-2</v>
      </c>
      <c r="RS20">
        <v>261001</v>
      </c>
      <c r="RT20">
        <v>2.6007599999999999E-2</v>
      </c>
      <c r="RU20">
        <v>261001</v>
      </c>
      <c r="RV20">
        <v>1.33831E-2</v>
      </c>
      <c r="RW20">
        <v>261001</v>
      </c>
      <c r="RX20">
        <v>9.1263999999999998E-3</v>
      </c>
      <c r="RY20">
        <v>261001</v>
      </c>
      <c r="RZ20">
        <v>3.2658899999999998E-2</v>
      </c>
      <c r="SA20">
        <v>261001</v>
      </c>
      <c r="SB20">
        <v>5.9972900000000003E-2</v>
      </c>
      <c r="SC20">
        <v>261001</v>
      </c>
      <c r="SD20">
        <v>6.9313899999999998E-2</v>
      </c>
      <c r="SE20">
        <v>261001</v>
      </c>
      <c r="SF20">
        <v>6.7451800000000006E-2</v>
      </c>
      <c r="SG20">
        <v>261001</v>
      </c>
      <c r="SH20">
        <v>7.7528399999999997E-2</v>
      </c>
      <c r="SI20">
        <v>261001</v>
      </c>
      <c r="SJ20">
        <v>7.5808100000000003E-2</v>
      </c>
      <c r="SK20">
        <v>261001</v>
      </c>
      <c r="SL20">
        <v>6.72986E-2</v>
      </c>
      <c r="SM20">
        <v>261001</v>
      </c>
      <c r="SN20">
        <v>5.5359899999999997E-2</v>
      </c>
      <c r="SO20">
        <v>261001</v>
      </c>
      <c r="SP20">
        <v>1.75861E-2</v>
      </c>
      <c r="SQ20">
        <v>261001</v>
      </c>
      <c r="SR20">
        <v>3.7517099999999998E-2</v>
      </c>
      <c r="SS20">
        <v>261001</v>
      </c>
      <c r="ST20">
        <v>1.29616E-2</v>
      </c>
      <c r="SU20">
        <v>261001</v>
      </c>
      <c r="SV20">
        <v>2.30612E-2</v>
      </c>
      <c r="SW20">
        <v>261001</v>
      </c>
      <c r="SX20">
        <v>2.5451999999999999E-2</v>
      </c>
      <c r="SY20">
        <v>261001</v>
      </c>
      <c r="SZ20">
        <v>2.06398E-2</v>
      </c>
      <c r="TA20">
        <v>261001</v>
      </c>
      <c r="TB20">
        <v>1.29885E-2</v>
      </c>
      <c r="TC20">
        <v>261001</v>
      </c>
      <c r="TD20">
        <v>1.6731699999999999E-2</v>
      </c>
      <c r="TE20">
        <v>371125</v>
      </c>
      <c r="TF20">
        <v>0.4994517</v>
      </c>
      <c r="TG20">
        <v>26719</v>
      </c>
      <c r="TH20">
        <v>0.49462929999999999</v>
      </c>
      <c r="TI20"/>
      <c r="TJ20"/>
      <c r="TK20">
        <v>18147</v>
      </c>
      <c r="TL20">
        <v>0.4989806</v>
      </c>
      <c r="TM20"/>
      <c r="TN20"/>
      <c r="TO20">
        <v>90136</v>
      </c>
      <c r="TP20">
        <v>0.49768129999999999</v>
      </c>
      <c r="TQ20">
        <v>12315</v>
      </c>
      <c r="TR20">
        <v>0.45862770000000003</v>
      </c>
      <c r="TS20">
        <v>303562</v>
      </c>
      <c r="TT20">
        <v>0.49195879999999997</v>
      </c>
      <c r="TU20">
        <v>161853</v>
      </c>
      <c r="TV20">
        <v>0.51851369999999997</v>
      </c>
      <c r="TW20">
        <v>371125</v>
      </c>
      <c r="TX20">
        <v>0.50054829999999995</v>
      </c>
      <c r="TY20">
        <v>26719</v>
      </c>
      <c r="TZ20">
        <v>0.50537069999999995</v>
      </c>
      <c r="UA20"/>
      <c r="UB20"/>
      <c r="UC20">
        <v>18147</v>
      </c>
      <c r="UD20">
        <v>0.50101949999999995</v>
      </c>
      <c r="UE20"/>
      <c r="UF20"/>
      <c r="UG20">
        <v>90136</v>
      </c>
      <c r="UH20">
        <v>0.50231870000000001</v>
      </c>
      <c r="UI20">
        <v>12315</v>
      </c>
      <c r="UJ20">
        <v>0.54137230000000003</v>
      </c>
      <c r="UK20">
        <v>303562</v>
      </c>
      <c r="UL20">
        <v>0.50804119999999997</v>
      </c>
      <c r="UM20">
        <v>161853</v>
      </c>
      <c r="UN20">
        <v>0.48148629999999998</v>
      </c>
      <c r="UO20">
        <v>121741</v>
      </c>
      <c r="UP20">
        <v>121741</v>
      </c>
      <c r="UQ20">
        <v>121741</v>
      </c>
      <c r="UR20">
        <v>100465</v>
      </c>
      <c r="US20">
        <v>100465</v>
      </c>
      <c r="UT20">
        <v>100465</v>
      </c>
      <c r="UU20">
        <v>6.6529999999999996E-4</v>
      </c>
      <c r="UV20">
        <v>0.89664940000000004</v>
      </c>
      <c r="UW20">
        <v>0.1026852</v>
      </c>
      <c r="UX20">
        <v>0</v>
      </c>
      <c r="UY20">
        <v>0.93266309999999997</v>
      </c>
      <c r="UZ20">
        <v>6.7336900000000005E-2</v>
      </c>
      <c r="VA20">
        <v>8103</v>
      </c>
      <c r="VB20">
        <v>0</v>
      </c>
      <c r="VC20">
        <v>8103</v>
      </c>
      <c r="VD20">
        <v>0.85869430000000002</v>
      </c>
      <c r="VE20">
        <v>8103</v>
      </c>
      <c r="VF20">
        <v>0.14130570000000001</v>
      </c>
      <c r="VG20">
        <v>15622</v>
      </c>
      <c r="VH20">
        <v>0</v>
      </c>
      <c r="VI20">
        <v>15622</v>
      </c>
      <c r="VJ20">
        <v>0.82006140000000005</v>
      </c>
      <c r="VK20">
        <v>15622</v>
      </c>
      <c r="VL20">
        <v>0.1799386</v>
      </c>
      <c r="VM20">
        <v>17274</v>
      </c>
      <c r="VN20">
        <v>0</v>
      </c>
      <c r="VO20">
        <v>17274</v>
      </c>
      <c r="VP20">
        <v>0.94483039999999996</v>
      </c>
      <c r="VQ20">
        <v>17274</v>
      </c>
      <c r="VR20">
        <v>5.5169599999999999E-2</v>
      </c>
      <c r="VS20">
        <v>35446</v>
      </c>
      <c r="VT20">
        <v>0</v>
      </c>
      <c r="VU20">
        <v>35446</v>
      </c>
      <c r="VV20">
        <v>0.90416410000000003</v>
      </c>
      <c r="VW20">
        <v>35446</v>
      </c>
      <c r="VX20">
        <v>9.5835900000000002E-2</v>
      </c>
      <c r="VY20">
        <v>33530</v>
      </c>
      <c r="VZ20">
        <v>2.4156999999999998E-3</v>
      </c>
      <c r="WA20">
        <v>33530</v>
      </c>
      <c r="WB20">
        <v>0.90459290000000003</v>
      </c>
      <c r="WC20">
        <v>33530</v>
      </c>
      <c r="WD20">
        <v>9.2991400000000002E-2</v>
      </c>
      <c r="WE20">
        <v>11766</v>
      </c>
      <c r="WF20">
        <v>0</v>
      </c>
      <c r="WG20">
        <v>11766</v>
      </c>
      <c r="WH20">
        <v>0.90846510000000003</v>
      </c>
      <c r="WI20">
        <v>11766</v>
      </c>
      <c r="WJ20">
        <v>9.1534900000000002E-2</v>
      </c>
      <c r="WK20">
        <v>6322</v>
      </c>
      <c r="WL20">
        <v>0</v>
      </c>
      <c r="WM20">
        <v>6322</v>
      </c>
      <c r="WN20">
        <v>0.90414430000000001</v>
      </c>
      <c r="WO20">
        <v>6322</v>
      </c>
      <c r="WP20">
        <v>9.5855700000000002E-2</v>
      </c>
      <c r="WQ20">
        <v>11709</v>
      </c>
      <c r="WR20">
        <v>0</v>
      </c>
      <c r="WS20">
        <v>11709</v>
      </c>
      <c r="WT20">
        <v>0.92194039999999999</v>
      </c>
      <c r="WU20">
        <v>11709</v>
      </c>
      <c r="WV20">
        <v>7.8059600000000007E-2</v>
      </c>
      <c r="WW20">
        <v>14553</v>
      </c>
      <c r="WX20">
        <v>0</v>
      </c>
      <c r="WY20">
        <v>14553</v>
      </c>
      <c r="WZ20">
        <v>0.95169380000000003</v>
      </c>
      <c r="XA20">
        <v>14553</v>
      </c>
      <c r="XB20">
        <v>4.8306200000000001E-2</v>
      </c>
      <c r="XC20">
        <v>27793</v>
      </c>
      <c r="XD20">
        <v>0</v>
      </c>
      <c r="XE20">
        <v>27793</v>
      </c>
      <c r="XF20">
        <v>0.91656170000000003</v>
      </c>
      <c r="XG20">
        <v>27793</v>
      </c>
      <c r="XH20">
        <v>8.3438300000000007E-2</v>
      </c>
      <c r="XI20">
        <v>30348</v>
      </c>
      <c r="XJ20">
        <v>0</v>
      </c>
      <c r="XK20">
        <v>30348</v>
      </c>
      <c r="XL20">
        <v>0.93887569999999998</v>
      </c>
      <c r="XM20">
        <v>30348</v>
      </c>
      <c r="XN20">
        <v>6.1124299999999999E-2</v>
      </c>
      <c r="XO20">
        <v>9740</v>
      </c>
      <c r="XP20">
        <v>0</v>
      </c>
      <c r="XQ20">
        <v>9740</v>
      </c>
      <c r="XR20">
        <v>0.96221769999999995</v>
      </c>
      <c r="XS20">
        <v>9740</v>
      </c>
      <c r="XT20">
        <v>3.7782299999999998E-2</v>
      </c>
      <c r="XU20">
        <v>334885</v>
      </c>
      <c r="XV20">
        <v>0.50073009999999996</v>
      </c>
      <c r="XW20">
        <v>167687</v>
      </c>
      <c r="XX20">
        <v>0.84927269999999999</v>
      </c>
      <c r="XY20">
        <v>167687</v>
      </c>
      <c r="XZ20">
        <v>0.15072720000000001</v>
      </c>
      <c r="YA20">
        <v>142412</v>
      </c>
      <c r="YB20">
        <v>0.81822459999999997</v>
      </c>
      <c r="YC20">
        <v>116525</v>
      </c>
      <c r="YD20">
        <v>0.82254450000000001</v>
      </c>
      <c r="YE20">
        <v>116525</v>
      </c>
      <c r="YF20">
        <v>1.59107E-2</v>
      </c>
      <c r="YG20">
        <v>116525</v>
      </c>
      <c r="YH20">
        <v>5.4529099999999997E-2</v>
      </c>
      <c r="YI20">
        <v>116525</v>
      </c>
      <c r="YJ20">
        <v>5.1448199999999999E-2</v>
      </c>
      <c r="YK20">
        <v>116525</v>
      </c>
      <c r="YL20">
        <v>2.2124000000000001E-2</v>
      </c>
      <c r="YM20">
        <v>116525</v>
      </c>
      <c r="YN20">
        <v>3.3443500000000001E-2</v>
      </c>
      <c r="YO20">
        <v>142412</v>
      </c>
      <c r="YP20">
        <v>0.1536949</v>
      </c>
      <c r="YQ20">
        <v>21888</v>
      </c>
      <c r="YR20">
        <v>0.42086990000000002</v>
      </c>
      <c r="YS20">
        <v>21888</v>
      </c>
      <c r="YT20">
        <v>3.7919999999999998E-3</v>
      </c>
      <c r="YU20">
        <v>21888</v>
      </c>
      <c r="YV20">
        <v>5.33169E-2</v>
      </c>
      <c r="YW20">
        <v>21888</v>
      </c>
      <c r="YX20">
        <v>0.1292489</v>
      </c>
      <c r="YY20">
        <v>21888</v>
      </c>
      <c r="YZ20">
        <v>0.20741960000000001</v>
      </c>
      <c r="ZA20">
        <v>21888</v>
      </c>
      <c r="ZB20">
        <v>0.18535270000000001</v>
      </c>
      <c r="ZC20">
        <v>142412</v>
      </c>
      <c r="ZD20">
        <v>2.8080500000000001E-2</v>
      </c>
      <c r="ZE20">
        <v>3999</v>
      </c>
      <c r="ZF20">
        <v>0.3020755</v>
      </c>
      <c r="ZG20">
        <v>3999</v>
      </c>
      <c r="ZH20">
        <v>0</v>
      </c>
      <c r="ZI20">
        <v>3999</v>
      </c>
      <c r="ZJ20">
        <v>3.8759700000000001E-2</v>
      </c>
      <c r="ZK20">
        <v>3999</v>
      </c>
      <c r="ZL20">
        <v>0.10202550000000001</v>
      </c>
      <c r="ZM20">
        <v>3999</v>
      </c>
      <c r="ZN20">
        <v>0.1957989</v>
      </c>
      <c r="ZO20">
        <v>3999</v>
      </c>
      <c r="ZP20">
        <v>0.3613403</v>
      </c>
      <c r="ZQ20">
        <v>334885</v>
      </c>
      <c r="ZR20">
        <v>0.49926989999999999</v>
      </c>
      <c r="ZS20">
        <v>167198</v>
      </c>
      <c r="ZT20">
        <v>0.72002659999999996</v>
      </c>
      <c r="ZU20">
        <v>167198</v>
      </c>
      <c r="ZV20">
        <v>0.27997339999999998</v>
      </c>
      <c r="ZW20">
        <v>120387</v>
      </c>
      <c r="ZX20">
        <v>0.69162789999999996</v>
      </c>
      <c r="ZY20">
        <v>83263</v>
      </c>
      <c r="ZZ20">
        <v>0.85950539999999997</v>
      </c>
      <c r="AAA20">
        <v>83263</v>
      </c>
      <c r="AAB20">
        <v>1.87358E-2</v>
      </c>
      <c r="AAC20">
        <v>83263</v>
      </c>
      <c r="AAD20">
        <v>4.9301600000000001E-2</v>
      </c>
      <c r="AAE20">
        <v>83263</v>
      </c>
      <c r="AAF20">
        <v>2.2338899999999998E-2</v>
      </c>
      <c r="AAG20">
        <v>83263</v>
      </c>
      <c r="AAH20">
        <v>2.05253E-2</v>
      </c>
      <c r="AAI20">
        <v>83263</v>
      </c>
      <c r="AAJ20">
        <v>2.9593000000000001E-2</v>
      </c>
      <c r="AAK20">
        <v>120387</v>
      </c>
      <c r="AAL20">
        <v>0.24432039999999999</v>
      </c>
      <c r="AAM20">
        <v>29413</v>
      </c>
      <c r="AAN20">
        <v>0.53061570000000002</v>
      </c>
      <c r="AAO20">
        <v>29413</v>
      </c>
      <c r="AAP20">
        <v>1.6489299999999998E-2</v>
      </c>
      <c r="AAQ20">
        <v>29413</v>
      </c>
      <c r="AAR20">
        <v>0.1021997</v>
      </c>
      <c r="AAS20">
        <v>29413</v>
      </c>
      <c r="AAT20">
        <v>0.13691229999999999</v>
      </c>
      <c r="AAU20">
        <v>29413</v>
      </c>
      <c r="AAV20">
        <v>0.13079250000000001</v>
      </c>
      <c r="AAW20">
        <v>29413</v>
      </c>
      <c r="AAX20">
        <v>8.2990499999999995E-2</v>
      </c>
      <c r="AAY20">
        <v>120387</v>
      </c>
      <c r="AAZ20">
        <v>6.4051800000000006E-2</v>
      </c>
      <c r="ABA20">
        <v>7711</v>
      </c>
      <c r="ABB20">
        <v>0.29023470000000001</v>
      </c>
      <c r="ABC20">
        <v>7711</v>
      </c>
      <c r="ABD20">
        <v>9.4669999999999997E-3</v>
      </c>
      <c r="ABE20">
        <v>7711</v>
      </c>
      <c r="ABF20">
        <v>0.13137080000000001</v>
      </c>
      <c r="ABG20">
        <v>7711</v>
      </c>
      <c r="ABH20">
        <v>0.17092460000000001</v>
      </c>
      <c r="ABI20">
        <v>7711</v>
      </c>
      <c r="ABJ20">
        <v>7.3272000000000004E-2</v>
      </c>
      <c r="ABK20">
        <v>7711</v>
      </c>
      <c r="ABL20">
        <v>0.32473089999999999</v>
      </c>
      <c r="ABM20">
        <v>168340</v>
      </c>
      <c r="ABN20">
        <v>0.75386120000000001</v>
      </c>
      <c r="ABO20">
        <v>126905</v>
      </c>
      <c r="ABP20">
        <v>0.77171900000000004</v>
      </c>
      <c r="ABQ20">
        <v>126905</v>
      </c>
      <c r="ABR20">
        <v>0.22828100000000001</v>
      </c>
      <c r="ABS20">
        <v>28970</v>
      </c>
      <c r="ABT20">
        <v>0.29554710000000001</v>
      </c>
      <c r="ABU20">
        <v>28970</v>
      </c>
      <c r="ABV20">
        <v>0.70445290000000005</v>
      </c>
      <c r="ABW20">
        <v>168340</v>
      </c>
      <c r="ABX20">
        <v>0.24613879999999999</v>
      </c>
      <c r="ABY20">
        <v>41435</v>
      </c>
      <c r="ABZ20">
        <v>0.84561359999999997</v>
      </c>
      <c r="ACA20">
        <v>41435</v>
      </c>
      <c r="ACB20">
        <v>0.15438640000000001</v>
      </c>
      <c r="ACC20">
        <v>396290</v>
      </c>
      <c r="ACD20">
        <v>0.49472359999999999</v>
      </c>
      <c r="ACE20">
        <v>196054</v>
      </c>
      <c r="ACF20">
        <v>0.34055920000000001</v>
      </c>
      <c r="ACG20">
        <v>66768</v>
      </c>
      <c r="ACH20">
        <v>0.1925473</v>
      </c>
      <c r="ACI20">
        <v>66768</v>
      </c>
      <c r="ACJ20">
        <v>0.11370719999999999</v>
      </c>
      <c r="ACK20">
        <v>66768</v>
      </c>
      <c r="ACL20">
        <v>0.2150282</v>
      </c>
      <c r="ACM20">
        <v>66768</v>
      </c>
      <c r="ACN20">
        <v>0.1505512</v>
      </c>
      <c r="ACO20">
        <v>66768</v>
      </c>
      <c r="ACP20">
        <v>0.1054098</v>
      </c>
      <c r="ACQ20">
        <v>66768</v>
      </c>
      <c r="ACR20">
        <v>6.9853799999999994E-2</v>
      </c>
      <c r="ACS20">
        <v>66768</v>
      </c>
      <c r="ACT20">
        <v>4.0154000000000002E-2</v>
      </c>
      <c r="ACU20">
        <v>66768</v>
      </c>
      <c r="ACV20">
        <v>3.8371700000000002E-2</v>
      </c>
      <c r="ACW20">
        <v>66768</v>
      </c>
      <c r="ACX20">
        <v>4.1172399999999998E-2</v>
      </c>
      <c r="ACY20">
        <v>66768</v>
      </c>
      <c r="ACZ20">
        <v>1.9500400000000001E-2</v>
      </c>
      <c r="ADA20">
        <v>66768</v>
      </c>
      <c r="ADB20">
        <v>6.9643999999999999E-3</v>
      </c>
      <c r="ADC20">
        <v>66768</v>
      </c>
      <c r="ADD20">
        <v>4.5380999999999998E-3</v>
      </c>
      <c r="ADE20">
        <v>66768</v>
      </c>
      <c r="ADF20">
        <v>2.2017E-3</v>
      </c>
      <c r="ADG20">
        <v>66768</v>
      </c>
      <c r="ADH20">
        <v>0</v>
      </c>
      <c r="ADI20">
        <v>196054</v>
      </c>
      <c r="ADJ20">
        <v>0.55953969999999997</v>
      </c>
      <c r="ADK20">
        <v>109700</v>
      </c>
      <c r="ADL20">
        <v>0.92835000000000001</v>
      </c>
      <c r="ADM20">
        <v>101840</v>
      </c>
      <c r="ADN20">
        <v>0</v>
      </c>
      <c r="ADO20">
        <v>101840</v>
      </c>
      <c r="ADP20">
        <v>0</v>
      </c>
      <c r="ADQ20">
        <v>101840</v>
      </c>
      <c r="ADR20">
        <v>5.5970000000000004E-3</v>
      </c>
      <c r="ADS20">
        <v>101840</v>
      </c>
      <c r="ADT20">
        <v>4.6032999999999998E-2</v>
      </c>
      <c r="ADU20">
        <v>101840</v>
      </c>
      <c r="ADV20">
        <v>9.2615900000000001E-2</v>
      </c>
      <c r="ADW20">
        <v>101840</v>
      </c>
      <c r="ADX20">
        <v>0.1129124</v>
      </c>
      <c r="ADY20">
        <v>101840</v>
      </c>
      <c r="ADZ20">
        <v>0.1344756</v>
      </c>
      <c r="AEA20">
        <v>101840</v>
      </c>
      <c r="AEB20">
        <v>0.12537309999999999</v>
      </c>
      <c r="AEC20">
        <v>101840</v>
      </c>
      <c r="AED20">
        <v>0.1175373</v>
      </c>
      <c r="AEE20">
        <v>101840</v>
      </c>
      <c r="AEF20">
        <v>0.1033287</v>
      </c>
      <c r="AEG20">
        <v>101840</v>
      </c>
      <c r="AEH20">
        <v>9.7034599999999999E-2</v>
      </c>
      <c r="AEI20">
        <v>101840</v>
      </c>
      <c r="AEJ20">
        <v>0.1111057</v>
      </c>
      <c r="AEK20">
        <v>101840</v>
      </c>
      <c r="AEL20">
        <v>4.41673E-2</v>
      </c>
      <c r="AEM20">
        <v>101840</v>
      </c>
      <c r="AEN20">
        <v>9.8192999999999996E-3</v>
      </c>
      <c r="AEO20">
        <v>109700</v>
      </c>
      <c r="AEP20">
        <v>7.1650000000000005E-2</v>
      </c>
      <c r="AEQ20">
        <v>7860</v>
      </c>
      <c r="AER20">
        <v>0.34898220000000002</v>
      </c>
      <c r="AES20">
        <v>2743</v>
      </c>
      <c r="AET20">
        <v>0</v>
      </c>
      <c r="AEU20">
        <v>2743</v>
      </c>
      <c r="AEV20">
        <v>0</v>
      </c>
      <c r="AEW20">
        <v>2743</v>
      </c>
      <c r="AEX20">
        <v>1.4582599999999999E-2</v>
      </c>
      <c r="AEY20">
        <v>2743</v>
      </c>
      <c r="AEZ20">
        <v>0.20634340000000001</v>
      </c>
      <c r="AFA20">
        <v>2743</v>
      </c>
      <c r="AFB20">
        <v>8.1662399999999996E-2</v>
      </c>
      <c r="AFC20">
        <v>2743</v>
      </c>
      <c r="AFD20">
        <v>0.1111921</v>
      </c>
      <c r="AFE20">
        <v>2743</v>
      </c>
      <c r="AFF20">
        <v>0.13926359999999999</v>
      </c>
      <c r="AFG20">
        <v>2743</v>
      </c>
      <c r="AFH20">
        <v>3.6091900000000003E-2</v>
      </c>
      <c r="AFI20">
        <v>2743</v>
      </c>
      <c r="AFJ20">
        <v>3.0258799999999999E-2</v>
      </c>
      <c r="AFK20">
        <v>2743</v>
      </c>
      <c r="AFL20">
        <v>4.3383199999999997E-2</v>
      </c>
      <c r="AFM20">
        <v>2743</v>
      </c>
      <c r="AFN20">
        <v>0.2446227</v>
      </c>
      <c r="AFO20">
        <v>2743</v>
      </c>
      <c r="AFP20">
        <v>5.0674400000000001E-2</v>
      </c>
      <c r="AFQ20">
        <v>2743</v>
      </c>
      <c r="AFR20">
        <v>4.1924900000000001E-2</v>
      </c>
      <c r="AFS20">
        <v>2743</v>
      </c>
      <c r="AFT20">
        <v>0</v>
      </c>
      <c r="AFU20">
        <v>7860</v>
      </c>
      <c r="AFV20">
        <v>0.65101779999999998</v>
      </c>
      <c r="AFW20">
        <v>5117</v>
      </c>
      <c r="AFX20">
        <v>8.7942000000000003E-3</v>
      </c>
      <c r="AFY20">
        <v>5117</v>
      </c>
      <c r="AFZ20">
        <v>1.95427E-2</v>
      </c>
      <c r="AGA20">
        <v>5117</v>
      </c>
      <c r="AGB20">
        <v>0.1113934</v>
      </c>
      <c r="AGC20">
        <v>5117</v>
      </c>
      <c r="AGD20">
        <v>0.13621259999999999</v>
      </c>
      <c r="AGE20">
        <v>5117</v>
      </c>
      <c r="AGF20">
        <v>0.1463748</v>
      </c>
      <c r="AGG20">
        <v>5117</v>
      </c>
      <c r="AGH20">
        <v>0.1082666</v>
      </c>
      <c r="AGI20">
        <v>5117</v>
      </c>
      <c r="AGJ20">
        <v>7.4457700000000002E-2</v>
      </c>
      <c r="AGK20">
        <v>5117</v>
      </c>
      <c r="AGL20">
        <v>0.12253269999999999</v>
      </c>
      <c r="AGM20">
        <v>5117</v>
      </c>
      <c r="AGN20">
        <v>9.7127199999999997E-2</v>
      </c>
      <c r="AGO20">
        <v>5117</v>
      </c>
      <c r="AGP20">
        <v>8.3056500000000005E-2</v>
      </c>
      <c r="AGQ20">
        <v>5117</v>
      </c>
      <c r="AGR20">
        <v>2.2865E-2</v>
      </c>
      <c r="AGS20">
        <v>5117</v>
      </c>
      <c r="AGT20">
        <v>2.8336900000000002E-2</v>
      </c>
      <c r="AGU20">
        <v>5117</v>
      </c>
      <c r="AGV20">
        <v>2.65781E-2</v>
      </c>
      <c r="AGW20">
        <v>5117</v>
      </c>
      <c r="AGX20">
        <v>1.44616E-2</v>
      </c>
      <c r="AGY20">
        <v>196054</v>
      </c>
      <c r="AGZ20">
        <v>1.7041199999999999E-2</v>
      </c>
      <c r="AHA20">
        <v>3341</v>
      </c>
      <c r="AHB20">
        <v>0</v>
      </c>
      <c r="AHC20">
        <v>3341</v>
      </c>
      <c r="AHD20">
        <v>0</v>
      </c>
      <c r="AHE20">
        <v>3341</v>
      </c>
      <c r="AHF20">
        <v>0</v>
      </c>
      <c r="AHG20">
        <v>3341</v>
      </c>
      <c r="AHH20">
        <v>0</v>
      </c>
      <c r="AHI20">
        <v>3341</v>
      </c>
      <c r="AHJ20">
        <v>0</v>
      </c>
      <c r="AHK20">
        <v>3341</v>
      </c>
      <c r="AHL20">
        <v>0</v>
      </c>
      <c r="AHM20">
        <v>3341</v>
      </c>
      <c r="AHN20">
        <v>4.8189200000000001E-2</v>
      </c>
      <c r="AHO20">
        <v>3341</v>
      </c>
      <c r="AHP20">
        <v>3.5917000000000002E-3</v>
      </c>
      <c r="AHQ20">
        <v>3341</v>
      </c>
      <c r="AHR20">
        <v>3.0829100000000002E-2</v>
      </c>
      <c r="AHS20">
        <v>3341</v>
      </c>
      <c r="AHT20">
        <v>4.0107799999999999E-2</v>
      </c>
      <c r="AHU20">
        <v>3341</v>
      </c>
      <c r="AHV20">
        <v>3.4420800000000001E-2</v>
      </c>
      <c r="AHW20">
        <v>3341</v>
      </c>
      <c r="AHX20">
        <v>0.31727030000000001</v>
      </c>
      <c r="AHY20">
        <v>3341</v>
      </c>
      <c r="AHZ20">
        <v>0.27596530000000002</v>
      </c>
      <c r="AIA20">
        <v>3341</v>
      </c>
      <c r="AIB20">
        <v>0.24962590000000001</v>
      </c>
      <c r="AIC20">
        <v>196054</v>
      </c>
      <c r="AID20">
        <v>8.2859799999999997E-2</v>
      </c>
      <c r="AIE20">
        <v>16245</v>
      </c>
      <c r="AIF20">
        <v>0</v>
      </c>
      <c r="AIG20">
        <v>16245</v>
      </c>
      <c r="AIH20">
        <v>0</v>
      </c>
      <c r="AII20">
        <v>16245</v>
      </c>
      <c r="AIJ20">
        <v>3.8165999999999999E-3</v>
      </c>
      <c r="AIK20">
        <v>16245</v>
      </c>
      <c r="AIL20">
        <v>1.6866699999999998E-2</v>
      </c>
      <c r="AIM20">
        <v>16245</v>
      </c>
      <c r="AIN20">
        <v>4.35211E-2</v>
      </c>
      <c r="AIO20">
        <v>16245</v>
      </c>
      <c r="AIP20">
        <v>9.0304700000000002E-2</v>
      </c>
      <c r="AIQ20">
        <v>16245</v>
      </c>
      <c r="AIR20">
        <v>0.1575869</v>
      </c>
      <c r="AIS20">
        <v>16245</v>
      </c>
      <c r="AIT20">
        <v>0.13690369999999999</v>
      </c>
      <c r="AIU20">
        <v>16245</v>
      </c>
      <c r="AIV20">
        <v>0.18270239999999999</v>
      </c>
      <c r="AIW20">
        <v>16245</v>
      </c>
      <c r="AIX20">
        <v>8.5995699999999994E-2</v>
      </c>
      <c r="AIY20">
        <v>16245</v>
      </c>
      <c r="AIZ20">
        <v>0.14656820000000001</v>
      </c>
      <c r="AJA20">
        <v>16245</v>
      </c>
      <c r="AJB20">
        <v>7.0483199999999996E-2</v>
      </c>
      <c r="AJC20">
        <v>16245</v>
      </c>
      <c r="AJD20">
        <v>4.8691900000000003E-2</v>
      </c>
      <c r="AJE20">
        <v>16245</v>
      </c>
      <c r="AJF20">
        <v>1.6558900000000001E-2</v>
      </c>
      <c r="AJG20">
        <v>396290</v>
      </c>
      <c r="AJH20">
        <v>0.50527639999999996</v>
      </c>
      <c r="AJI20">
        <v>200236</v>
      </c>
      <c r="AJJ20">
        <v>0.26760420000000001</v>
      </c>
      <c r="AJK20">
        <v>53584</v>
      </c>
      <c r="AJL20">
        <v>0.22570170000000001</v>
      </c>
      <c r="AJM20">
        <v>53584</v>
      </c>
      <c r="AJN20">
        <v>0.112123</v>
      </c>
      <c r="AJO20">
        <v>53584</v>
      </c>
      <c r="AJP20">
        <v>0.22398480000000001</v>
      </c>
      <c r="AJQ20">
        <v>53584</v>
      </c>
      <c r="AJR20">
        <v>0.1381569</v>
      </c>
      <c r="AJS20">
        <v>53584</v>
      </c>
      <c r="AJT20">
        <v>9.9973900000000004E-2</v>
      </c>
      <c r="AJU20">
        <v>53584</v>
      </c>
      <c r="AJV20">
        <v>4.3632400000000002E-2</v>
      </c>
      <c r="AJW20">
        <v>53584</v>
      </c>
      <c r="AJX20">
        <v>4.8391299999999998E-2</v>
      </c>
      <c r="AJY20">
        <v>53584</v>
      </c>
      <c r="AJZ20">
        <v>4.27926E-2</v>
      </c>
      <c r="AKA20">
        <v>53584</v>
      </c>
      <c r="AKB20">
        <v>2.8721300000000002E-2</v>
      </c>
      <c r="AKC20">
        <v>53584</v>
      </c>
      <c r="AKD20">
        <v>7.3902999999999998E-3</v>
      </c>
      <c r="AKE20">
        <v>53584</v>
      </c>
      <c r="AKF20">
        <v>1.9483400000000001E-2</v>
      </c>
      <c r="AKG20">
        <v>53584</v>
      </c>
      <c r="AKH20">
        <v>3.2472E-3</v>
      </c>
      <c r="AKI20">
        <v>53584</v>
      </c>
      <c r="AKJ20">
        <v>7.6519999999999995E-4</v>
      </c>
      <c r="AKK20">
        <v>53584</v>
      </c>
      <c r="AKL20">
        <v>5.6360000000000004E-3</v>
      </c>
      <c r="AKM20">
        <v>200236</v>
      </c>
      <c r="AKN20">
        <v>0.55820130000000001</v>
      </c>
      <c r="AKO20">
        <v>111772</v>
      </c>
      <c r="AKP20">
        <v>0.90265010000000001</v>
      </c>
      <c r="AKQ20">
        <v>100891</v>
      </c>
      <c r="AKR20">
        <v>0</v>
      </c>
      <c r="AKS20">
        <v>100891</v>
      </c>
      <c r="AKT20">
        <v>3.1717E-3</v>
      </c>
      <c r="AKU20">
        <v>100891</v>
      </c>
      <c r="AKV20">
        <v>1.3846600000000001E-2</v>
      </c>
      <c r="AKW20">
        <v>100891</v>
      </c>
      <c r="AKX20">
        <v>6.1838999999999998E-2</v>
      </c>
      <c r="AKY20">
        <v>100891</v>
      </c>
      <c r="AKZ20">
        <v>0.10136680000000001</v>
      </c>
      <c r="ALA20">
        <v>100891</v>
      </c>
      <c r="ALB20">
        <v>0.1248674</v>
      </c>
      <c r="ALC20">
        <v>100891</v>
      </c>
      <c r="ALD20">
        <v>0.12714710000000001</v>
      </c>
      <c r="ALE20">
        <v>100891</v>
      </c>
      <c r="ALF20">
        <v>0.12563060000000001</v>
      </c>
      <c r="ALG20">
        <v>100891</v>
      </c>
      <c r="ALH20">
        <v>0.1204369</v>
      </c>
      <c r="ALI20">
        <v>100891</v>
      </c>
      <c r="ALJ20">
        <v>0.1060055</v>
      </c>
      <c r="ALK20">
        <v>100891</v>
      </c>
      <c r="ALL20">
        <v>9.3962799999999999E-2</v>
      </c>
      <c r="ALM20">
        <v>100891</v>
      </c>
      <c r="ALN20">
        <v>8.67372E-2</v>
      </c>
      <c r="ALO20">
        <v>100891</v>
      </c>
      <c r="ALP20">
        <v>3.26392E-2</v>
      </c>
      <c r="ALQ20">
        <v>100891</v>
      </c>
      <c r="ALR20">
        <v>2.3490999999999998E-3</v>
      </c>
      <c r="ALS20">
        <v>111772</v>
      </c>
      <c r="ALT20">
        <v>9.7350000000000006E-2</v>
      </c>
      <c r="ALU20">
        <v>10881</v>
      </c>
      <c r="ALV20">
        <v>0.43764360000000002</v>
      </c>
      <c r="ALW20">
        <v>4762</v>
      </c>
      <c r="ALX20">
        <v>0</v>
      </c>
      <c r="ALY20">
        <v>4762</v>
      </c>
      <c r="ALZ20">
        <v>1.7219700000000001E-2</v>
      </c>
      <c r="AMA20">
        <v>4762</v>
      </c>
      <c r="AMB20">
        <v>4.2209200000000002E-2</v>
      </c>
      <c r="AMC20">
        <v>4762</v>
      </c>
      <c r="AMD20">
        <v>8.3998299999999998E-2</v>
      </c>
      <c r="AME20">
        <v>4762</v>
      </c>
      <c r="AMF20">
        <v>2.3939499999999999E-2</v>
      </c>
      <c r="AMG20">
        <v>4762</v>
      </c>
      <c r="AMH20">
        <v>0.24002519999999999</v>
      </c>
      <c r="AMI20">
        <v>4762</v>
      </c>
      <c r="AMJ20">
        <v>0.20075599999999999</v>
      </c>
      <c r="AMK20">
        <v>4762</v>
      </c>
      <c r="AML20">
        <v>5.0188999999999998E-2</v>
      </c>
      <c r="AMM20">
        <v>4762</v>
      </c>
      <c r="AMN20">
        <v>0.1679966</v>
      </c>
      <c r="AMO20">
        <v>4762</v>
      </c>
      <c r="AMP20">
        <v>6.8878599999999998E-2</v>
      </c>
      <c r="AMQ20">
        <v>4762</v>
      </c>
      <c r="AMR20">
        <v>3.1919400000000001E-2</v>
      </c>
      <c r="AMS20">
        <v>4762</v>
      </c>
      <c r="AMT20">
        <v>5.2498999999999997E-2</v>
      </c>
      <c r="AMU20">
        <v>4762</v>
      </c>
      <c r="AMV20">
        <v>0</v>
      </c>
      <c r="AMW20">
        <v>4762</v>
      </c>
      <c r="AMX20">
        <v>2.0369600000000002E-2</v>
      </c>
      <c r="AMY20">
        <v>10881</v>
      </c>
      <c r="AMZ20">
        <v>0.56235639999999998</v>
      </c>
      <c r="ANA20">
        <v>6119</v>
      </c>
      <c r="ANB20">
        <v>0</v>
      </c>
      <c r="ANC20">
        <v>6119</v>
      </c>
      <c r="AND20">
        <v>6.1774799999999998E-2</v>
      </c>
      <c r="ANE20">
        <v>6119</v>
      </c>
      <c r="ANF20">
        <v>0.1096584</v>
      </c>
      <c r="ANG20">
        <v>6119</v>
      </c>
      <c r="ANH20">
        <v>0.2093479</v>
      </c>
      <c r="ANI20">
        <v>6119</v>
      </c>
      <c r="ANJ20">
        <v>6.4716499999999996E-2</v>
      </c>
      <c r="ANK20">
        <v>6119</v>
      </c>
      <c r="ANL20">
        <v>6.3082200000000005E-2</v>
      </c>
      <c r="ANM20">
        <v>6119</v>
      </c>
      <c r="ANN20">
        <v>0.112927</v>
      </c>
      <c r="ANO20">
        <v>6119</v>
      </c>
      <c r="ANP20">
        <v>7.86076E-2</v>
      </c>
      <c r="ANQ20">
        <v>6119</v>
      </c>
      <c r="ANR20">
        <v>3.0070300000000001E-2</v>
      </c>
      <c r="ANS20">
        <v>6119</v>
      </c>
      <c r="ANT20">
        <v>2.8272599999999998E-2</v>
      </c>
      <c r="ANU20">
        <v>6119</v>
      </c>
      <c r="ANV20">
        <v>0.10034319999999999</v>
      </c>
      <c r="ANW20">
        <v>6119</v>
      </c>
      <c r="ANX20">
        <v>9.4786700000000002E-2</v>
      </c>
      <c r="ANY20">
        <v>6119</v>
      </c>
      <c r="ANZ20">
        <v>0</v>
      </c>
      <c r="AOA20">
        <v>6119</v>
      </c>
      <c r="AOB20">
        <v>4.6412799999999997E-2</v>
      </c>
      <c r="AOC20">
        <v>200236</v>
      </c>
      <c r="AOD20">
        <v>7.4217400000000003E-2</v>
      </c>
      <c r="AOE20">
        <v>14861</v>
      </c>
      <c r="AOF20">
        <v>0</v>
      </c>
      <c r="AOG20">
        <v>14861</v>
      </c>
      <c r="AOH20">
        <v>0</v>
      </c>
      <c r="AOI20">
        <v>14861</v>
      </c>
      <c r="AOJ20">
        <v>0</v>
      </c>
      <c r="AOK20">
        <v>14861</v>
      </c>
      <c r="AOL20">
        <v>0</v>
      </c>
      <c r="AOM20">
        <v>14861</v>
      </c>
      <c r="AON20">
        <v>0</v>
      </c>
      <c r="AOO20">
        <v>14861</v>
      </c>
      <c r="AOP20">
        <v>2.4359100000000002E-2</v>
      </c>
      <c r="AOQ20">
        <v>14861</v>
      </c>
      <c r="AOR20">
        <v>9.7570999999999995E-3</v>
      </c>
      <c r="AOS20">
        <v>14861</v>
      </c>
      <c r="AOT20">
        <v>0</v>
      </c>
      <c r="AOU20">
        <v>14861</v>
      </c>
      <c r="AOV20">
        <v>2.1869300000000001E-2</v>
      </c>
      <c r="AOW20">
        <v>14861</v>
      </c>
      <c r="AOX20">
        <v>7.3884699999999998E-2</v>
      </c>
      <c r="AOY20">
        <v>14861</v>
      </c>
      <c r="AOZ20">
        <v>7.9604300000000003E-2</v>
      </c>
      <c r="APA20">
        <v>14861</v>
      </c>
      <c r="APB20">
        <v>0.27003569999999999</v>
      </c>
      <c r="APC20">
        <v>14861</v>
      </c>
      <c r="APD20">
        <v>0.29836479999999999</v>
      </c>
      <c r="APE20">
        <v>14861</v>
      </c>
      <c r="APF20">
        <v>0.22212499999999999</v>
      </c>
      <c r="APG20">
        <v>200236</v>
      </c>
      <c r="APH20">
        <v>9.9976999999999996E-2</v>
      </c>
      <c r="API20">
        <v>20019</v>
      </c>
      <c r="APJ20">
        <v>0</v>
      </c>
      <c r="APK20">
        <v>20019</v>
      </c>
      <c r="APL20">
        <v>0</v>
      </c>
      <c r="APM20">
        <v>20019</v>
      </c>
      <c r="APN20">
        <v>6.3939000000000001E-3</v>
      </c>
      <c r="APO20">
        <v>20019</v>
      </c>
      <c r="APP20">
        <v>1.64843E-2</v>
      </c>
      <c r="APQ20">
        <v>20019</v>
      </c>
      <c r="APR20">
        <v>9.9755200000000002E-2</v>
      </c>
      <c r="APS20">
        <v>20019</v>
      </c>
      <c r="APT20">
        <v>3.8863099999999998E-2</v>
      </c>
      <c r="APU20">
        <v>20019</v>
      </c>
      <c r="APV20">
        <v>0.1509566</v>
      </c>
      <c r="APW20">
        <v>20019</v>
      </c>
      <c r="APX20">
        <v>0.20470550000000001</v>
      </c>
      <c r="APY20">
        <v>20019</v>
      </c>
      <c r="APZ20">
        <v>0.12817819999999999</v>
      </c>
      <c r="AQA20">
        <v>20019</v>
      </c>
      <c r="AQB20">
        <v>8.78665E-2</v>
      </c>
      <c r="AQC20">
        <v>20019</v>
      </c>
      <c r="AQD20">
        <v>9.5359399999999997E-2</v>
      </c>
      <c r="AQE20">
        <v>20019</v>
      </c>
      <c r="AQF20">
        <v>0.11374190000000001</v>
      </c>
      <c r="AQG20">
        <v>20019</v>
      </c>
      <c r="AQH20">
        <v>5.0402099999999998E-2</v>
      </c>
      <c r="AQI20">
        <v>20019</v>
      </c>
      <c r="AQJ20">
        <v>7.2931000000000003E-3</v>
      </c>
      <c r="AQK20">
        <v>64077</v>
      </c>
      <c r="AQL20">
        <v>0.18931909999999999</v>
      </c>
      <c r="AQM20">
        <v>168340</v>
      </c>
      <c r="AQN20">
        <v>0.72818110000000003</v>
      </c>
      <c r="AQO20">
        <v>122582</v>
      </c>
      <c r="AQP20">
        <v>0.77876849999999997</v>
      </c>
      <c r="AQQ20">
        <v>95463</v>
      </c>
      <c r="AQR20">
        <v>0.87103900000000001</v>
      </c>
      <c r="AQS20">
        <v>83152</v>
      </c>
      <c r="AQT20">
        <v>0.45246059999999999</v>
      </c>
      <c r="AQU20">
        <v>83152</v>
      </c>
      <c r="AQV20">
        <v>0.54753949999999996</v>
      </c>
      <c r="AQW20">
        <v>95463</v>
      </c>
      <c r="AQX20">
        <v>0.12896099999999999</v>
      </c>
      <c r="AQY20">
        <v>12311</v>
      </c>
      <c r="AQZ20">
        <v>0.32369429999999999</v>
      </c>
      <c r="ARA20">
        <v>3985</v>
      </c>
      <c r="ARB20">
        <v>0.36185699999999998</v>
      </c>
      <c r="ARC20">
        <v>3985</v>
      </c>
      <c r="ARD20">
        <v>0.63814309999999996</v>
      </c>
      <c r="ARE20">
        <v>12311</v>
      </c>
      <c r="ARF20">
        <v>0.67630579999999996</v>
      </c>
      <c r="ARG20">
        <v>8326</v>
      </c>
      <c r="ARH20">
        <v>0.41304350000000001</v>
      </c>
      <c r="ARI20">
        <v>8326</v>
      </c>
      <c r="ARJ20">
        <v>0.58695649999999999</v>
      </c>
      <c r="ARK20">
        <v>122582</v>
      </c>
      <c r="ARL20">
        <v>0.2212315</v>
      </c>
      <c r="ARM20">
        <v>168340</v>
      </c>
      <c r="ARN20">
        <v>0.27181889999999997</v>
      </c>
      <c r="ARO20">
        <v>45758</v>
      </c>
      <c r="ARP20">
        <v>0.68713670000000004</v>
      </c>
      <c r="ARQ20">
        <v>31442</v>
      </c>
      <c r="ARR20">
        <v>0.47016730000000001</v>
      </c>
      <c r="ARS20">
        <v>14783</v>
      </c>
      <c r="ART20">
        <v>0.71764859999999997</v>
      </c>
      <c r="ARU20">
        <v>14783</v>
      </c>
      <c r="ARV20">
        <v>0.28235130000000003</v>
      </c>
      <c r="ARW20">
        <v>31442</v>
      </c>
      <c r="ARX20">
        <v>0.52983270000000005</v>
      </c>
      <c r="ARY20">
        <v>16659</v>
      </c>
      <c r="ARZ20">
        <v>0.2747464</v>
      </c>
      <c r="ASA20">
        <v>4577</v>
      </c>
      <c r="ASB20">
        <v>0.49639499999999998</v>
      </c>
      <c r="ASC20">
        <v>4577</v>
      </c>
      <c r="ASD20">
        <v>0.50360499999999997</v>
      </c>
      <c r="ASE20">
        <v>16659</v>
      </c>
      <c r="ASF20">
        <v>0.72525360000000005</v>
      </c>
      <c r="ASG20">
        <v>12082</v>
      </c>
      <c r="ASH20">
        <v>0.71941730000000004</v>
      </c>
      <c r="ASI20">
        <v>12082</v>
      </c>
      <c r="ASJ20">
        <v>0.28058270000000002</v>
      </c>
      <c r="ASK20">
        <v>45758</v>
      </c>
      <c r="ASL20">
        <v>0.31286330000000001</v>
      </c>
      <c r="ASM20">
        <v>171620</v>
      </c>
      <c r="ASN20">
        <v>0.57525349999999997</v>
      </c>
      <c r="ASO20">
        <v>98725</v>
      </c>
      <c r="ASP20">
        <v>0.33779690000000001</v>
      </c>
      <c r="ASQ20">
        <v>33349</v>
      </c>
      <c r="ASR20">
        <v>0.59911840000000005</v>
      </c>
      <c r="ASS20">
        <v>19980</v>
      </c>
      <c r="AST20">
        <v>0.75395389999999995</v>
      </c>
      <c r="ASU20">
        <v>19980</v>
      </c>
      <c r="ASV20">
        <v>0.24604609999999999</v>
      </c>
      <c r="ASW20">
        <v>33349</v>
      </c>
      <c r="ASX20">
        <v>0.19628780000000001</v>
      </c>
      <c r="ASY20">
        <v>6546</v>
      </c>
      <c r="ASZ20">
        <v>0.43293609999999999</v>
      </c>
      <c r="ATA20">
        <v>6546</v>
      </c>
      <c r="ATB20">
        <v>0.51909570000000005</v>
      </c>
      <c r="ATC20">
        <v>6546</v>
      </c>
      <c r="ATD20">
        <v>4.7968200000000003E-2</v>
      </c>
      <c r="ATE20">
        <v>33349</v>
      </c>
      <c r="ATF20">
        <v>0.13844490000000001</v>
      </c>
      <c r="ATG20">
        <v>4617</v>
      </c>
      <c r="ATH20">
        <v>0.1241066</v>
      </c>
      <c r="ATI20">
        <v>4617</v>
      </c>
      <c r="ATJ20">
        <v>0.22503790000000001</v>
      </c>
      <c r="ATK20">
        <v>4617</v>
      </c>
      <c r="ATL20">
        <v>0.54429280000000002</v>
      </c>
      <c r="ATM20">
        <v>4617</v>
      </c>
      <c r="ATN20">
        <v>0.1065627</v>
      </c>
      <c r="ATO20">
        <v>33349</v>
      </c>
      <c r="ATP20">
        <v>6.6148899999999997E-2</v>
      </c>
      <c r="ATQ20">
        <v>2206</v>
      </c>
      <c r="ATR20">
        <v>0.80870350000000002</v>
      </c>
      <c r="ATS20">
        <v>2206</v>
      </c>
      <c r="ATT20">
        <v>0.19129650000000001</v>
      </c>
      <c r="ATU20">
        <v>98725</v>
      </c>
      <c r="ATV20">
        <v>0.11315269999999999</v>
      </c>
      <c r="ATW20">
        <v>11171</v>
      </c>
      <c r="ATX20">
        <v>6.4810699999999999E-2</v>
      </c>
      <c r="ATY20">
        <v>11171</v>
      </c>
      <c r="ATZ20">
        <v>0.25226029999999999</v>
      </c>
      <c r="AUA20">
        <v>2818</v>
      </c>
      <c r="AUB20">
        <v>0.4918382</v>
      </c>
      <c r="AUC20">
        <v>2818</v>
      </c>
      <c r="AUD20">
        <v>0.5081618</v>
      </c>
      <c r="AUE20">
        <v>11171</v>
      </c>
      <c r="AUF20">
        <v>0.2312237</v>
      </c>
      <c r="AUG20">
        <v>11171</v>
      </c>
      <c r="AUH20">
        <v>0.38886399999999999</v>
      </c>
      <c r="AUI20">
        <v>11171</v>
      </c>
      <c r="AUJ20">
        <v>6.2841300000000003E-2</v>
      </c>
      <c r="AUK20">
        <v>98725</v>
      </c>
      <c r="AUL20">
        <v>0.20912639999999999</v>
      </c>
      <c r="AUM20">
        <v>20646</v>
      </c>
      <c r="AUN20">
        <v>0.6511673</v>
      </c>
      <c r="AUO20">
        <v>20646</v>
      </c>
      <c r="AUP20">
        <v>0.3488327</v>
      </c>
      <c r="AUQ20">
        <v>98725</v>
      </c>
      <c r="AUR20">
        <v>9.9346699999999996E-2</v>
      </c>
      <c r="AUS20">
        <v>9808</v>
      </c>
      <c r="AUT20">
        <v>2.7120700000000001E-2</v>
      </c>
      <c r="AUU20">
        <v>9808</v>
      </c>
      <c r="AUV20">
        <v>0.50988990000000001</v>
      </c>
      <c r="AUW20">
        <v>9808</v>
      </c>
      <c r="AUX20">
        <v>0.4629894</v>
      </c>
      <c r="AUY20">
        <v>98725</v>
      </c>
      <c r="AUZ20">
        <v>0.2405774</v>
      </c>
      <c r="AVA20">
        <v>23751</v>
      </c>
      <c r="AVB20">
        <v>0.52759889999999998</v>
      </c>
      <c r="AVC20">
        <v>23751</v>
      </c>
      <c r="AVD20">
        <v>0.26116790000000001</v>
      </c>
      <c r="AVE20">
        <v>23751</v>
      </c>
      <c r="AVF20">
        <v>0.21123320000000001</v>
      </c>
      <c r="AVG20">
        <v>171620</v>
      </c>
      <c r="AVH20">
        <v>0.42474650000000003</v>
      </c>
      <c r="AVI20">
        <v>72895</v>
      </c>
      <c r="AVJ20">
        <v>0.39249600000000001</v>
      </c>
      <c r="AVK20">
        <v>28611</v>
      </c>
      <c r="AVL20">
        <v>0.39673550000000002</v>
      </c>
      <c r="AVM20">
        <v>11351</v>
      </c>
      <c r="AVN20">
        <v>0.59113729999999998</v>
      </c>
      <c r="AVO20">
        <v>11351</v>
      </c>
      <c r="AVP20">
        <v>0.40886270000000002</v>
      </c>
      <c r="AVQ20">
        <v>28611</v>
      </c>
      <c r="AVR20">
        <v>6.6373100000000004E-2</v>
      </c>
      <c r="AVS20">
        <v>1899</v>
      </c>
      <c r="AVT20">
        <v>0.55502899999999999</v>
      </c>
      <c r="AVU20">
        <v>1899</v>
      </c>
      <c r="AVV20">
        <v>0.31174299999999999</v>
      </c>
      <c r="AVW20">
        <v>1899</v>
      </c>
      <c r="AVX20">
        <v>0.13322800000000001</v>
      </c>
      <c r="AVY20">
        <v>28611</v>
      </c>
      <c r="AVZ20">
        <v>0.3522421</v>
      </c>
      <c r="AWA20">
        <v>10078</v>
      </c>
      <c r="AWB20">
        <v>0.14923600000000001</v>
      </c>
      <c r="AWC20">
        <v>10078</v>
      </c>
      <c r="AWD20">
        <v>0.11371299999999999</v>
      </c>
      <c r="AWE20">
        <v>10078</v>
      </c>
      <c r="AWF20">
        <v>0.59069260000000001</v>
      </c>
      <c r="AWG20">
        <v>10078</v>
      </c>
      <c r="AWH20">
        <v>0.1463584</v>
      </c>
      <c r="AWI20">
        <v>28611</v>
      </c>
      <c r="AWJ20">
        <v>0.18464929999999999</v>
      </c>
      <c r="AWK20">
        <v>5283</v>
      </c>
      <c r="AWL20">
        <v>0.65171299999999999</v>
      </c>
      <c r="AWM20">
        <v>5283</v>
      </c>
      <c r="AWN20">
        <v>0.34828700000000001</v>
      </c>
      <c r="AWO20">
        <v>72895</v>
      </c>
      <c r="AWP20">
        <v>0.15519579999999999</v>
      </c>
      <c r="AWQ20">
        <v>11313</v>
      </c>
      <c r="AWR20">
        <v>0.19066559999999999</v>
      </c>
      <c r="AWS20">
        <v>11313</v>
      </c>
      <c r="AWT20">
        <v>4.6583600000000003E-2</v>
      </c>
      <c r="AWU20">
        <v>527</v>
      </c>
      <c r="AWV20">
        <v>0.69829220000000003</v>
      </c>
      <c r="AWW20">
        <v>527</v>
      </c>
      <c r="AWX20">
        <v>0.30170780000000003</v>
      </c>
      <c r="AWY20">
        <v>11313</v>
      </c>
      <c r="AWZ20">
        <v>0.2968267</v>
      </c>
      <c r="AXA20">
        <v>11313</v>
      </c>
      <c r="AXB20">
        <v>0.21064260000000001</v>
      </c>
      <c r="AXC20">
        <v>11313</v>
      </c>
      <c r="AXD20">
        <v>0.25528149999999999</v>
      </c>
      <c r="AXE20">
        <v>72895</v>
      </c>
      <c r="AXF20">
        <v>0.34824060000000001</v>
      </c>
      <c r="AXG20">
        <v>25385</v>
      </c>
      <c r="AXH20">
        <v>0.2162694</v>
      </c>
      <c r="AXI20">
        <v>25385</v>
      </c>
      <c r="AXJ20">
        <v>0.78373060000000005</v>
      </c>
      <c r="AXK20">
        <v>72895</v>
      </c>
      <c r="AXL20">
        <v>5.6382000000000003E-3</v>
      </c>
      <c r="AXM20">
        <v>411</v>
      </c>
      <c r="AXN20">
        <v>0</v>
      </c>
      <c r="AXO20">
        <v>411</v>
      </c>
      <c r="AXP20">
        <v>0</v>
      </c>
      <c r="AXQ20">
        <v>411</v>
      </c>
      <c r="AXR20">
        <v>1</v>
      </c>
      <c r="AXS20">
        <v>72895</v>
      </c>
      <c r="AXT20">
        <v>9.8429199999999994E-2</v>
      </c>
      <c r="AXU20">
        <v>7175</v>
      </c>
      <c r="AXV20">
        <v>0.73533099999999996</v>
      </c>
      <c r="AXW20">
        <v>7175</v>
      </c>
      <c r="AXX20">
        <v>9.9512199999999995E-2</v>
      </c>
      <c r="AXY20">
        <v>7175</v>
      </c>
      <c r="AXZ20">
        <v>0.16515679999999999</v>
      </c>
      <c r="AYA20">
        <v>23291</v>
      </c>
      <c r="AYB20">
        <v>5.0577499999999997E-2</v>
      </c>
      <c r="AYC20">
        <v>23291</v>
      </c>
      <c r="AYD20">
        <v>0.18771199999999999</v>
      </c>
      <c r="AYE20">
        <v>23291</v>
      </c>
      <c r="AYF20">
        <v>0.34919070000000002</v>
      </c>
      <c r="AYG20">
        <v>23291</v>
      </c>
      <c r="AYH20">
        <v>0.33566610000000002</v>
      </c>
      <c r="AYI20">
        <v>23291</v>
      </c>
      <c r="AYJ20">
        <v>3.52926E-2</v>
      </c>
      <c r="AYK20">
        <v>23291</v>
      </c>
      <c r="AYL20">
        <v>4.1561099999999997E-2</v>
      </c>
      <c r="AYM20">
        <v>23291</v>
      </c>
      <c r="AYN20">
        <v>0</v>
      </c>
      <c r="AYO20">
        <v>34427</v>
      </c>
      <c r="AYP20">
        <v>0.16089120000000001</v>
      </c>
      <c r="AYQ20">
        <v>34427</v>
      </c>
      <c r="AYR20">
        <v>9.5883999999999997E-2</v>
      </c>
      <c r="AYS20">
        <v>34427</v>
      </c>
      <c r="AYT20">
        <v>0.2144247</v>
      </c>
      <c r="AYU20">
        <v>34427</v>
      </c>
      <c r="AYV20">
        <v>0.2125948</v>
      </c>
      <c r="AYW20">
        <v>34427</v>
      </c>
      <c r="AYX20">
        <v>7.55802E-2</v>
      </c>
      <c r="AYY20">
        <v>34427</v>
      </c>
      <c r="AYZ20">
        <v>0.17431089999999999</v>
      </c>
      <c r="AZA20">
        <v>34427</v>
      </c>
      <c r="AZB20">
        <v>6.6314200000000004E-2</v>
      </c>
      <c r="AZC20">
        <v>38349</v>
      </c>
      <c r="AZD20">
        <v>0.10792980000000001</v>
      </c>
      <c r="AZE20">
        <v>38349</v>
      </c>
      <c r="AZF20">
        <v>9.18929E-2</v>
      </c>
      <c r="AZG20">
        <v>38349</v>
      </c>
      <c r="AZH20">
        <v>0.2022999</v>
      </c>
      <c r="AZI20">
        <v>38349</v>
      </c>
      <c r="AZJ20">
        <v>0.18853159999999999</v>
      </c>
      <c r="AZK20">
        <v>38349</v>
      </c>
      <c r="AZL20">
        <v>6.9910600000000003E-2</v>
      </c>
      <c r="AZM20">
        <v>38349</v>
      </c>
      <c r="AZN20">
        <v>0.20136119999999999</v>
      </c>
      <c r="AZO20">
        <v>38349</v>
      </c>
      <c r="AZP20">
        <v>0.138074</v>
      </c>
      <c r="AZQ20">
        <v>64193</v>
      </c>
      <c r="AZR20">
        <v>7.6316700000000001E-2</v>
      </c>
      <c r="AZS20">
        <v>64193</v>
      </c>
      <c r="AZT20">
        <v>5.68286E-2</v>
      </c>
      <c r="AZU20">
        <v>64193</v>
      </c>
      <c r="AZV20">
        <v>0.21785860000000001</v>
      </c>
      <c r="AZW20">
        <v>64193</v>
      </c>
      <c r="AZX20">
        <v>0.2181546</v>
      </c>
      <c r="AZY20">
        <v>64193</v>
      </c>
      <c r="AZZ20">
        <v>6.5708100000000005E-2</v>
      </c>
      <c r="BAA20">
        <v>64193</v>
      </c>
      <c r="BAB20">
        <v>0.2306482</v>
      </c>
      <c r="BAC20">
        <v>64193</v>
      </c>
      <c r="BAD20">
        <v>0.1344851</v>
      </c>
      <c r="BAE20">
        <v>22893</v>
      </c>
      <c r="BAF20">
        <v>0.1152754</v>
      </c>
      <c r="BAG20">
        <v>22893</v>
      </c>
      <c r="BAH20">
        <v>5.5431800000000003E-2</v>
      </c>
      <c r="BAI20">
        <v>22893</v>
      </c>
      <c r="BAJ20">
        <v>0.27798889999999998</v>
      </c>
      <c r="BAK20">
        <v>22893</v>
      </c>
      <c r="BAL20">
        <v>0.20735600000000001</v>
      </c>
      <c r="BAM20">
        <v>22893</v>
      </c>
      <c r="BAN20">
        <v>3.9924899999999999E-2</v>
      </c>
      <c r="BAO20">
        <v>22893</v>
      </c>
      <c r="BAP20">
        <v>0.1725855</v>
      </c>
      <c r="BAQ20">
        <v>22893</v>
      </c>
      <c r="BAR20">
        <v>0.13143759999999999</v>
      </c>
      <c r="BAS20">
        <v>21187</v>
      </c>
      <c r="BAT20">
        <v>1.4678800000000001E-2</v>
      </c>
      <c r="BAU20">
        <v>21187</v>
      </c>
      <c r="BAV20">
        <v>0.12932460000000001</v>
      </c>
      <c r="BAW20">
        <v>21187</v>
      </c>
      <c r="BAX20">
        <v>0.2754047</v>
      </c>
      <c r="BAY20">
        <v>21187</v>
      </c>
      <c r="BAZ20">
        <v>0.44900180000000001</v>
      </c>
      <c r="BBA20">
        <v>21187</v>
      </c>
      <c r="BBB20">
        <v>5.5316900000000002E-2</v>
      </c>
      <c r="BBC20">
        <v>21187</v>
      </c>
      <c r="BBD20">
        <v>7.2969300000000001E-2</v>
      </c>
      <c r="BBE20">
        <v>21187</v>
      </c>
      <c r="BBF20">
        <v>3.3038999999999998E-3</v>
      </c>
      <c r="BBG20">
        <v>33744</v>
      </c>
      <c r="BBH20">
        <v>5.4320800000000002E-2</v>
      </c>
      <c r="BBI20">
        <v>33744</v>
      </c>
      <c r="BBJ20">
        <v>0.16210289999999999</v>
      </c>
      <c r="BBK20">
        <v>33744</v>
      </c>
      <c r="BBL20">
        <v>0.17686109999999999</v>
      </c>
      <c r="BBM20">
        <v>33744</v>
      </c>
      <c r="BBN20">
        <v>0.17078589999999999</v>
      </c>
      <c r="BBO20">
        <v>33744</v>
      </c>
      <c r="BBP20">
        <v>7.7465599999999996E-2</v>
      </c>
      <c r="BBQ20">
        <v>33744</v>
      </c>
      <c r="BBR20">
        <v>0.24238380000000001</v>
      </c>
      <c r="BBS20">
        <v>33744</v>
      </c>
      <c r="BBT20">
        <v>0.1160799</v>
      </c>
      <c r="BBU20">
        <v>37840</v>
      </c>
      <c r="BBV20">
        <v>8.6099400000000006E-2</v>
      </c>
      <c r="BBW20">
        <v>37840</v>
      </c>
      <c r="BBX20">
        <v>5.9725199999999999E-2</v>
      </c>
      <c r="BBY20">
        <v>37840</v>
      </c>
      <c r="BBZ20">
        <v>0.2058932</v>
      </c>
      <c r="BCA20">
        <v>37840</v>
      </c>
      <c r="BCB20">
        <v>0.20026430000000001</v>
      </c>
      <c r="BCC20">
        <v>37840</v>
      </c>
      <c r="BCD20">
        <v>6.4085600000000006E-2</v>
      </c>
      <c r="BCE20">
        <v>37840</v>
      </c>
      <c r="BCF20">
        <v>0.26633190000000001</v>
      </c>
      <c r="BCG20">
        <v>37840</v>
      </c>
      <c r="BCH20">
        <v>0.11760039999999999</v>
      </c>
      <c r="BCI20">
        <v>66182</v>
      </c>
      <c r="BCJ20">
        <v>8.4720900000000002E-2</v>
      </c>
      <c r="BCK20">
        <v>66182</v>
      </c>
      <c r="BCL20">
        <v>3.1987500000000002E-2</v>
      </c>
      <c r="BCM20">
        <v>66182</v>
      </c>
      <c r="BCN20">
        <v>0.2523647</v>
      </c>
      <c r="BCO20">
        <v>66182</v>
      </c>
      <c r="BCP20">
        <v>0.24734819999999999</v>
      </c>
      <c r="BCQ20">
        <v>66182</v>
      </c>
      <c r="BCR20">
        <v>7.8918699999999994E-2</v>
      </c>
      <c r="BCS20">
        <v>66182</v>
      </c>
      <c r="BCT20">
        <v>0.18429480000000001</v>
      </c>
      <c r="BCU20">
        <v>66182</v>
      </c>
      <c r="BCV20">
        <v>0.1203651</v>
      </c>
      <c r="BCW20">
        <v>29189</v>
      </c>
      <c r="BCX20">
        <v>0.1190174</v>
      </c>
      <c r="BCY20">
        <v>29189</v>
      </c>
      <c r="BCZ20">
        <v>7.7940300000000004E-2</v>
      </c>
      <c r="BDA20">
        <v>29189</v>
      </c>
      <c r="BDB20">
        <v>0.36613109999999999</v>
      </c>
      <c r="BDC20">
        <v>29189</v>
      </c>
      <c r="BDD20">
        <v>0.1824317</v>
      </c>
      <c r="BDE20">
        <v>29189</v>
      </c>
      <c r="BDF20">
        <v>6.6429100000000005E-2</v>
      </c>
      <c r="BDG20">
        <v>29189</v>
      </c>
      <c r="BDH20">
        <v>0.11966839999999999</v>
      </c>
      <c r="BDI20">
        <v>29189</v>
      </c>
      <c r="BDJ20">
        <v>6.8381899999999995E-2</v>
      </c>
      <c r="BDK20">
        <v>124158</v>
      </c>
      <c r="BDL20">
        <v>4.7858400000000002E-2</v>
      </c>
      <c r="BDM20">
        <v>5942</v>
      </c>
      <c r="BDN20">
        <v>0.69286440000000005</v>
      </c>
      <c r="BDO20">
        <v>4117</v>
      </c>
      <c r="BDP20">
        <v>0.52708279999999996</v>
      </c>
      <c r="BDQ20">
        <v>4117</v>
      </c>
      <c r="BDR20">
        <v>0.47291719999999998</v>
      </c>
      <c r="BDS20">
        <v>5942</v>
      </c>
      <c r="BDT20">
        <v>0.30713560000000001</v>
      </c>
      <c r="BDU20">
        <v>1825</v>
      </c>
      <c r="BDV20">
        <v>0.55561640000000001</v>
      </c>
      <c r="BDW20">
        <v>1825</v>
      </c>
      <c r="BDX20">
        <v>0.44438359999999999</v>
      </c>
      <c r="BDY20">
        <v>124158</v>
      </c>
      <c r="BDZ20">
        <v>0.95214160000000003</v>
      </c>
      <c r="BEA20">
        <v>118216</v>
      </c>
      <c r="BEB20">
        <v>0.52409150000000004</v>
      </c>
      <c r="BEC20">
        <v>61956</v>
      </c>
      <c r="BED20">
        <v>0.74572280000000002</v>
      </c>
      <c r="BEE20">
        <v>61956</v>
      </c>
      <c r="BEF20">
        <v>0.25427719999999998</v>
      </c>
      <c r="BEG20">
        <v>118216</v>
      </c>
      <c r="BEH20">
        <v>0.47590850000000001</v>
      </c>
      <c r="BEI20">
        <v>56260</v>
      </c>
      <c r="BEJ20">
        <v>0.71935649999999995</v>
      </c>
      <c r="BEK20">
        <v>56260</v>
      </c>
      <c r="BEL20">
        <v>0.28064339999999999</v>
      </c>
      <c r="BEM20">
        <v>242268</v>
      </c>
      <c r="BEN20">
        <v>0.54382750000000002</v>
      </c>
      <c r="BEO20">
        <v>131752</v>
      </c>
      <c r="BEP20">
        <v>0.89003580000000004</v>
      </c>
      <c r="BEQ20">
        <v>117264</v>
      </c>
      <c r="BER20">
        <v>0.25017060000000002</v>
      </c>
      <c r="BES20">
        <v>117264</v>
      </c>
      <c r="BET20">
        <v>0.74982950000000004</v>
      </c>
      <c r="BEU20">
        <v>131752</v>
      </c>
      <c r="BEV20">
        <v>0.1099642</v>
      </c>
      <c r="BEW20">
        <v>242268</v>
      </c>
      <c r="BEX20">
        <v>0.45617249999999998</v>
      </c>
      <c r="BEY20">
        <v>110516</v>
      </c>
      <c r="BEZ20">
        <v>0.90703610000000001</v>
      </c>
      <c r="BFA20">
        <v>100242</v>
      </c>
      <c r="BFB20">
        <v>0.28736460000000003</v>
      </c>
      <c r="BFC20">
        <v>100242</v>
      </c>
      <c r="BFD20">
        <v>0.71263540000000003</v>
      </c>
      <c r="BFE20">
        <v>110516</v>
      </c>
      <c r="BFF20">
        <v>9.2963900000000002E-2</v>
      </c>
      <c r="BFG20">
        <v>259270</v>
      </c>
      <c r="BFH20">
        <v>0.29358200000000001</v>
      </c>
      <c r="BFI20">
        <v>76117</v>
      </c>
      <c r="BFJ20">
        <v>0.94985350000000002</v>
      </c>
      <c r="BFK20">
        <v>76117</v>
      </c>
      <c r="BFL20">
        <v>5.0146499999999997E-2</v>
      </c>
      <c r="BFM20">
        <v>3817</v>
      </c>
      <c r="BFN20">
        <v>0.17395859999999999</v>
      </c>
      <c r="BFO20">
        <v>3817</v>
      </c>
      <c r="BFP20">
        <v>0.82604140000000004</v>
      </c>
      <c r="BFQ20">
        <v>259270</v>
      </c>
      <c r="BFR20">
        <v>0.70641799999999999</v>
      </c>
      <c r="BFS20">
        <v>183153</v>
      </c>
      <c r="BFT20">
        <v>0.73304279999999999</v>
      </c>
      <c r="BFU20">
        <v>183153</v>
      </c>
      <c r="BFV20">
        <v>0.2669571</v>
      </c>
      <c r="BFW20">
        <v>48894</v>
      </c>
      <c r="BFX20">
        <v>0.34464349999999999</v>
      </c>
      <c r="BFY20">
        <v>48894</v>
      </c>
      <c r="BFZ20">
        <v>0.65535650000000001</v>
      </c>
      <c r="BGA20">
        <v>261001</v>
      </c>
      <c r="BGB20">
        <v>0.27915220000000002</v>
      </c>
      <c r="BGC20">
        <v>72859</v>
      </c>
      <c r="BGD20">
        <v>0.95725990000000005</v>
      </c>
      <c r="BGE20">
        <v>72859</v>
      </c>
      <c r="BGF20">
        <v>4.2740100000000003E-2</v>
      </c>
      <c r="BGG20">
        <v>3114</v>
      </c>
      <c r="BGH20">
        <v>9.5696900000000001E-2</v>
      </c>
      <c r="BGI20">
        <v>3114</v>
      </c>
      <c r="BGJ20">
        <v>0.90430310000000003</v>
      </c>
      <c r="BGK20">
        <v>261001</v>
      </c>
      <c r="BGL20">
        <v>0.72084780000000004</v>
      </c>
      <c r="BGM20">
        <v>188142</v>
      </c>
      <c r="BGN20">
        <v>0.756131</v>
      </c>
      <c r="BGO20">
        <v>188142</v>
      </c>
      <c r="BGP20">
        <v>0.243869</v>
      </c>
      <c r="BGQ20">
        <v>45882</v>
      </c>
      <c r="BGR20">
        <v>0.4026634</v>
      </c>
      <c r="BGS20">
        <v>45882</v>
      </c>
      <c r="BGT20">
        <v>0.5973366</v>
      </c>
    </row>
    <row r="21" spans="1:1554" x14ac:dyDescent="0.25">
      <c r="A21" t="s">
        <v>134</v>
      </c>
      <c r="B21">
        <v>2012</v>
      </c>
      <c r="C21">
        <v>1</v>
      </c>
      <c r="D21" t="s">
        <v>561</v>
      </c>
      <c r="E21">
        <v>62207</v>
      </c>
      <c r="F21">
        <v>0.48529909999999998</v>
      </c>
      <c r="G21">
        <v>30189</v>
      </c>
      <c r="H21">
        <v>0.13806350000000001</v>
      </c>
      <c r="I21">
        <v>30189</v>
      </c>
      <c r="J21">
        <v>2.5174700000000001E-2</v>
      </c>
      <c r="K21">
        <v>30189</v>
      </c>
      <c r="L21">
        <v>0.2148796</v>
      </c>
      <c r="M21">
        <v>30189</v>
      </c>
      <c r="N21">
        <v>9.5398999999999998E-2</v>
      </c>
      <c r="O21">
        <v>30189</v>
      </c>
      <c r="P21">
        <v>1.6462999999999998E-2</v>
      </c>
      <c r="Q21">
        <v>30189</v>
      </c>
      <c r="R21">
        <v>2.8818400000000001E-2</v>
      </c>
      <c r="S21">
        <v>30189</v>
      </c>
      <c r="T21">
        <v>6.4029900000000001E-2</v>
      </c>
      <c r="U21">
        <v>30189</v>
      </c>
      <c r="V21">
        <v>0.1031502</v>
      </c>
      <c r="W21">
        <v>30189</v>
      </c>
      <c r="X21">
        <v>0.15399650000000001</v>
      </c>
      <c r="Y21">
        <v>30189</v>
      </c>
      <c r="Z21">
        <v>7.8604800000000002E-2</v>
      </c>
      <c r="AA21">
        <v>30189</v>
      </c>
      <c r="AB21">
        <v>5.68088E-2</v>
      </c>
      <c r="AC21">
        <v>30189</v>
      </c>
      <c r="AD21">
        <v>1.11299E-2</v>
      </c>
      <c r="AE21">
        <v>30189</v>
      </c>
      <c r="AF21">
        <v>1.3481699999999999E-2</v>
      </c>
      <c r="AG21">
        <v>62207</v>
      </c>
      <c r="AH21">
        <v>0.51470090000000002</v>
      </c>
      <c r="AI21">
        <v>32018</v>
      </c>
      <c r="AJ21">
        <v>9.8350900000000005E-2</v>
      </c>
      <c r="AK21">
        <v>32018</v>
      </c>
      <c r="AL21">
        <v>3.0045599999999999E-2</v>
      </c>
      <c r="AM21">
        <v>32018</v>
      </c>
      <c r="AN21">
        <v>0.1372353</v>
      </c>
      <c r="AO21">
        <v>32018</v>
      </c>
      <c r="AP21">
        <v>3.8915600000000002E-2</v>
      </c>
      <c r="AQ21">
        <v>32018</v>
      </c>
      <c r="AR21">
        <v>1.2992699999999999E-2</v>
      </c>
      <c r="AS21">
        <v>32018</v>
      </c>
      <c r="AT21">
        <v>3.2544200000000002E-2</v>
      </c>
      <c r="AU21">
        <v>32018</v>
      </c>
      <c r="AV21">
        <v>0.119589</v>
      </c>
      <c r="AW21">
        <v>32018</v>
      </c>
      <c r="AX21">
        <v>0.20869509999999999</v>
      </c>
      <c r="AY21">
        <v>32018</v>
      </c>
      <c r="AZ21">
        <v>0.13489290000000001</v>
      </c>
      <c r="BA21">
        <v>32018</v>
      </c>
      <c r="BB21">
        <v>8.3265699999999998E-2</v>
      </c>
      <c r="BC21">
        <v>32018</v>
      </c>
      <c r="BD21">
        <v>4.8847500000000002E-2</v>
      </c>
      <c r="BE21">
        <v>32018</v>
      </c>
      <c r="BF21">
        <v>3.1451100000000003E-2</v>
      </c>
      <c r="BG21">
        <v>32018</v>
      </c>
      <c r="BH21">
        <v>2.3174500000000001E-2</v>
      </c>
      <c r="BI21">
        <v>453694</v>
      </c>
      <c r="BJ21">
        <v>0.50267139999999999</v>
      </c>
      <c r="BK21">
        <v>228059</v>
      </c>
      <c r="BL21">
        <v>6.6456500000000002E-2</v>
      </c>
      <c r="BM21">
        <v>228059</v>
      </c>
      <c r="BN21">
        <v>1.0470999999999999E-2</v>
      </c>
      <c r="BO21">
        <v>228059</v>
      </c>
      <c r="BP21">
        <v>9.3107499999999996E-2</v>
      </c>
      <c r="BQ21">
        <v>228059</v>
      </c>
      <c r="BR21">
        <v>4.0107999999999998E-2</v>
      </c>
      <c r="BS21">
        <v>228059</v>
      </c>
      <c r="BT21">
        <v>1.5671399999999999E-2</v>
      </c>
      <c r="BU21">
        <v>228059</v>
      </c>
      <c r="BV21">
        <v>3.3315900000000002E-2</v>
      </c>
      <c r="BW21">
        <v>228059</v>
      </c>
      <c r="BX21">
        <v>9.3708200000000005E-2</v>
      </c>
      <c r="BY21">
        <v>228059</v>
      </c>
      <c r="BZ21">
        <v>0.12965070000000001</v>
      </c>
      <c r="CA21">
        <v>228059</v>
      </c>
      <c r="CB21">
        <v>0.14482220000000001</v>
      </c>
      <c r="CC21">
        <v>228059</v>
      </c>
      <c r="CD21">
        <v>0.15412239999999999</v>
      </c>
      <c r="CE21">
        <v>228059</v>
      </c>
      <c r="CF21">
        <v>0.1149527</v>
      </c>
      <c r="CG21">
        <v>228059</v>
      </c>
      <c r="CH21">
        <v>6.4342999999999997E-2</v>
      </c>
      <c r="CI21">
        <v>228059</v>
      </c>
      <c r="CJ21">
        <v>3.92705E-2</v>
      </c>
      <c r="CK21">
        <v>453694</v>
      </c>
      <c r="CL21">
        <v>0.49732860000000001</v>
      </c>
      <c r="CM21">
        <v>225635</v>
      </c>
      <c r="CN21">
        <v>6.3895199999999999E-2</v>
      </c>
      <c r="CO21">
        <v>225635</v>
      </c>
      <c r="CP21">
        <v>1.5875199999999999E-2</v>
      </c>
      <c r="CQ21">
        <v>225635</v>
      </c>
      <c r="CR21">
        <v>8.5740200000000003E-2</v>
      </c>
      <c r="CS21">
        <v>225635</v>
      </c>
      <c r="CT21">
        <v>4.7554699999999998E-2</v>
      </c>
      <c r="CU21">
        <v>225635</v>
      </c>
      <c r="CV21">
        <v>1.20815E-2</v>
      </c>
      <c r="CW21">
        <v>225635</v>
      </c>
      <c r="CX21">
        <v>3.5553000000000001E-2</v>
      </c>
      <c r="CY21">
        <v>225635</v>
      </c>
      <c r="CZ21">
        <v>7.4562900000000001E-2</v>
      </c>
      <c r="DA21">
        <v>225635</v>
      </c>
      <c r="DB21">
        <v>0.114734</v>
      </c>
      <c r="DC21">
        <v>225635</v>
      </c>
      <c r="DD21">
        <v>0.1492588</v>
      </c>
      <c r="DE21">
        <v>225635</v>
      </c>
      <c r="DF21">
        <v>0.1522104</v>
      </c>
      <c r="DG21">
        <v>225635</v>
      </c>
      <c r="DH21">
        <v>0.1225253</v>
      </c>
      <c r="DI21">
        <v>225635</v>
      </c>
      <c r="DJ21">
        <v>6.9173700000000005E-2</v>
      </c>
      <c r="DK21">
        <v>225635</v>
      </c>
      <c r="DL21">
        <v>5.6835200000000002E-2</v>
      </c>
      <c r="DM21">
        <v>327153</v>
      </c>
      <c r="DN21">
        <v>9.0398099999999995E-2</v>
      </c>
      <c r="DO21">
        <v>29574</v>
      </c>
      <c r="DP21">
        <v>0.42584699999999998</v>
      </c>
      <c r="DQ21">
        <v>160185</v>
      </c>
      <c r="DR21">
        <v>7.86216E-2</v>
      </c>
      <c r="DS21">
        <v>12594</v>
      </c>
      <c r="DT21">
        <v>0.4421947</v>
      </c>
      <c r="DU21">
        <v>28628</v>
      </c>
      <c r="DV21">
        <v>0.1945298</v>
      </c>
      <c r="DW21">
        <v>12594</v>
      </c>
      <c r="DX21">
        <v>0.2051771</v>
      </c>
      <c r="DY21">
        <v>37599</v>
      </c>
      <c r="DZ21">
        <v>6.87252E-2</v>
      </c>
      <c r="EA21">
        <v>12594</v>
      </c>
      <c r="EB21">
        <v>0.2229633</v>
      </c>
      <c r="EC21">
        <v>42723</v>
      </c>
      <c r="ED21">
        <v>6.5725699999999998E-2</v>
      </c>
      <c r="EE21">
        <v>12594</v>
      </c>
      <c r="EF21">
        <v>0.1296649</v>
      </c>
      <c r="EG21">
        <v>51235</v>
      </c>
      <c r="EH21">
        <v>3.1872699999999997E-2</v>
      </c>
      <c r="EI21">
        <v>29574</v>
      </c>
      <c r="EJ21">
        <v>0.57415289999999997</v>
      </c>
      <c r="EK21">
        <v>166968</v>
      </c>
      <c r="EL21">
        <v>0.1016961</v>
      </c>
      <c r="EM21">
        <v>16980</v>
      </c>
      <c r="EN21">
        <v>0.36177860000000001</v>
      </c>
      <c r="EO21">
        <v>26908</v>
      </c>
      <c r="EP21">
        <v>0.22829640000000001</v>
      </c>
      <c r="EQ21">
        <v>16980</v>
      </c>
      <c r="ER21">
        <v>0.33156649999999999</v>
      </c>
      <c r="ES21">
        <v>41091</v>
      </c>
      <c r="ET21">
        <v>0.137013</v>
      </c>
      <c r="EU21">
        <v>16980</v>
      </c>
      <c r="EV21">
        <v>0.20541809999999999</v>
      </c>
      <c r="EW21">
        <v>46333</v>
      </c>
      <c r="EX21">
        <v>7.5281100000000004E-2</v>
      </c>
      <c r="EY21">
        <v>16980</v>
      </c>
      <c r="EZ21">
        <v>0.1012367</v>
      </c>
      <c r="FA21">
        <v>52636</v>
      </c>
      <c r="FB21">
        <v>3.2658300000000001E-2</v>
      </c>
      <c r="FC21">
        <v>327153</v>
      </c>
      <c r="FD21">
        <v>0.90960189999999996</v>
      </c>
      <c r="FE21">
        <v>297579</v>
      </c>
      <c r="FF21">
        <v>0.49597249999999998</v>
      </c>
      <c r="FG21">
        <v>160185</v>
      </c>
      <c r="FH21">
        <v>0.92137840000000004</v>
      </c>
      <c r="FI21">
        <v>147591</v>
      </c>
      <c r="FJ21">
        <v>0.15623580000000001</v>
      </c>
      <c r="FK21">
        <v>28628</v>
      </c>
      <c r="FL21">
        <v>0.80547020000000003</v>
      </c>
      <c r="FM21">
        <v>147591</v>
      </c>
      <c r="FN21">
        <v>0.2372435</v>
      </c>
      <c r="FO21">
        <v>37599</v>
      </c>
      <c r="FP21">
        <v>0.93127479999999996</v>
      </c>
      <c r="FQ21">
        <v>147591</v>
      </c>
      <c r="FR21">
        <v>0.2704433</v>
      </c>
      <c r="FS21">
        <v>42723</v>
      </c>
      <c r="FT21">
        <v>0.9342743</v>
      </c>
      <c r="FU21">
        <v>147591</v>
      </c>
      <c r="FV21">
        <v>0.33607740000000003</v>
      </c>
      <c r="FW21">
        <v>51235</v>
      </c>
      <c r="FX21">
        <v>0.96812730000000002</v>
      </c>
      <c r="FY21">
        <v>297579</v>
      </c>
      <c r="FZ21">
        <v>0.50402749999999996</v>
      </c>
      <c r="GA21">
        <v>166968</v>
      </c>
      <c r="GB21">
        <v>0.89830390000000004</v>
      </c>
      <c r="GC21">
        <v>149988</v>
      </c>
      <c r="GD21">
        <v>0.1384444</v>
      </c>
      <c r="GE21">
        <v>26908</v>
      </c>
      <c r="GF21">
        <v>0.77170360000000005</v>
      </c>
      <c r="GG21">
        <v>149988</v>
      </c>
      <c r="GH21">
        <v>0.23642560000000001</v>
      </c>
      <c r="GI21">
        <v>41091</v>
      </c>
      <c r="GJ21">
        <v>0.86298699999999995</v>
      </c>
      <c r="GK21">
        <v>149988</v>
      </c>
      <c r="GL21">
        <v>0.28565620000000003</v>
      </c>
      <c r="GM21">
        <v>46333</v>
      </c>
      <c r="GN21">
        <v>0.92471890000000001</v>
      </c>
      <c r="GO21">
        <v>149988</v>
      </c>
      <c r="GP21">
        <v>0.33947379999999999</v>
      </c>
      <c r="GQ21">
        <v>52636</v>
      </c>
      <c r="GR21">
        <v>0.96734169999999997</v>
      </c>
      <c r="GS21">
        <v>388642</v>
      </c>
      <c r="GT21">
        <v>9.5841399999999993E-2</v>
      </c>
      <c r="GU21">
        <v>37248</v>
      </c>
      <c r="GV21">
        <v>0.41336450000000002</v>
      </c>
      <c r="GW21">
        <v>15397</v>
      </c>
      <c r="GX21">
        <v>0.21530170000000001</v>
      </c>
      <c r="GY21">
        <v>15397</v>
      </c>
      <c r="GZ21">
        <v>0.41326230000000003</v>
      </c>
      <c r="HA21">
        <v>15397</v>
      </c>
      <c r="HB21">
        <v>0.37143599999999999</v>
      </c>
      <c r="HC21">
        <v>15397</v>
      </c>
      <c r="HD21">
        <v>0.73345459999999996</v>
      </c>
      <c r="HE21">
        <v>15397</v>
      </c>
      <c r="HF21">
        <v>0.26654539999999999</v>
      </c>
      <c r="HG21">
        <v>11293</v>
      </c>
      <c r="HH21">
        <v>0.69414679999999995</v>
      </c>
      <c r="HI21">
        <v>11293</v>
      </c>
      <c r="HJ21">
        <v>0.30585319999999999</v>
      </c>
      <c r="HK21">
        <v>37248</v>
      </c>
      <c r="HL21">
        <v>0.58663549999999998</v>
      </c>
      <c r="HM21">
        <v>21851</v>
      </c>
      <c r="HN21">
        <v>0.10113949999999999</v>
      </c>
      <c r="HO21">
        <v>21851</v>
      </c>
      <c r="HP21">
        <v>0.34250150000000001</v>
      </c>
      <c r="HQ21">
        <v>21851</v>
      </c>
      <c r="HR21">
        <v>0.55635900000000005</v>
      </c>
      <c r="HS21">
        <v>21851</v>
      </c>
      <c r="HT21">
        <v>0.51576580000000005</v>
      </c>
      <c r="HU21">
        <v>21851</v>
      </c>
      <c r="HV21">
        <v>0.4842341</v>
      </c>
      <c r="HW21">
        <v>11270</v>
      </c>
      <c r="HX21">
        <v>0.63274180000000002</v>
      </c>
      <c r="HY21">
        <v>11270</v>
      </c>
      <c r="HZ21">
        <v>0.36725819999999998</v>
      </c>
      <c r="IA21">
        <v>388642</v>
      </c>
      <c r="IB21">
        <v>0.90415860000000003</v>
      </c>
      <c r="IC21">
        <v>351394</v>
      </c>
      <c r="ID21">
        <v>0.50245589999999996</v>
      </c>
      <c r="IE21">
        <v>176560</v>
      </c>
      <c r="IF21">
        <v>0.55457630000000002</v>
      </c>
      <c r="IG21">
        <v>176560</v>
      </c>
      <c r="IH21">
        <v>0.23909720000000001</v>
      </c>
      <c r="II21">
        <v>176560</v>
      </c>
      <c r="IJ21">
        <v>0.2063265</v>
      </c>
      <c r="IK21">
        <v>176381</v>
      </c>
      <c r="IL21">
        <v>0.78718790000000005</v>
      </c>
      <c r="IM21">
        <v>176381</v>
      </c>
      <c r="IN21">
        <v>0.212812</v>
      </c>
      <c r="IO21">
        <v>138845</v>
      </c>
      <c r="IP21">
        <v>0.92703369999999996</v>
      </c>
      <c r="IQ21">
        <v>138845</v>
      </c>
      <c r="IR21">
        <v>7.2966299999999998E-2</v>
      </c>
      <c r="IS21">
        <v>351394</v>
      </c>
      <c r="IT21">
        <v>0.49754409999999999</v>
      </c>
      <c r="IU21">
        <v>174834</v>
      </c>
      <c r="IV21">
        <v>0.38102429999999998</v>
      </c>
      <c r="IW21">
        <v>174834</v>
      </c>
      <c r="IX21">
        <v>0.270897</v>
      </c>
      <c r="IY21">
        <v>174834</v>
      </c>
      <c r="IZ21">
        <v>0.34807880000000002</v>
      </c>
      <c r="JA21">
        <v>174834</v>
      </c>
      <c r="JB21">
        <v>0.64648749999999999</v>
      </c>
      <c r="JC21">
        <v>174834</v>
      </c>
      <c r="JD21">
        <v>0.35351250000000001</v>
      </c>
      <c r="JE21">
        <v>113028</v>
      </c>
      <c r="JF21">
        <v>0.92126730000000001</v>
      </c>
      <c r="JG21">
        <v>113028</v>
      </c>
      <c r="JH21">
        <v>7.8732700000000003E-2</v>
      </c>
      <c r="JI21">
        <v>128876</v>
      </c>
      <c r="JJ21">
        <v>0.13884669999999999</v>
      </c>
      <c r="JK21">
        <v>17894</v>
      </c>
      <c r="JL21">
        <v>0.44735659999999999</v>
      </c>
      <c r="JM21">
        <v>8005</v>
      </c>
      <c r="JN21">
        <v>0.84971890000000005</v>
      </c>
      <c r="JO21">
        <v>8005</v>
      </c>
      <c r="JP21">
        <v>0.84971890000000005</v>
      </c>
      <c r="JQ21">
        <v>8005</v>
      </c>
      <c r="JR21">
        <v>0.84971890000000005</v>
      </c>
      <c r="JS21">
        <v>8005</v>
      </c>
      <c r="JT21">
        <v>0.84971890000000005</v>
      </c>
      <c r="JU21">
        <v>8005</v>
      </c>
      <c r="JV21">
        <v>0.1502811</v>
      </c>
      <c r="JW21">
        <v>17894</v>
      </c>
      <c r="JX21">
        <v>0.55264340000000001</v>
      </c>
      <c r="JY21">
        <v>9889</v>
      </c>
      <c r="JZ21">
        <v>0.26676100000000003</v>
      </c>
      <c r="KA21">
        <v>2638</v>
      </c>
      <c r="KB21">
        <v>0.79340409999999995</v>
      </c>
      <c r="KC21">
        <v>2093</v>
      </c>
      <c r="KD21">
        <v>0.21022460000000001</v>
      </c>
      <c r="KE21">
        <v>2093</v>
      </c>
      <c r="KF21">
        <v>0.41614909999999999</v>
      </c>
      <c r="KG21">
        <v>2093</v>
      </c>
      <c r="KH21">
        <v>0.37362640000000003</v>
      </c>
      <c r="KI21">
        <v>2638</v>
      </c>
      <c r="KJ21">
        <v>0.2065959</v>
      </c>
      <c r="KK21">
        <v>9889</v>
      </c>
      <c r="KL21">
        <v>0.73323890000000003</v>
      </c>
      <c r="KM21">
        <v>7251</v>
      </c>
      <c r="KN21">
        <v>0.86457039999999996</v>
      </c>
      <c r="KO21">
        <v>6269</v>
      </c>
      <c r="KP21">
        <v>0.1244218</v>
      </c>
      <c r="KQ21">
        <v>6269</v>
      </c>
      <c r="KR21">
        <v>0.2064125</v>
      </c>
      <c r="KS21">
        <v>6269</v>
      </c>
      <c r="KT21">
        <v>0.66916569999999997</v>
      </c>
      <c r="KU21">
        <v>7251</v>
      </c>
      <c r="KV21">
        <v>0.13542960000000001</v>
      </c>
      <c r="KW21">
        <v>128876</v>
      </c>
      <c r="KX21">
        <v>3.1588499999999999E-2</v>
      </c>
      <c r="KY21">
        <v>4071</v>
      </c>
      <c r="KZ21">
        <v>0.43330879999999999</v>
      </c>
      <c r="LA21">
        <v>1764</v>
      </c>
      <c r="LB21">
        <v>0.72732419999999998</v>
      </c>
      <c r="LC21">
        <v>1764</v>
      </c>
      <c r="LD21">
        <v>0.72732419999999998</v>
      </c>
      <c r="LE21">
        <v>1764</v>
      </c>
      <c r="LF21">
        <v>0.72732419999999998</v>
      </c>
      <c r="LG21">
        <v>1764</v>
      </c>
      <c r="LH21">
        <v>0.72732419999999998</v>
      </c>
      <c r="LI21">
        <v>1764</v>
      </c>
      <c r="LJ21">
        <v>0.27267570000000002</v>
      </c>
      <c r="LK21">
        <v>4071</v>
      </c>
      <c r="LL21">
        <v>0.56669119999999995</v>
      </c>
      <c r="LM21">
        <v>2307</v>
      </c>
      <c r="LN21">
        <v>0.4117902</v>
      </c>
      <c r="LO21">
        <v>950</v>
      </c>
      <c r="LP21">
        <v>0.87684209999999996</v>
      </c>
      <c r="LQ21">
        <v>833</v>
      </c>
      <c r="LR21">
        <v>0.64825929999999998</v>
      </c>
      <c r="LS21">
        <v>833</v>
      </c>
      <c r="LT21">
        <v>7.3229299999999997E-2</v>
      </c>
      <c r="LU21">
        <v>833</v>
      </c>
      <c r="LV21">
        <v>0.27851140000000002</v>
      </c>
      <c r="LW21">
        <v>950</v>
      </c>
      <c r="LX21">
        <v>0.1231579</v>
      </c>
      <c r="LY21">
        <v>2307</v>
      </c>
      <c r="LZ21">
        <v>0.5882098</v>
      </c>
      <c r="MA21">
        <v>1357</v>
      </c>
      <c r="MB21">
        <v>0.64775240000000001</v>
      </c>
      <c r="MC21">
        <v>879</v>
      </c>
      <c r="MD21">
        <v>0.38111489999999998</v>
      </c>
      <c r="ME21">
        <v>879</v>
      </c>
      <c r="MF21">
        <v>8.0773600000000001E-2</v>
      </c>
      <c r="MG21">
        <v>879</v>
      </c>
      <c r="MH21">
        <v>0.53811149999999996</v>
      </c>
      <c r="MI21">
        <v>1357</v>
      </c>
      <c r="MJ21">
        <v>0.35224759999999999</v>
      </c>
      <c r="MK21">
        <v>128876</v>
      </c>
      <c r="ML21">
        <v>5.6457399999999998E-2</v>
      </c>
      <c r="MM21">
        <v>7276</v>
      </c>
      <c r="MN21">
        <v>0.72003850000000003</v>
      </c>
      <c r="MO21">
        <v>5239</v>
      </c>
      <c r="MP21">
        <v>0.74804349999999997</v>
      </c>
      <c r="MQ21">
        <v>5239</v>
      </c>
      <c r="MR21">
        <v>0.74804349999999997</v>
      </c>
      <c r="MS21">
        <v>5239</v>
      </c>
      <c r="MT21">
        <v>0.74804349999999997</v>
      </c>
      <c r="MU21">
        <v>5239</v>
      </c>
      <c r="MV21">
        <v>0.74804349999999997</v>
      </c>
      <c r="MW21">
        <v>5239</v>
      </c>
      <c r="MX21">
        <v>0.25195650000000003</v>
      </c>
      <c r="MY21">
        <v>7276</v>
      </c>
      <c r="MZ21">
        <v>0.27996149999999997</v>
      </c>
      <c r="NA21">
        <v>2037</v>
      </c>
      <c r="NB21">
        <v>0.26755030000000002</v>
      </c>
      <c r="NC21">
        <v>545</v>
      </c>
      <c r="ND21">
        <v>0.84403669999999997</v>
      </c>
      <c r="NE21">
        <v>460</v>
      </c>
      <c r="NF21">
        <v>0.23913039999999999</v>
      </c>
      <c r="NG21">
        <v>460</v>
      </c>
      <c r="NH21">
        <v>0.2</v>
      </c>
      <c r="NI21">
        <v>460</v>
      </c>
      <c r="NJ21">
        <v>0.56086959999999997</v>
      </c>
      <c r="NK21">
        <v>545</v>
      </c>
      <c r="NL21">
        <v>0.1559633</v>
      </c>
      <c r="NM21">
        <v>2037</v>
      </c>
      <c r="NN21">
        <v>0.73244969999999998</v>
      </c>
      <c r="NO21">
        <v>1492</v>
      </c>
      <c r="NP21">
        <v>0.86863270000000004</v>
      </c>
      <c r="NQ21">
        <v>1296</v>
      </c>
      <c r="NR21">
        <v>0.12808639999999999</v>
      </c>
      <c r="NS21">
        <v>1296</v>
      </c>
      <c r="NT21">
        <v>0.25617279999999998</v>
      </c>
      <c r="NU21">
        <v>1296</v>
      </c>
      <c r="NV21">
        <v>0.61574070000000003</v>
      </c>
      <c r="NW21">
        <v>1492</v>
      </c>
      <c r="NX21">
        <v>0.13136729999999999</v>
      </c>
      <c r="NY21">
        <v>128876</v>
      </c>
      <c r="NZ21">
        <v>0.77310749999999995</v>
      </c>
      <c r="OA21">
        <v>99635</v>
      </c>
      <c r="OB21">
        <v>0.86559949999999997</v>
      </c>
      <c r="OC21">
        <v>86244</v>
      </c>
      <c r="OD21">
        <v>0.45709850000000002</v>
      </c>
      <c r="OE21">
        <v>86244</v>
      </c>
      <c r="OF21">
        <v>0.45709850000000002</v>
      </c>
      <c r="OG21">
        <v>86244</v>
      </c>
      <c r="OH21">
        <v>0.45709850000000002</v>
      </c>
      <c r="OI21">
        <v>86244</v>
      </c>
      <c r="OJ21">
        <v>0.45709850000000002</v>
      </c>
      <c r="OK21">
        <v>86244</v>
      </c>
      <c r="OL21">
        <v>0.54290150000000004</v>
      </c>
      <c r="OM21">
        <v>99635</v>
      </c>
      <c r="ON21">
        <v>0.13440060000000001</v>
      </c>
      <c r="OO21">
        <v>13391</v>
      </c>
      <c r="OP21">
        <v>0.28578900000000002</v>
      </c>
      <c r="OQ21">
        <v>3827</v>
      </c>
      <c r="OR21">
        <v>0.46302589999999999</v>
      </c>
      <c r="OS21">
        <v>1772</v>
      </c>
      <c r="OT21">
        <v>0.28498869999999998</v>
      </c>
      <c r="OU21">
        <v>1772</v>
      </c>
      <c r="OV21">
        <v>4.5711099999999998E-2</v>
      </c>
      <c r="OW21">
        <v>1772</v>
      </c>
      <c r="OX21">
        <v>0.66930020000000001</v>
      </c>
      <c r="OY21">
        <v>3827</v>
      </c>
      <c r="OZ21">
        <v>0.53697410000000001</v>
      </c>
      <c r="PA21">
        <v>13391</v>
      </c>
      <c r="PB21">
        <v>0.71421100000000004</v>
      </c>
      <c r="PC21">
        <v>9564</v>
      </c>
      <c r="PD21">
        <v>0.49466749999999998</v>
      </c>
      <c r="PE21">
        <v>4731</v>
      </c>
      <c r="PF21">
        <v>0.20566480000000001</v>
      </c>
      <c r="PG21">
        <v>4731</v>
      </c>
      <c r="PH21">
        <v>5.8338599999999997E-2</v>
      </c>
      <c r="PI21">
        <v>4731</v>
      </c>
      <c r="PJ21">
        <v>0.7359966</v>
      </c>
      <c r="PK21">
        <v>9564</v>
      </c>
      <c r="PL21">
        <v>0.50533249999999996</v>
      </c>
      <c r="PM21">
        <v>522487</v>
      </c>
      <c r="PN21">
        <v>0.49803730000000002</v>
      </c>
      <c r="PO21">
        <v>260218</v>
      </c>
      <c r="PP21">
        <v>7.50025E-2</v>
      </c>
      <c r="PQ21">
        <v>260218</v>
      </c>
      <c r="PR21">
        <v>8.4006499999999998E-2</v>
      </c>
      <c r="PS21">
        <v>260218</v>
      </c>
      <c r="PT21">
        <v>8.22272E-2</v>
      </c>
      <c r="PU21">
        <v>260218</v>
      </c>
      <c r="PV21">
        <v>4.8832100000000003E-2</v>
      </c>
      <c r="PW21">
        <v>260218</v>
      </c>
      <c r="PX21">
        <v>2.8453099999999999E-2</v>
      </c>
      <c r="PY21">
        <v>260218</v>
      </c>
      <c r="PZ21">
        <v>1.4011300000000001E-2</v>
      </c>
      <c r="QA21">
        <v>260218</v>
      </c>
      <c r="QB21">
        <v>1.5755999999999999E-2</v>
      </c>
      <c r="QC21">
        <v>260218</v>
      </c>
      <c r="QD21">
        <v>3.30569E-2</v>
      </c>
      <c r="QE21">
        <v>260218</v>
      </c>
      <c r="QF21">
        <v>5.87892E-2</v>
      </c>
      <c r="QG21">
        <v>260218</v>
      </c>
      <c r="QH21">
        <v>6.74511E-2</v>
      </c>
      <c r="QI21">
        <v>260218</v>
      </c>
      <c r="QJ21">
        <v>7.2331699999999999E-2</v>
      </c>
      <c r="QK21">
        <v>260218</v>
      </c>
      <c r="QL21">
        <v>7.2619900000000001E-2</v>
      </c>
      <c r="QM21">
        <v>260218</v>
      </c>
      <c r="QN21">
        <v>7.4522099999999994E-2</v>
      </c>
      <c r="QO21">
        <v>260218</v>
      </c>
      <c r="QP21">
        <v>7.0041300000000001E-2</v>
      </c>
      <c r="QQ21">
        <v>260218</v>
      </c>
      <c r="QR21">
        <v>5.43813E-2</v>
      </c>
      <c r="QS21">
        <v>260218</v>
      </c>
      <c r="QT21">
        <v>2.00409E-2</v>
      </c>
      <c r="QU21">
        <v>260218</v>
      </c>
      <c r="QV21">
        <v>3.3571900000000002E-2</v>
      </c>
      <c r="QW21">
        <v>260218</v>
      </c>
      <c r="QX21">
        <v>1.8488299999999999E-2</v>
      </c>
      <c r="QY21">
        <v>260218</v>
      </c>
      <c r="QZ21">
        <v>1.7746700000000001E-2</v>
      </c>
      <c r="RA21">
        <v>260218</v>
      </c>
      <c r="RB21">
        <v>2.16972E-2</v>
      </c>
      <c r="RC21">
        <v>260218</v>
      </c>
      <c r="RD21">
        <v>1.6820499999999999E-2</v>
      </c>
      <c r="RE21">
        <v>260218</v>
      </c>
      <c r="RF21">
        <v>1.21783E-2</v>
      </c>
      <c r="RG21">
        <v>260218</v>
      </c>
      <c r="RH21">
        <v>7.9740999999999996E-3</v>
      </c>
      <c r="RI21">
        <v>522487</v>
      </c>
      <c r="RJ21">
        <v>0.50196269999999998</v>
      </c>
      <c r="RK21">
        <v>262269</v>
      </c>
      <c r="RL21">
        <v>7.0591600000000004E-2</v>
      </c>
      <c r="RM21">
        <v>262269</v>
      </c>
      <c r="RN21">
        <v>7.9658699999999999E-2</v>
      </c>
      <c r="RO21">
        <v>262269</v>
      </c>
      <c r="RP21">
        <v>7.7504400000000001E-2</v>
      </c>
      <c r="RQ21">
        <v>262269</v>
      </c>
      <c r="RR21">
        <v>4.6570500000000001E-2</v>
      </c>
      <c r="RS21">
        <v>262269</v>
      </c>
      <c r="RT21">
        <v>2.50049E-2</v>
      </c>
      <c r="RU21">
        <v>262269</v>
      </c>
      <c r="RV21">
        <v>1.7112200000000001E-2</v>
      </c>
      <c r="RW21">
        <v>262269</v>
      </c>
      <c r="RX21">
        <v>1.0603599999999999E-2</v>
      </c>
      <c r="RY21">
        <v>262269</v>
      </c>
      <c r="RZ21">
        <v>2.97405E-2</v>
      </c>
      <c r="SA21">
        <v>262269</v>
      </c>
      <c r="SB21">
        <v>5.8954699999999999E-2</v>
      </c>
      <c r="SC21">
        <v>262269</v>
      </c>
      <c r="SD21">
        <v>6.5436599999999998E-2</v>
      </c>
      <c r="SE21">
        <v>262269</v>
      </c>
      <c r="SF21">
        <v>7.6238500000000001E-2</v>
      </c>
      <c r="SG21">
        <v>262269</v>
      </c>
      <c r="SH21">
        <v>6.8845299999999998E-2</v>
      </c>
      <c r="SI21">
        <v>262269</v>
      </c>
      <c r="SJ21">
        <v>7.2135900000000003E-2</v>
      </c>
      <c r="SK21">
        <v>262269</v>
      </c>
      <c r="SL21">
        <v>6.9764199999999998E-2</v>
      </c>
      <c r="SM21">
        <v>262269</v>
      </c>
      <c r="SN21">
        <v>5.70559E-2</v>
      </c>
      <c r="SO21">
        <v>262269</v>
      </c>
      <c r="SP21">
        <v>2.52794E-2</v>
      </c>
      <c r="SQ21">
        <v>262269</v>
      </c>
      <c r="SR21">
        <v>2.95079E-2</v>
      </c>
      <c r="SS21">
        <v>262269</v>
      </c>
      <c r="ST21">
        <v>2.0650600000000002E-2</v>
      </c>
      <c r="SU21">
        <v>262269</v>
      </c>
      <c r="SV21">
        <v>2.1149999999999999E-2</v>
      </c>
      <c r="SW21">
        <v>262269</v>
      </c>
      <c r="SX21">
        <v>2.3243300000000001E-2</v>
      </c>
      <c r="SY21">
        <v>262269</v>
      </c>
      <c r="SZ21">
        <v>2.5492899999999999E-2</v>
      </c>
      <c r="TA21">
        <v>262269</v>
      </c>
      <c r="TB21">
        <v>1.4778700000000001E-2</v>
      </c>
      <c r="TC21">
        <v>262269</v>
      </c>
      <c r="TD21">
        <v>1.4679599999999999E-2</v>
      </c>
      <c r="TE21">
        <v>383880</v>
      </c>
      <c r="TF21">
        <v>0.49719180000000002</v>
      </c>
      <c r="TG21">
        <v>28377</v>
      </c>
      <c r="TH21">
        <v>0.49254680000000001</v>
      </c>
      <c r="TI21"/>
      <c r="TJ21"/>
      <c r="TK21">
        <v>18486</v>
      </c>
      <c r="TL21">
        <v>0.49134480000000003</v>
      </c>
      <c r="TM21"/>
      <c r="TN21"/>
      <c r="TO21">
        <v>78977</v>
      </c>
      <c r="TP21">
        <v>0.52049330000000005</v>
      </c>
      <c r="TQ21">
        <v>10134</v>
      </c>
      <c r="TR21">
        <v>0.41148610000000002</v>
      </c>
      <c r="TS21">
        <v>305734</v>
      </c>
      <c r="TT21">
        <v>0.49104449999999999</v>
      </c>
      <c r="TU21">
        <v>162843</v>
      </c>
      <c r="TV21">
        <v>0.51790990000000003</v>
      </c>
      <c r="TW21">
        <v>383880</v>
      </c>
      <c r="TX21">
        <v>0.50280820000000004</v>
      </c>
      <c r="TY21">
        <v>28377</v>
      </c>
      <c r="TZ21">
        <v>0.50745320000000005</v>
      </c>
      <c r="UA21"/>
      <c r="UB21"/>
      <c r="UC21">
        <v>18486</v>
      </c>
      <c r="UD21">
        <v>0.50865519999999997</v>
      </c>
      <c r="UE21"/>
      <c r="UF21"/>
      <c r="UG21">
        <v>78977</v>
      </c>
      <c r="UH21">
        <v>0.47950670000000001</v>
      </c>
      <c r="UI21">
        <v>10134</v>
      </c>
      <c r="UJ21">
        <v>0.58851390000000003</v>
      </c>
      <c r="UK21">
        <v>305734</v>
      </c>
      <c r="UL21">
        <v>0.50895550000000001</v>
      </c>
      <c r="UM21">
        <v>162843</v>
      </c>
      <c r="UN21">
        <v>0.48209010000000002</v>
      </c>
      <c r="UO21">
        <v>121318</v>
      </c>
      <c r="UP21">
        <v>121318</v>
      </c>
      <c r="UQ21">
        <v>121318</v>
      </c>
      <c r="UR21">
        <v>99182</v>
      </c>
      <c r="US21">
        <v>99182</v>
      </c>
      <c r="UT21">
        <v>99182</v>
      </c>
      <c r="UU21">
        <v>1.4755E-3</v>
      </c>
      <c r="UV21">
        <v>0.92006129999999997</v>
      </c>
      <c r="UW21">
        <v>7.8463199999999997E-2</v>
      </c>
      <c r="UX21">
        <v>0</v>
      </c>
      <c r="UY21">
        <v>0.9106995</v>
      </c>
      <c r="UZ21">
        <v>8.9300500000000005E-2</v>
      </c>
      <c r="VA21">
        <v>7308</v>
      </c>
      <c r="VB21">
        <v>0</v>
      </c>
      <c r="VC21">
        <v>7308</v>
      </c>
      <c r="VD21">
        <v>0.94280240000000004</v>
      </c>
      <c r="VE21">
        <v>7308</v>
      </c>
      <c r="VF21">
        <v>5.7197600000000001E-2</v>
      </c>
      <c r="VG21">
        <v>14867</v>
      </c>
      <c r="VH21">
        <v>5.4482999999999997E-3</v>
      </c>
      <c r="VI21">
        <v>14867</v>
      </c>
      <c r="VJ21">
        <v>0.8866617</v>
      </c>
      <c r="VK21">
        <v>14867</v>
      </c>
      <c r="VL21">
        <v>0.10789</v>
      </c>
      <c r="VM21">
        <v>16611</v>
      </c>
      <c r="VN21">
        <v>0</v>
      </c>
      <c r="VO21">
        <v>16611</v>
      </c>
      <c r="VP21">
        <v>0.90795250000000005</v>
      </c>
      <c r="VQ21">
        <v>16611</v>
      </c>
      <c r="VR21">
        <v>9.2047400000000001E-2</v>
      </c>
      <c r="VS21">
        <v>35538</v>
      </c>
      <c r="VT21">
        <v>0</v>
      </c>
      <c r="VU21">
        <v>35538</v>
      </c>
      <c r="VV21">
        <v>0.9303844</v>
      </c>
      <c r="VW21">
        <v>35538</v>
      </c>
      <c r="VX21">
        <v>6.96156E-2</v>
      </c>
      <c r="VY21">
        <v>34701</v>
      </c>
      <c r="VZ21">
        <v>2.8241E-3</v>
      </c>
      <c r="WA21">
        <v>34701</v>
      </c>
      <c r="WB21">
        <v>0.92876289999999995</v>
      </c>
      <c r="WC21">
        <v>34701</v>
      </c>
      <c r="WD21">
        <v>6.8413000000000002E-2</v>
      </c>
      <c r="WE21">
        <v>12293</v>
      </c>
      <c r="WF21">
        <v>0</v>
      </c>
      <c r="WG21">
        <v>12293</v>
      </c>
      <c r="WH21">
        <v>0.90889129999999996</v>
      </c>
      <c r="WI21">
        <v>12293</v>
      </c>
      <c r="WJ21">
        <v>9.1108800000000004E-2</v>
      </c>
      <c r="WK21">
        <v>6159</v>
      </c>
      <c r="WL21">
        <v>0</v>
      </c>
      <c r="WM21">
        <v>6159</v>
      </c>
      <c r="WN21">
        <v>0.93050820000000001</v>
      </c>
      <c r="WO21">
        <v>6159</v>
      </c>
      <c r="WP21">
        <v>6.9491800000000006E-2</v>
      </c>
      <c r="WQ21">
        <v>11719</v>
      </c>
      <c r="WR21">
        <v>0</v>
      </c>
      <c r="WS21">
        <v>11719</v>
      </c>
      <c r="WT21">
        <v>0.90741530000000004</v>
      </c>
      <c r="WU21">
        <v>11719</v>
      </c>
      <c r="WV21">
        <v>9.2584700000000006E-2</v>
      </c>
      <c r="WW21">
        <v>14078</v>
      </c>
      <c r="WX21">
        <v>0</v>
      </c>
      <c r="WY21">
        <v>14078</v>
      </c>
      <c r="WZ21">
        <v>0.94729359999999996</v>
      </c>
      <c r="XA21">
        <v>14078</v>
      </c>
      <c r="XB21">
        <v>5.2706299999999998E-2</v>
      </c>
      <c r="XC21">
        <v>27616</v>
      </c>
      <c r="XD21">
        <v>0</v>
      </c>
      <c r="XE21">
        <v>27616</v>
      </c>
      <c r="XF21">
        <v>0.83976680000000004</v>
      </c>
      <c r="XG21">
        <v>27616</v>
      </c>
      <c r="XH21">
        <v>0.16023319999999999</v>
      </c>
      <c r="XI21">
        <v>28764</v>
      </c>
      <c r="XJ21">
        <v>0</v>
      </c>
      <c r="XK21">
        <v>28764</v>
      </c>
      <c r="XL21">
        <v>0.93557920000000006</v>
      </c>
      <c r="XM21">
        <v>28764</v>
      </c>
      <c r="XN21">
        <v>6.44208E-2</v>
      </c>
      <c r="XO21">
        <v>10846</v>
      </c>
      <c r="XP21">
        <v>0</v>
      </c>
      <c r="XQ21">
        <v>10846</v>
      </c>
      <c r="XR21">
        <v>0.97012719999999997</v>
      </c>
      <c r="XS21">
        <v>10846</v>
      </c>
      <c r="XT21">
        <v>2.9872800000000001E-2</v>
      </c>
      <c r="XU21">
        <v>336462</v>
      </c>
      <c r="XV21">
        <v>0.50091540000000001</v>
      </c>
      <c r="XW21">
        <v>168539</v>
      </c>
      <c r="XX21">
        <v>0.84725790000000001</v>
      </c>
      <c r="XY21">
        <v>168539</v>
      </c>
      <c r="XZ21">
        <v>0.15274209999999999</v>
      </c>
      <c r="YA21">
        <v>142796</v>
      </c>
      <c r="YB21">
        <v>0.86381269999999999</v>
      </c>
      <c r="YC21">
        <v>123349</v>
      </c>
      <c r="YD21">
        <v>0.80343580000000003</v>
      </c>
      <c r="YE21">
        <v>123349</v>
      </c>
      <c r="YF21">
        <v>1.19498E-2</v>
      </c>
      <c r="YG21">
        <v>123349</v>
      </c>
      <c r="YH21">
        <v>4.7710200000000001E-2</v>
      </c>
      <c r="YI21">
        <v>123349</v>
      </c>
      <c r="YJ21">
        <v>5.3449999999999998E-2</v>
      </c>
      <c r="YK21">
        <v>123349</v>
      </c>
      <c r="YL21">
        <v>4.4418699999999998E-2</v>
      </c>
      <c r="YM21">
        <v>123349</v>
      </c>
      <c r="YN21">
        <v>3.9035599999999997E-2</v>
      </c>
      <c r="YO21">
        <v>142796</v>
      </c>
      <c r="YP21">
        <v>0.10911369999999999</v>
      </c>
      <c r="YQ21">
        <v>15581</v>
      </c>
      <c r="YR21">
        <v>0.44535010000000003</v>
      </c>
      <c r="YS21">
        <v>15581</v>
      </c>
      <c r="YT21">
        <v>8.6643999999999992E-3</v>
      </c>
      <c r="YU21">
        <v>15581</v>
      </c>
      <c r="YV21">
        <v>8.9403800000000005E-2</v>
      </c>
      <c r="YW21">
        <v>15581</v>
      </c>
      <c r="YX21">
        <v>0.1284256</v>
      </c>
      <c r="YY21">
        <v>15581</v>
      </c>
      <c r="YZ21">
        <v>0.18400620000000001</v>
      </c>
      <c r="ZA21">
        <v>15581</v>
      </c>
      <c r="ZB21">
        <v>0.1441499</v>
      </c>
      <c r="ZC21">
        <v>142796</v>
      </c>
      <c r="ZD21">
        <v>2.70736E-2</v>
      </c>
      <c r="ZE21">
        <v>3866</v>
      </c>
      <c r="ZF21">
        <v>0.1934816</v>
      </c>
      <c r="ZG21">
        <v>3866</v>
      </c>
      <c r="ZH21">
        <v>2.0951899999999999E-2</v>
      </c>
      <c r="ZI21">
        <v>3866</v>
      </c>
      <c r="ZJ21">
        <v>7.2684899999999997E-2</v>
      </c>
      <c r="ZK21">
        <v>3866</v>
      </c>
      <c r="ZL21">
        <v>0.12597</v>
      </c>
      <c r="ZM21">
        <v>3866</v>
      </c>
      <c r="ZN21">
        <v>0.1088981</v>
      </c>
      <c r="ZO21">
        <v>3866</v>
      </c>
      <c r="ZP21">
        <v>0.47801349999999998</v>
      </c>
      <c r="ZQ21">
        <v>336462</v>
      </c>
      <c r="ZR21">
        <v>0.49908459999999999</v>
      </c>
      <c r="ZS21">
        <v>167923</v>
      </c>
      <c r="ZT21">
        <v>0.70909880000000003</v>
      </c>
      <c r="ZU21">
        <v>167923</v>
      </c>
      <c r="ZV21">
        <v>0.29090120000000003</v>
      </c>
      <c r="ZW21">
        <v>119074</v>
      </c>
      <c r="ZX21">
        <v>0.68956280000000003</v>
      </c>
      <c r="ZY21">
        <v>82109</v>
      </c>
      <c r="ZZ21">
        <v>0.81685319999999995</v>
      </c>
      <c r="AAA21">
        <v>82109</v>
      </c>
      <c r="AAB21">
        <v>1.15943E-2</v>
      </c>
      <c r="AAC21">
        <v>82109</v>
      </c>
      <c r="AAD21">
        <v>6.7958400000000002E-2</v>
      </c>
      <c r="AAE21">
        <v>82109</v>
      </c>
      <c r="AAF21">
        <v>3.3991399999999998E-2</v>
      </c>
      <c r="AAG21">
        <v>82109</v>
      </c>
      <c r="AAH21">
        <v>2.9619199999999998E-2</v>
      </c>
      <c r="AAI21">
        <v>82109</v>
      </c>
      <c r="AAJ21">
        <v>3.9983400000000002E-2</v>
      </c>
      <c r="AAK21">
        <v>119074</v>
      </c>
      <c r="AAL21">
        <v>0.24983620000000001</v>
      </c>
      <c r="AAM21">
        <v>29749</v>
      </c>
      <c r="AAN21">
        <v>0.53282459999999998</v>
      </c>
      <c r="AAO21">
        <v>29749</v>
      </c>
      <c r="AAP21">
        <v>2.2454499999999999E-2</v>
      </c>
      <c r="AAQ21">
        <v>29749</v>
      </c>
      <c r="AAR21">
        <v>9.6137700000000006E-2</v>
      </c>
      <c r="AAS21">
        <v>29749</v>
      </c>
      <c r="AAT21">
        <v>0.114861</v>
      </c>
      <c r="AAU21">
        <v>29749</v>
      </c>
      <c r="AAV21">
        <v>0.1093146</v>
      </c>
      <c r="AAW21">
        <v>29749</v>
      </c>
      <c r="AAX21">
        <v>0.1244075</v>
      </c>
      <c r="AAY21">
        <v>119074</v>
      </c>
      <c r="AAZ21">
        <v>6.0601000000000002E-2</v>
      </c>
      <c r="ABA21">
        <v>7216</v>
      </c>
      <c r="ABB21">
        <v>0.23059869999999999</v>
      </c>
      <c r="ABC21">
        <v>7216</v>
      </c>
      <c r="ABD21">
        <v>1.8846999999999999E-2</v>
      </c>
      <c r="ABE21">
        <v>7216</v>
      </c>
      <c r="ABF21">
        <v>4.0188500000000002E-2</v>
      </c>
      <c r="ABG21">
        <v>7216</v>
      </c>
      <c r="ABH21">
        <v>0.1689302</v>
      </c>
      <c r="ABI21">
        <v>7216</v>
      </c>
      <c r="ABJ21">
        <v>0.14038249999999999</v>
      </c>
      <c r="ABK21">
        <v>7216</v>
      </c>
      <c r="ABL21">
        <v>0.4010532</v>
      </c>
      <c r="ABM21">
        <v>170806</v>
      </c>
      <c r="ABN21">
        <v>0.75451679999999999</v>
      </c>
      <c r="ABO21">
        <v>128876</v>
      </c>
      <c r="ABP21">
        <v>0.78565439999999998</v>
      </c>
      <c r="ABQ21">
        <v>128876</v>
      </c>
      <c r="ABR21">
        <v>0.2143456</v>
      </c>
      <c r="ABS21">
        <v>27624</v>
      </c>
      <c r="ABT21">
        <v>0.2881552</v>
      </c>
      <c r="ABU21">
        <v>27624</v>
      </c>
      <c r="ABV21">
        <v>0.71184480000000006</v>
      </c>
      <c r="ABW21">
        <v>170806</v>
      </c>
      <c r="ABX21">
        <v>0.24548320000000001</v>
      </c>
      <c r="ABY21">
        <v>41930</v>
      </c>
      <c r="ABZ21">
        <v>0.8362271</v>
      </c>
      <c r="ACA21">
        <v>41930</v>
      </c>
      <c r="ACB21">
        <v>0.163773</v>
      </c>
      <c r="ACC21">
        <v>399980</v>
      </c>
      <c r="ACD21">
        <v>0.49363469999999998</v>
      </c>
      <c r="ACE21">
        <v>197444</v>
      </c>
      <c r="ACF21">
        <v>0.3347987</v>
      </c>
      <c r="ACG21">
        <v>66104</v>
      </c>
      <c r="ACH21">
        <v>0.19222739999999999</v>
      </c>
      <c r="ACI21">
        <v>66104</v>
      </c>
      <c r="ACJ21">
        <v>0.11079509999999999</v>
      </c>
      <c r="ACK21">
        <v>66104</v>
      </c>
      <c r="ACL21">
        <v>0.23051559999999999</v>
      </c>
      <c r="ACM21">
        <v>66104</v>
      </c>
      <c r="ACN21">
        <v>0.15210879999999999</v>
      </c>
      <c r="ACO21">
        <v>66104</v>
      </c>
      <c r="ACP21">
        <v>0.1130945</v>
      </c>
      <c r="ACQ21">
        <v>66104</v>
      </c>
      <c r="ACR21">
        <v>6.16453E-2</v>
      </c>
      <c r="ACS21">
        <v>66104</v>
      </c>
      <c r="ACT21">
        <v>2.9756100000000001E-2</v>
      </c>
      <c r="ACU21">
        <v>66104</v>
      </c>
      <c r="ACV21">
        <v>2.6700399999999999E-2</v>
      </c>
      <c r="ACW21">
        <v>66104</v>
      </c>
      <c r="ACX21">
        <v>2.54296E-2</v>
      </c>
      <c r="ACY21">
        <v>66104</v>
      </c>
      <c r="ACZ21">
        <v>2.5127099999999999E-2</v>
      </c>
      <c r="ADA21">
        <v>66104</v>
      </c>
      <c r="ADB21">
        <v>2.0513099999999999E-2</v>
      </c>
      <c r="ADC21">
        <v>66104</v>
      </c>
      <c r="ADD21">
        <v>8.1688999999999998E-3</v>
      </c>
      <c r="ADE21">
        <v>66104</v>
      </c>
      <c r="ADF21">
        <v>3.9180999999999999E-3</v>
      </c>
      <c r="ADG21">
        <v>66104</v>
      </c>
      <c r="ADH21">
        <v>0</v>
      </c>
      <c r="ADI21">
        <v>197444</v>
      </c>
      <c r="ADJ21">
        <v>0.57118979999999997</v>
      </c>
      <c r="ADK21">
        <v>112778</v>
      </c>
      <c r="ADL21">
        <v>0.93533310000000003</v>
      </c>
      <c r="ADM21">
        <v>105485</v>
      </c>
      <c r="ADN21">
        <v>0</v>
      </c>
      <c r="ADO21">
        <v>105485</v>
      </c>
      <c r="ADP21">
        <v>0</v>
      </c>
      <c r="ADQ21">
        <v>105485</v>
      </c>
      <c r="ADR21">
        <v>6.6455000000000004E-3</v>
      </c>
      <c r="ADS21">
        <v>105485</v>
      </c>
      <c r="ADT21">
        <v>4.1456100000000003E-2</v>
      </c>
      <c r="ADU21">
        <v>105485</v>
      </c>
      <c r="ADV21">
        <v>7.78784E-2</v>
      </c>
      <c r="ADW21">
        <v>105485</v>
      </c>
      <c r="ADX21">
        <v>0.1159881</v>
      </c>
      <c r="ADY21">
        <v>105485</v>
      </c>
      <c r="ADZ21">
        <v>0.12799920000000001</v>
      </c>
      <c r="AEA21">
        <v>105485</v>
      </c>
      <c r="AEB21">
        <v>0.13563069999999999</v>
      </c>
      <c r="AEC21">
        <v>105485</v>
      </c>
      <c r="AED21">
        <v>0.12927900000000001</v>
      </c>
      <c r="AEE21">
        <v>105485</v>
      </c>
      <c r="AEF21">
        <v>9.2752500000000002E-2</v>
      </c>
      <c r="AEG21">
        <v>105485</v>
      </c>
      <c r="AEH21">
        <v>9.8250900000000002E-2</v>
      </c>
      <c r="AEI21">
        <v>105485</v>
      </c>
      <c r="AEJ21">
        <v>0.1202635</v>
      </c>
      <c r="AEK21">
        <v>105485</v>
      </c>
      <c r="AEL21">
        <v>4.5191299999999997E-2</v>
      </c>
      <c r="AEM21">
        <v>105485</v>
      </c>
      <c r="AEN21">
        <v>8.6646999999999991E-3</v>
      </c>
      <c r="AEO21">
        <v>112778</v>
      </c>
      <c r="AEP21">
        <v>6.4666899999999999E-2</v>
      </c>
      <c r="AEQ21">
        <v>7293</v>
      </c>
      <c r="AER21">
        <v>0.28972989999999998</v>
      </c>
      <c r="AES21">
        <v>2113</v>
      </c>
      <c r="AET21">
        <v>0</v>
      </c>
      <c r="AEU21">
        <v>2113</v>
      </c>
      <c r="AEV21">
        <v>0</v>
      </c>
      <c r="AEW21">
        <v>2113</v>
      </c>
      <c r="AEX21">
        <v>0</v>
      </c>
      <c r="AEY21">
        <v>2113</v>
      </c>
      <c r="AEZ21">
        <v>0</v>
      </c>
      <c r="AFA21">
        <v>2113</v>
      </c>
      <c r="AFB21">
        <v>0.1230478</v>
      </c>
      <c r="AFC21">
        <v>2113</v>
      </c>
      <c r="AFD21">
        <v>0.16658780000000001</v>
      </c>
      <c r="AFE21">
        <v>2113</v>
      </c>
      <c r="AFF21">
        <v>0.28442970000000001</v>
      </c>
      <c r="AFG21">
        <v>2113</v>
      </c>
      <c r="AFH21">
        <v>0.23047799999999999</v>
      </c>
      <c r="AFI21">
        <v>2113</v>
      </c>
      <c r="AFJ21">
        <v>0</v>
      </c>
      <c r="AFK21">
        <v>2113</v>
      </c>
      <c r="AFL21">
        <v>9.8438200000000003E-2</v>
      </c>
      <c r="AFM21">
        <v>2113</v>
      </c>
      <c r="AFN21">
        <v>0</v>
      </c>
      <c r="AFO21">
        <v>2113</v>
      </c>
      <c r="AFP21">
        <v>9.7018499999999994E-2</v>
      </c>
      <c r="AFQ21">
        <v>2113</v>
      </c>
      <c r="AFR21">
        <v>0</v>
      </c>
      <c r="AFS21">
        <v>2113</v>
      </c>
      <c r="AFT21">
        <v>0</v>
      </c>
      <c r="AFU21">
        <v>7293</v>
      </c>
      <c r="AFV21">
        <v>0.71027010000000002</v>
      </c>
      <c r="AFW21">
        <v>5180</v>
      </c>
      <c r="AFX21">
        <v>0</v>
      </c>
      <c r="AFY21">
        <v>5180</v>
      </c>
      <c r="AFZ21">
        <v>1.5443999999999999E-2</v>
      </c>
      <c r="AGA21">
        <v>5180</v>
      </c>
      <c r="AGB21">
        <v>5.54054E-2</v>
      </c>
      <c r="AGC21">
        <v>5180</v>
      </c>
      <c r="AGD21">
        <v>0.1521236</v>
      </c>
      <c r="AGE21">
        <v>5180</v>
      </c>
      <c r="AGF21">
        <v>0.10347489999999999</v>
      </c>
      <c r="AGG21">
        <v>5180</v>
      </c>
      <c r="AGH21">
        <v>9.9806900000000004E-2</v>
      </c>
      <c r="AGI21">
        <v>5180</v>
      </c>
      <c r="AGJ21">
        <v>0.17374519999999999</v>
      </c>
      <c r="AGK21">
        <v>5180</v>
      </c>
      <c r="AGL21">
        <v>0.16544400000000001</v>
      </c>
      <c r="AGM21">
        <v>5180</v>
      </c>
      <c r="AGN21">
        <v>0.10096529999999999</v>
      </c>
      <c r="AGO21">
        <v>5180</v>
      </c>
      <c r="AGP21">
        <v>1.8146700000000002E-2</v>
      </c>
      <c r="AGQ21">
        <v>5180</v>
      </c>
      <c r="AGR21">
        <v>4.6718099999999999E-2</v>
      </c>
      <c r="AGS21">
        <v>5180</v>
      </c>
      <c r="AGT21">
        <v>2.9922799999999999E-2</v>
      </c>
      <c r="AGU21">
        <v>5180</v>
      </c>
      <c r="AGV21">
        <v>2.1235500000000001E-2</v>
      </c>
      <c r="AGW21">
        <v>5180</v>
      </c>
      <c r="AGX21">
        <v>1.7567599999999999E-2</v>
      </c>
      <c r="AGY21">
        <v>197444</v>
      </c>
      <c r="AGZ21">
        <v>2.18391E-2</v>
      </c>
      <c r="AHA21">
        <v>4312</v>
      </c>
      <c r="AHB21">
        <v>0</v>
      </c>
      <c r="AHC21">
        <v>4312</v>
      </c>
      <c r="AHD21">
        <v>0</v>
      </c>
      <c r="AHE21">
        <v>4312</v>
      </c>
      <c r="AHF21">
        <v>1.0436000000000001E-2</v>
      </c>
      <c r="AHG21">
        <v>4312</v>
      </c>
      <c r="AHH21">
        <v>0</v>
      </c>
      <c r="AHI21">
        <v>4312</v>
      </c>
      <c r="AHJ21">
        <v>0</v>
      </c>
      <c r="AHK21">
        <v>4312</v>
      </c>
      <c r="AHL21">
        <v>0</v>
      </c>
      <c r="AHM21">
        <v>4312</v>
      </c>
      <c r="AHN21">
        <v>0</v>
      </c>
      <c r="AHO21">
        <v>4312</v>
      </c>
      <c r="AHP21">
        <v>4.98609E-2</v>
      </c>
      <c r="AHQ21">
        <v>4312</v>
      </c>
      <c r="AHR21">
        <v>4.08163E-2</v>
      </c>
      <c r="AHS21">
        <v>4312</v>
      </c>
      <c r="AHT21">
        <v>0.112013</v>
      </c>
      <c r="AHU21">
        <v>4312</v>
      </c>
      <c r="AHV21">
        <v>0.1219852</v>
      </c>
      <c r="AHW21">
        <v>4312</v>
      </c>
      <c r="AHX21">
        <v>0.14911869999999999</v>
      </c>
      <c r="AHY21">
        <v>4312</v>
      </c>
      <c r="AHZ21">
        <v>0.30681819999999999</v>
      </c>
      <c r="AIA21">
        <v>4312</v>
      </c>
      <c r="AIB21">
        <v>0.20895179999999999</v>
      </c>
      <c r="AIC21">
        <v>197444</v>
      </c>
      <c r="AID21">
        <v>7.2172399999999998E-2</v>
      </c>
      <c r="AIE21">
        <v>14250</v>
      </c>
      <c r="AIF21">
        <v>0</v>
      </c>
      <c r="AIG21">
        <v>14250</v>
      </c>
      <c r="AIH21">
        <v>0</v>
      </c>
      <c r="AII21">
        <v>14250</v>
      </c>
      <c r="AIJ21">
        <v>5.4035000000000003E-3</v>
      </c>
      <c r="AIK21">
        <v>14250</v>
      </c>
      <c r="AIL21">
        <v>5.7543999999999998E-3</v>
      </c>
      <c r="AIM21">
        <v>14250</v>
      </c>
      <c r="AIN21">
        <v>7.4736800000000006E-2</v>
      </c>
      <c r="AIO21">
        <v>14250</v>
      </c>
      <c r="AIP21">
        <v>0.1152982</v>
      </c>
      <c r="AIQ21">
        <v>14250</v>
      </c>
      <c r="AIR21">
        <v>0.13522809999999999</v>
      </c>
      <c r="AIS21">
        <v>14250</v>
      </c>
      <c r="AIT21">
        <v>0.12357899999999999</v>
      </c>
      <c r="AIU21">
        <v>14250</v>
      </c>
      <c r="AIV21">
        <v>0.1550175</v>
      </c>
      <c r="AIW21">
        <v>14250</v>
      </c>
      <c r="AIX21">
        <v>0.13480700000000001</v>
      </c>
      <c r="AIY21">
        <v>14250</v>
      </c>
      <c r="AIZ21">
        <v>0.1026667</v>
      </c>
      <c r="AJA21">
        <v>14250</v>
      </c>
      <c r="AJB21">
        <v>5.9368400000000002E-2</v>
      </c>
      <c r="AJC21">
        <v>14250</v>
      </c>
      <c r="AJD21">
        <v>7.6280700000000007E-2</v>
      </c>
      <c r="AJE21">
        <v>14250</v>
      </c>
      <c r="AJF21">
        <v>1.18596E-2</v>
      </c>
      <c r="AJG21">
        <v>399980</v>
      </c>
      <c r="AJH21">
        <v>0.50636530000000002</v>
      </c>
      <c r="AJI21">
        <v>202536</v>
      </c>
      <c r="AJJ21">
        <v>0.27633600000000003</v>
      </c>
      <c r="AJK21">
        <v>55968</v>
      </c>
      <c r="AJL21">
        <v>0.21653449999999999</v>
      </c>
      <c r="AJM21">
        <v>55968</v>
      </c>
      <c r="AJN21">
        <v>0.1171741</v>
      </c>
      <c r="AJO21">
        <v>55968</v>
      </c>
      <c r="AJP21">
        <v>0.2276301</v>
      </c>
      <c r="AJQ21">
        <v>55968</v>
      </c>
      <c r="AJR21">
        <v>0.15542810000000001</v>
      </c>
      <c r="AJS21">
        <v>55968</v>
      </c>
      <c r="AJT21">
        <v>0.10145079999999999</v>
      </c>
      <c r="AJU21">
        <v>55968</v>
      </c>
      <c r="AJV21">
        <v>6.5019300000000002E-2</v>
      </c>
      <c r="AJW21">
        <v>55968</v>
      </c>
      <c r="AJX21">
        <v>4.01479E-2</v>
      </c>
      <c r="AJY21">
        <v>55968</v>
      </c>
      <c r="AJZ21">
        <v>1.82604E-2</v>
      </c>
      <c r="AKA21">
        <v>55968</v>
      </c>
      <c r="AKB21">
        <v>2.7194099999999999E-2</v>
      </c>
      <c r="AKC21">
        <v>55968</v>
      </c>
      <c r="AKD21">
        <v>9.1301999999999998E-3</v>
      </c>
      <c r="AKE21">
        <v>55968</v>
      </c>
      <c r="AKF21">
        <v>1.09348E-2</v>
      </c>
      <c r="AKG21">
        <v>55968</v>
      </c>
      <c r="AKH21">
        <v>9.3804000000000005E-3</v>
      </c>
      <c r="AKI21">
        <v>55968</v>
      </c>
      <c r="AKJ21">
        <v>7.8620000000000003E-4</v>
      </c>
      <c r="AKK21">
        <v>55968</v>
      </c>
      <c r="AKL21">
        <v>9.2909999999999998E-4</v>
      </c>
      <c r="AKM21">
        <v>202536</v>
      </c>
      <c r="AKN21">
        <v>0.53988919999999996</v>
      </c>
      <c r="AKO21">
        <v>109347</v>
      </c>
      <c r="AKP21">
        <v>0.92376559999999996</v>
      </c>
      <c r="AKQ21">
        <v>101011</v>
      </c>
      <c r="AKR21">
        <v>0</v>
      </c>
      <c r="AKS21">
        <v>101011</v>
      </c>
      <c r="AKT21">
        <v>0</v>
      </c>
      <c r="AKU21">
        <v>101011</v>
      </c>
      <c r="AKV21">
        <v>1.27808E-2</v>
      </c>
      <c r="AKW21">
        <v>101011</v>
      </c>
      <c r="AKX21">
        <v>5.0509400000000003E-2</v>
      </c>
      <c r="AKY21">
        <v>101011</v>
      </c>
      <c r="AKZ21">
        <v>9.82764E-2</v>
      </c>
      <c r="ALA21">
        <v>101011</v>
      </c>
      <c r="ALB21">
        <v>0.1241449</v>
      </c>
      <c r="ALC21">
        <v>101011</v>
      </c>
      <c r="ALD21">
        <v>0.1201453</v>
      </c>
      <c r="ALE21">
        <v>101011</v>
      </c>
      <c r="ALF21">
        <v>0.13724249999999999</v>
      </c>
      <c r="ALG21">
        <v>101011</v>
      </c>
      <c r="ALH21">
        <v>0.1313916</v>
      </c>
      <c r="ALI21">
        <v>101011</v>
      </c>
      <c r="ALJ21">
        <v>9.5544000000000004E-2</v>
      </c>
      <c r="ALK21">
        <v>101011</v>
      </c>
      <c r="ALL21">
        <v>9.1653399999999996E-2</v>
      </c>
      <c r="ALM21">
        <v>101011</v>
      </c>
      <c r="ALN21">
        <v>9.8424899999999996E-2</v>
      </c>
      <c r="ALO21">
        <v>101011</v>
      </c>
      <c r="ALP21">
        <v>3.8085000000000001E-2</v>
      </c>
      <c r="ALQ21">
        <v>101011</v>
      </c>
      <c r="ALR21">
        <v>1.8018000000000001E-3</v>
      </c>
      <c r="ALS21">
        <v>109347</v>
      </c>
      <c r="ALT21">
        <v>7.6234399999999994E-2</v>
      </c>
      <c r="ALU21">
        <v>8336</v>
      </c>
      <c r="ALV21">
        <v>0.37559979999999998</v>
      </c>
      <c r="ALW21">
        <v>3131</v>
      </c>
      <c r="ALX21">
        <v>0</v>
      </c>
      <c r="ALY21">
        <v>3131</v>
      </c>
      <c r="ALZ21">
        <v>0</v>
      </c>
      <c r="AMA21">
        <v>3131</v>
      </c>
      <c r="AMB21">
        <v>6.8029400000000004E-2</v>
      </c>
      <c r="AMC21">
        <v>3131</v>
      </c>
      <c r="AMD21">
        <v>0.1184925</v>
      </c>
      <c r="AME21">
        <v>3131</v>
      </c>
      <c r="AMF21">
        <v>8.0166100000000004E-2</v>
      </c>
      <c r="AMG21">
        <v>3131</v>
      </c>
      <c r="AMH21">
        <v>0.18077289999999999</v>
      </c>
      <c r="AMI21">
        <v>3131</v>
      </c>
      <c r="AMJ21">
        <v>9.5177300000000006E-2</v>
      </c>
      <c r="AMK21">
        <v>3131</v>
      </c>
      <c r="AML21">
        <v>0.23954010000000001</v>
      </c>
      <c r="AMM21">
        <v>3131</v>
      </c>
      <c r="AMN21">
        <v>7.2181400000000007E-2</v>
      </c>
      <c r="AMO21">
        <v>3131</v>
      </c>
      <c r="AMP21">
        <v>0.1079527</v>
      </c>
      <c r="AMQ21">
        <v>3131</v>
      </c>
      <c r="AMR21">
        <v>1.30949E-2</v>
      </c>
      <c r="AMS21">
        <v>3131</v>
      </c>
      <c r="AMT21">
        <v>2.4592800000000001E-2</v>
      </c>
      <c r="AMU21">
        <v>3131</v>
      </c>
      <c r="AMV21">
        <v>0</v>
      </c>
      <c r="AMW21">
        <v>3131</v>
      </c>
      <c r="AMX21">
        <v>0</v>
      </c>
      <c r="AMY21">
        <v>8336</v>
      </c>
      <c r="AMZ21">
        <v>0.62440019999999996</v>
      </c>
      <c r="ANA21">
        <v>5205</v>
      </c>
      <c r="ANB21">
        <v>1.8251699999999999E-2</v>
      </c>
      <c r="ANC21">
        <v>5205</v>
      </c>
      <c r="AND21">
        <v>0</v>
      </c>
      <c r="ANE21">
        <v>5205</v>
      </c>
      <c r="ANF21">
        <v>0.14620559999999999</v>
      </c>
      <c r="ANG21">
        <v>5205</v>
      </c>
      <c r="ANH21">
        <v>0.11047070000000001</v>
      </c>
      <c r="ANI21">
        <v>5205</v>
      </c>
      <c r="ANJ21">
        <v>6.5321799999999999E-2</v>
      </c>
      <c r="ANK21">
        <v>5205</v>
      </c>
      <c r="ANL21">
        <v>0.1110471</v>
      </c>
      <c r="ANM21">
        <v>5205</v>
      </c>
      <c r="ANN21">
        <v>0.1120077</v>
      </c>
      <c r="ANO21">
        <v>5205</v>
      </c>
      <c r="ANP21">
        <v>3.8808799999999997E-2</v>
      </c>
      <c r="ANQ21">
        <v>5205</v>
      </c>
      <c r="ANR21">
        <v>0.12968299999999999</v>
      </c>
      <c r="ANS21">
        <v>5205</v>
      </c>
      <c r="ANT21">
        <v>6.5129699999999999E-2</v>
      </c>
      <c r="ANU21">
        <v>5205</v>
      </c>
      <c r="ANV21">
        <v>7.1854000000000001E-2</v>
      </c>
      <c r="ANW21">
        <v>5205</v>
      </c>
      <c r="ANX21">
        <v>7.1661900000000001E-2</v>
      </c>
      <c r="ANY21">
        <v>5205</v>
      </c>
      <c r="ANZ21">
        <v>3.5158500000000002E-2</v>
      </c>
      <c r="AOA21">
        <v>5205</v>
      </c>
      <c r="AOB21">
        <v>2.43996E-2</v>
      </c>
      <c r="AOC21">
        <v>202536</v>
      </c>
      <c r="AOD21">
        <v>7.7902200000000005E-2</v>
      </c>
      <c r="AOE21">
        <v>15778</v>
      </c>
      <c r="AOF21">
        <v>0</v>
      </c>
      <c r="AOG21">
        <v>15778</v>
      </c>
      <c r="AOH21">
        <v>0</v>
      </c>
      <c r="AOI21">
        <v>15778</v>
      </c>
      <c r="AOJ21">
        <v>0</v>
      </c>
      <c r="AOK21">
        <v>15778</v>
      </c>
      <c r="AOL21">
        <v>0</v>
      </c>
      <c r="AOM21">
        <v>15778</v>
      </c>
      <c r="AON21">
        <v>0</v>
      </c>
      <c r="AOO21">
        <v>15778</v>
      </c>
      <c r="AOP21">
        <v>0</v>
      </c>
      <c r="AOQ21">
        <v>15778</v>
      </c>
      <c r="AOR21">
        <v>2.2563099999999999E-2</v>
      </c>
      <c r="AOS21">
        <v>15778</v>
      </c>
      <c r="AOT21">
        <v>4.6901E-3</v>
      </c>
      <c r="AOU21">
        <v>15778</v>
      </c>
      <c r="AOV21">
        <v>2.42109E-2</v>
      </c>
      <c r="AOW21">
        <v>15778</v>
      </c>
      <c r="AOX21">
        <v>8.4801600000000005E-2</v>
      </c>
      <c r="AOY21">
        <v>15778</v>
      </c>
      <c r="AOZ21">
        <v>6.25555E-2</v>
      </c>
      <c r="APA21">
        <v>15778</v>
      </c>
      <c r="APB21">
        <v>0.2532007</v>
      </c>
      <c r="APC21">
        <v>15778</v>
      </c>
      <c r="APD21">
        <v>0.35086830000000002</v>
      </c>
      <c r="APE21">
        <v>15778</v>
      </c>
      <c r="APF21">
        <v>0.1971099</v>
      </c>
      <c r="APG21">
        <v>202536</v>
      </c>
      <c r="APH21">
        <v>0.10587249999999999</v>
      </c>
      <c r="API21">
        <v>21443</v>
      </c>
      <c r="APJ21">
        <v>0</v>
      </c>
      <c r="APK21">
        <v>21443</v>
      </c>
      <c r="APL21">
        <v>0</v>
      </c>
      <c r="APM21">
        <v>21443</v>
      </c>
      <c r="APN21">
        <v>2.9846999999999999E-3</v>
      </c>
      <c r="APO21">
        <v>21443</v>
      </c>
      <c r="APP21">
        <v>3.3344199999999997E-2</v>
      </c>
      <c r="APQ21">
        <v>21443</v>
      </c>
      <c r="APR21">
        <v>4.5049699999999998E-2</v>
      </c>
      <c r="APS21">
        <v>21443</v>
      </c>
      <c r="APT21">
        <v>0.1246094</v>
      </c>
      <c r="APU21">
        <v>21443</v>
      </c>
      <c r="APV21">
        <v>0.1136035</v>
      </c>
      <c r="APW21">
        <v>21443</v>
      </c>
      <c r="APX21">
        <v>0.14027890000000001</v>
      </c>
      <c r="APY21">
        <v>21443</v>
      </c>
      <c r="APZ21">
        <v>0.10353030000000001</v>
      </c>
      <c r="AQA21">
        <v>21443</v>
      </c>
      <c r="AQB21">
        <v>0.12997249999999999</v>
      </c>
      <c r="AQC21">
        <v>21443</v>
      </c>
      <c r="AQD21">
        <v>0.14442940000000001</v>
      </c>
      <c r="AQE21">
        <v>21443</v>
      </c>
      <c r="AQF21">
        <v>0.1001259</v>
      </c>
      <c r="AQG21">
        <v>21443</v>
      </c>
      <c r="AQH21">
        <v>4.43968E-2</v>
      </c>
      <c r="AQI21">
        <v>21443</v>
      </c>
      <c r="AQJ21">
        <v>1.7674800000000001E-2</v>
      </c>
      <c r="AQK21">
        <v>66149</v>
      </c>
      <c r="AQL21">
        <v>0.1769792</v>
      </c>
      <c r="AQM21">
        <v>170806</v>
      </c>
      <c r="AQN21">
        <v>0.75511989999999996</v>
      </c>
      <c r="AQO21">
        <v>128979</v>
      </c>
      <c r="AQP21">
        <v>0.78870200000000001</v>
      </c>
      <c r="AQQ21">
        <v>101726</v>
      </c>
      <c r="AQR21">
        <v>0.85595619999999994</v>
      </c>
      <c r="AQS21">
        <v>87073</v>
      </c>
      <c r="AQT21">
        <v>0.46366839999999998</v>
      </c>
      <c r="AQU21">
        <v>87073</v>
      </c>
      <c r="AQV21">
        <v>0.53633160000000002</v>
      </c>
      <c r="AQW21">
        <v>101726</v>
      </c>
      <c r="AQX21">
        <v>0.1440438</v>
      </c>
      <c r="AQY21">
        <v>14653</v>
      </c>
      <c r="AQZ21">
        <v>0.32177709999999998</v>
      </c>
      <c r="ARA21">
        <v>4715</v>
      </c>
      <c r="ARB21">
        <v>0.40890769999999999</v>
      </c>
      <c r="ARC21">
        <v>4715</v>
      </c>
      <c r="ARD21">
        <v>0.59109230000000001</v>
      </c>
      <c r="ARE21">
        <v>14653</v>
      </c>
      <c r="ARF21">
        <v>0.67822289999999996</v>
      </c>
      <c r="ARG21">
        <v>9938</v>
      </c>
      <c r="ARH21">
        <v>0.40430670000000002</v>
      </c>
      <c r="ARI21">
        <v>9938</v>
      </c>
      <c r="ARJ21">
        <v>0.59569329999999998</v>
      </c>
      <c r="ARK21">
        <v>128979</v>
      </c>
      <c r="ARL21">
        <v>0.21129800000000001</v>
      </c>
      <c r="ARM21">
        <v>170806</v>
      </c>
      <c r="ARN21">
        <v>0.24488019999999999</v>
      </c>
      <c r="ARO21">
        <v>41827</v>
      </c>
      <c r="ARP21">
        <v>0.64910230000000002</v>
      </c>
      <c r="ARQ21">
        <v>27150</v>
      </c>
      <c r="ARR21">
        <v>0.52224680000000001</v>
      </c>
      <c r="ARS21">
        <v>14179</v>
      </c>
      <c r="ART21">
        <v>0.67120389999999996</v>
      </c>
      <c r="ARU21">
        <v>14179</v>
      </c>
      <c r="ARV21">
        <v>0.32879609999999998</v>
      </c>
      <c r="ARW21">
        <v>27150</v>
      </c>
      <c r="ARX21">
        <v>0.47775319999999999</v>
      </c>
      <c r="ARY21">
        <v>12971</v>
      </c>
      <c r="ARZ21">
        <v>0.25017339999999999</v>
      </c>
      <c r="ASA21">
        <v>3245</v>
      </c>
      <c r="ASB21">
        <v>0.80862869999999998</v>
      </c>
      <c r="ASC21">
        <v>3245</v>
      </c>
      <c r="ASD21">
        <v>0.19137129999999999</v>
      </c>
      <c r="ASE21">
        <v>12971</v>
      </c>
      <c r="ASF21">
        <v>0.74982660000000001</v>
      </c>
      <c r="ASG21">
        <v>9726</v>
      </c>
      <c r="ASH21">
        <v>0.79056139999999997</v>
      </c>
      <c r="ASI21">
        <v>9726</v>
      </c>
      <c r="ASJ21">
        <v>0.2094386</v>
      </c>
      <c r="ASK21">
        <v>41827</v>
      </c>
      <c r="ASL21">
        <v>0.35089779999999998</v>
      </c>
      <c r="ASM21">
        <v>169370</v>
      </c>
      <c r="ASN21">
        <v>0.59459169999999995</v>
      </c>
      <c r="ASO21">
        <v>100706</v>
      </c>
      <c r="ASP21">
        <v>0.37198379999999998</v>
      </c>
      <c r="ASQ21">
        <v>37461</v>
      </c>
      <c r="ASR21">
        <v>0.57884199999999997</v>
      </c>
      <c r="ASS21">
        <v>21684</v>
      </c>
      <c r="AST21">
        <v>0.65366170000000001</v>
      </c>
      <c r="ASU21">
        <v>21684</v>
      </c>
      <c r="ASV21">
        <v>0.34633829999999999</v>
      </c>
      <c r="ASW21">
        <v>37461</v>
      </c>
      <c r="ASX21">
        <v>0.24219859999999999</v>
      </c>
      <c r="ASY21">
        <v>9073</v>
      </c>
      <c r="ASZ21">
        <v>0.51140750000000001</v>
      </c>
      <c r="ATA21">
        <v>9073</v>
      </c>
      <c r="ATB21">
        <v>0.41893530000000001</v>
      </c>
      <c r="ATC21">
        <v>9073</v>
      </c>
      <c r="ATD21">
        <v>6.9657200000000002E-2</v>
      </c>
      <c r="ATE21">
        <v>37461</v>
      </c>
      <c r="ATF21">
        <v>0.13811699999999999</v>
      </c>
      <c r="ATG21">
        <v>5174</v>
      </c>
      <c r="ATH21">
        <v>0.236954</v>
      </c>
      <c r="ATI21">
        <v>5174</v>
      </c>
      <c r="ATJ21">
        <v>0.13606489999999999</v>
      </c>
      <c r="ATK21">
        <v>5174</v>
      </c>
      <c r="ATL21">
        <v>0.31754929999999998</v>
      </c>
      <c r="ATM21">
        <v>5174</v>
      </c>
      <c r="ATN21">
        <v>0.30943179999999998</v>
      </c>
      <c r="ATO21">
        <v>37461</v>
      </c>
      <c r="ATP21">
        <v>4.0842499999999997E-2</v>
      </c>
      <c r="ATQ21">
        <v>1530</v>
      </c>
      <c r="ATR21">
        <v>0.60718950000000005</v>
      </c>
      <c r="ATS21">
        <v>1530</v>
      </c>
      <c r="ATT21">
        <v>0.39281050000000001</v>
      </c>
      <c r="ATU21">
        <v>100706</v>
      </c>
      <c r="ATV21">
        <v>0.1020297</v>
      </c>
      <c r="ATW21">
        <v>10275</v>
      </c>
      <c r="ATX21">
        <v>7.2311399999999998E-2</v>
      </c>
      <c r="ATY21">
        <v>10275</v>
      </c>
      <c r="ATZ21">
        <v>0.22909979999999999</v>
      </c>
      <c r="AUA21">
        <v>2354</v>
      </c>
      <c r="AUB21">
        <v>0.45242139999999997</v>
      </c>
      <c r="AUC21">
        <v>2354</v>
      </c>
      <c r="AUD21">
        <v>0.54757860000000003</v>
      </c>
      <c r="AUE21">
        <v>10275</v>
      </c>
      <c r="AUF21">
        <v>0.22968369999999999</v>
      </c>
      <c r="AUG21">
        <v>10275</v>
      </c>
      <c r="AUH21">
        <v>0.42861310000000002</v>
      </c>
      <c r="AUI21">
        <v>10275</v>
      </c>
      <c r="AUJ21">
        <v>4.0292000000000001E-2</v>
      </c>
      <c r="AUK21">
        <v>100706</v>
      </c>
      <c r="AUL21">
        <v>0.19313649999999999</v>
      </c>
      <c r="AUM21">
        <v>19450</v>
      </c>
      <c r="AUN21">
        <v>0.6362468</v>
      </c>
      <c r="AUO21">
        <v>19450</v>
      </c>
      <c r="AUP21">
        <v>0.3637532</v>
      </c>
      <c r="AUQ21">
        <v>100706</v>
      </c>
      <c r="AUR21">
        <v>0.1158322</v>
      </c>
      <c r="AUS21">
        <v>11665</v>
      </c>
      <c r="AUT21">
        <v>0</v>
      </c>
      <c r="AUU21">
        <v>11665</v>
      </c>
      <c r="AUV21">
        <v>0.54402059999999997</v>
      </c>
      <c r="AUW21">
        <v>11665</v>
      </c>
      <c r="AUX21">
        <v>0.45597939999999998</v>
      </c>
      <c r="AUY21">
        <v>100706</v>
      </c>
      <c r="AUZ21">
        <v>0.21701790000000001</v>
      </c>
      <c r="AVA21">
        <v>21855</v>
      </c>
      <c r="AVB21">
        <v>0.49576759999999997</v>
      </c>
      <c r="AVC21">
        <v>21855</v>
      </c>
      <c r="AVD21">
        <v>0.2825898</v>
      </c>
      <c r="AVE21">
        <v>21855</v>
      </c>
      <c r="AVF21">
        <v>0.2216426</v>
      </c>
      <c r="AVG21">
        <v>169370</v>
      </c>
      <c r="AVH21">
        <v>0.4054083</v>
      </c>
      <c r="AVI21">
        <v>68664</v>
      </c>
      <c r="AVJ21">
        <v>0.39623380000000002</v>
      </c>
      <c r="AVK21">
        <v>27207</v>
      </c>
      <c r="AVL21">
        <v>0.44558389999999998</v>
      </c>
      <c r="AVM21">
        <v>12123</v>
      </c>
      <c r="AVN21">
        <v>0.56660889999999997</v>
      </c>
      <c r="AVO21">
        <v>12123</v>
      </c>
      <c r="AVP21">
        <v>0.43339109999999997</v>
      </c>
      <c r="AVQ21">
        <v>27207</v>
      </c>
      <c r="AVR21">
        <v>7.3951600000000006E-2</v>
      </c>
      <c r="AVS21">
        <v>2012</v>
      </c>
      <c r="AVT21">
        <v>0.66998009999999997</v>
      </c>
      <c r="AVU21">
        <v>2012</v>
      </c>
      <c r="AVV21">
        <v>7.8528799999999996E-2</v>
      </c>
      <c r="AVW21">
        <v>2012</v>
      </c>
      <c r="AVX21">
        <v>0.25149100000000002</v>
      </c>
      <c r="AVY21">
        <v>27207</v>
      </c>
      <c r="AVZ21">
        <v>0.30051090000000003</v>
      </c>
      <c r="AWA21">
        <v>8176</v>
      </c>
      <c r="AWB21">
        <v>0.16841980000000001</v>
      </c>
      <c r="AWC21">
        <v>8176</v>
      </c>
      <c r="AWD21">
        <v>6.1766099999999997E-2</v>
      </c>
      <c r="AWE21">
        <v>8176</v>
      </c>
      <c r="AWF21">
        <v>0.67967219999999995</v>
      </c>
      <c r="AWG21">
        <v>8176</v>
      </c>
      <c r="AWH21">
        <v>9.0141899999999997E-2</v>
      </c>
      <c r="AWI21">
        <v>27207</v>
      </c>
      <c r="AWJ21">
        <v>0.17995369999999999</v>
      </c>
      <c r="AWK21">
        <v>4896</v>
      </c>
      <c r="AWL21">
        <v>0.74509809999999999</v>
      </c>
      <c r="AWM21">
        <v>4896</v>
      </c>
      <c r="AWN21">
        <v>0.25490200000000002</v>
      </c>
      <c r="AWO21">
        <v>68664</v>
      </c>
      <c r="AWP21">
        <v>0.1221018</v>
      </c>
      <c r="AWQ21">
        <v>8384</v>
      </c>
      <c r="AWR21">
        <v>0.27707540000000003</v>
      </c>
      <c r="AWS21">
        <v>8384</v>
      </c>
      <c r="AWT21">
        <v>5.8325399999999999E-2</v>
      </c>
      <c r="AWU21">
        <v>489</v>
      </c>
      <c r="AWV21">
        <v>0.388548</v>
      </c>
      <c r="AWW21">
        <v>489</v>
      </c>
      <c r="AWX21">
        <v>0.61145190000000005</v>
      </c>
      <c r="AWY21">
        <v>8384</v>
      </c>
      <c r="AWZ21">
        <v>0.20491409999999999</v>
      </c>
      <c r="AXA21">
        <v>8384</v>
      </c>
      <c r="AXB21">
        <v>0.23258590000000001</v>
      </c>
      <c r="AXC21">
        <v>8384</v>
      </c>
      <c r="AXD21">
        <v>0.2270992</v>
      </c>
      <c r="AXE21">
        <v>68664</v>
      </c>
      <c r="AXF21">
        <v>0.3418677</v>
      </c>
      <c r="AXG21">
        <v>23474</v>
      </c>
      <c r="AXH21">
        <v>0.2883616</v>
      </c>
      <c r="AXI21">
        <v>23474</v>
      </c>
      <c r="AXJ21">
        <v>0.7116384</v>
      </c>
      <c r="AXK21">
        <v>68664</v>
      </c>
      <c r="AXL21">
        <v>8.3304E-3</v>
      </c>
      <c r="AXM21">
        <v>572</v>
      </c>
      <c r="AXN21">
        <v>5.0699300000000003E-2</v>
      </c>
      <c r="AXO21">
        <v>572</v>
      </c>
      <c r="AXP21">
        <v>0.53321680000000005</v>
      </c>
      <c r="AXQ21">
        <v>572</v>
      </c>
      <c r="AXR21">
        <v>0.41608390000000001</v>
      </c>
      <c r="AXS21">
        <v>68664</v>
      </c>
      <c r="AXT21">
        <v>0.13146630000000001</v>
      </c>
      <c r="AXU21">
        <v>9027</v>
      </c>
      <c r="AXV21">
        <v>0.76160410000000001</v>
      </c>
      <c r="AXW21">
        <v>9027</v>
      </c>
      <c r="AXX21">
        <v>3.2901300000000001E-2</v>
      </c>
      <c r="AXY21">
        <v>9027</v>
      </c>
      <c r="AXZ21">
        <v>0.2054946</v>
      </c>
      <c r="AYA21">
        <v>23752</v>
      </c>
      <c r="AYB21">
        <v>1.7724799999999999E-2</v>
      </c>
      <c r="AYC21">
        <v>23752</v>
      </c>
      <c r="AYD21">
        <v>0.1978781</v>
      </c>
      <c r="AYE21">
        <v>23752</v>
      </c>
      <c r="AYF21">
        <v>0.36632700000000001</v>
      </c>
      <c r="AYG21">
        <v>23752</v>
      </c>
      <c r="AYH21">
        <v>0.32123610000000002</v>
      </c>
      <c r="AYI21">
        <v>23752</v>
      </c>
      <c r="AYJ21">
        <v>5.4058599999999998E-2</v>
      </c>
      <c r="AYK21">
        <v>23752</v>
      </c>
      <c r="AYL21">
        <v>4.2775300000000002E-2</v>
      </c>
      <c r="AYM21">
        <v>23752</v>
      </c>
      <c r="AYN21">
        <v>0</v>
      </c>
      <c r="AYO21">
        <v>32850</v>
      </c>
      <c r="AYP21">
        <v>8.7579900000000002E-2</v>
      </c>
      <c r="AYQ21">
        <v>32850</v>
      </c>
      <c r="AYR21">
        <v>0.1103196</v>
      </c>
      <c r="AYS21">
        <v>32850</v>
      </c>
      <c r="AYT21">
        <v>0.28943679999999999</v>
      </c>
      <c r="AYU21">
        <v>32850</v>
      </c>
      <c r="AYV21">
        <v>0.1794521</v>
      </c>
      <c r="AYW21">
        <v>32850</v>
      </c>
      <c r="AYX21">
        <v>8.55403E-2</v>
      </c>
      <c r="AYY21">
        <v>32850</v>
      </c>
      <c r="AYZ21">
        <v>0.2052359</v>
      </c>
      <c r="AZA21">
        <v>32850</v>
      </c>
      <c r="AZB21">
        <v>4.2435300000000002E-2</v>
      </c>
      <c r="AZC21">
        <v>37719</v>
      </c>
      <c r="AZD21">
        <v>0.1704976</v>
      </c>
      <c r="AZE21">
        <v>37719</v>
      </c>
      <c r="AZF21">
        <v>7.9747600000000002E-2</v>
      </c>
      <c r="AZG21">
        <v>37719</v>
      </c>
      <c r="AZH21">
        <v>0.20013790000000001</v>
      </c>
      <c r="AZI21">
        <v>37719</v>
      </c>
      <c r="AZJ21">
        <v>0.17693999999999999</v>
      </c>
      <c r="AZK21">
        <v>37719</v>
      </c>
      <c r="AZL21">
        <v>5.7636699999999999E-2</v>
      </c>
      <c r="AZM21">
        <v>37719</v>
      </c>
      <c r="AZN21">
        <v>0.24067450000000001</v>
      </c>
      <c r="AZO21">
        <v>37719</v>
      </c>
      <c r="AZP21">
        <v>7.4365700000000007E-2</v>
      </c>
      <c r="AZQ21">
        <v>65720</v>
      </c>
      <c r="AZR21">
        <v>6.7878900000000006E-2</v>
      </c>
      <c r="AZS21">
        <v>65720</v>
      </c>
      <c r="AZT21">
        <v>5.9525300000000003E-2</v>
      </c>
      <c r="AZU21">
        <v>65720</v>
      </c>
      <c r="AZV21">
        <v>0.23352100000000001</v>
      </c>
      <c r="AZW21">
        <v>65720</v>
      </c>
      <c r="AZX21">
        <v>0.22052649999999999</v>
      </c>
      <c r="AZY21">
        <v>65720</v>
      </c>
      <c r="AZZ21">
        <v>5.9799100000000001E-2</v>
      </c>
      <c r="BAA21">
        <v>65720</v>
      </c>
      <c r="BAB21">
        <v>0.21999389999999999</v>
      </c>
      <c r="BAC21">
        <v>65720</v>
      </c>
      <c r="BAD21">
        <v>0.1387553</v>
      </c>
      <c r="BAE21">
        <v>24696</v>
      </c>
      <c r="BAF21">
        <v>0.1299806</v>
      </c>
      <c r="BAG21">
        <v>24696</v>
      </c>
      <c r="BAH21">
        <v>6.3937499999999994E-2</v>
      </c>
      <c r="BAI21">
        <v>24696</v>
      </c>
      <c r="BAJ21">
        <v>0.21521699999999999</v>
      </c>
      <c r="BAK21">
        <v>24696</v>
      </c>
      <c r="BAL21">
        <v>0.21521699999999999</v>
      </c>
      <c r="BAM21">
        <v>24696</v>
      </c>
      <c r="BAN21">
        <v>6.2479800000000002E-2</v>
      </c>
      <c r="BAO21">
        <v>24696</v>
      </c>
      <c r="BAP21">
        <v>0.15472140000000001</v>
      </c>
      <c r="BAQ21">
        <v>24696</v>
      </c>
      <c r="BAR21">
        <v>0.1584467</v>
      </c>
      <c r="BAS21">
        <v>21627</v>
      </c>
      <c r="BAT21">
        <v>1.11897E-2</v>
      </c>
      <c r="BAU21">
        <v>21627</v>
      </c>
      <c r="BAV21">
        <v>0.103343</v>
      </c>
      <c r="BAW21">
        <v>21627</v>
      </c>
      <c r="BAX21">
        <v>0.32903320000000003</v>
      </c>
      <c r="BAY21">
        <v>21627</v>
      </c>
      <c r="BAZ21">
        <v>0.42174129999999999</v>
      </c>
      <c r="BBA21">
        <v>21627</v>
      </c>
      <c r="BBB21">
        <v>7.3611700000000002E-2</v>
      </c>
      <c r="BBC21">
        <v>21627</v>
      </c>
      <c r="BBD21">
        <v>5.3682899999999999E-2</v>
      </c>
      <c r="BBE21">
        <v>21627</v>
      </c>
      <c r="BBF21">
        <v>7.3981999999999997E-3</v>
      </c>
      <c r="BBG21">
        <v>32624</v>
      </c>
      <c r="BBH21">
        <v>8.30983E-2</v>
      </c>
      <c r="BBI21">
        <v>32624</v>
      </c>
      <c r="BBJ21">
        <v>0.10663930000000001</v>
      </c>
      <c r="BBK21">
        <v>32624</v>
      </c>
      <c r="BBL21">
        <v>0.1882663</v>
      </c>
      <c r="BBM21">
        <v>32624</v>
      </c>
      <c r="BBN21">
        <v>0.1879904</v>
      </c>
      <c r="BBO21">
        <v>32624</v>
      </c>
      <c r="BBP21">
        <v>7.8500500000000001E-2</v>
      </c>
      <c r="BBQ21">
        <v>32624</v>
      </c>
      <c r="BBR21">
        <v>0.192527</v>
      </c>
      <c r="BBS21">
        <v>32624</v>
      </c>
      <c r="BBT21">
        <v>0.16297819999999999</v>
      </c>
      <c r="BBU21">
        <v>38051</v>
      </c>
      <c r="BBV21">
        <v>9.4793799999999998E-2</v>
      </c>
      <c r="BBW21">
        <v>38051</v>
      </c>
      <c r="BBX21">
        <v>8.1259399999999996E-2</v>
      </c>
      <c r="BBY21">
        <v>38051</v>
      </c>
      <c r="BBZ21">
        <v>0.187748</v>
      </c>
      <c r="BCA21">
        <v>38051</v>
      </c>
      <c r="BCB21">
        <v>0.2096923</v>
      </c>
      <c r="BCC21">
        <v>38051</v>
      </c>
      <c r="BCD21">
        <v>8.4281599999999998E-2</v>
      </c>
      <c r="BCE21">
        <v>38051</v>
      </c>
      <c r="BCF21">
        <v>0.20695910000000001</v>
      </c>
      <c r="BCG21">
        <v>38051</v>
      </c>
      <c r="BCH21">
        <v>0.13526579999999999</v>
      </c>
      <c r="BCI21">
        <v>66549</v>
      </c>
      <c r="BCJ21">
        <v>7.0459400000000005E-2</v>
      </c>
      <c r="BCK21">
        <v>66549</v>
      </c>
      <c r="BCL21">
        <v>5.3855100000000003E-2</v>
      </c>
      <c r="BCM21">
        <v>66549</v>
      </c>
      <c r="BCN21">
        <v>0.24724640000000001</v>
      </c>
      <c r="BCO21">
        <v>66549</v>
      </c>
      <c r="BCP21">
        <v>0.19818479999999999</v>
      </c>
      <c r="BCQ21">
        <v>66549</v>
      </c>
      <c r="BCR21">
        <v>8.4719500000000003E-2</v>
      </c>
      <c r="BCS21">
        <v>66549</v>
      </c>
      <c r="BCT21">
        <v>0.22542789999999999</v>
      </c>
      <c r="BCU21">
        <v>66549</v>
      </c>
      <c r="BCV21">
        <v>0.12010700000000001</v>
      </c>
      <c r="BCW21">
        <v>31471</v>
      </c>
      <c r="BCX21">
        <v>0.1012361</v>
      </c>
      <c r="BCY21">
        <v>31471</v>
      </c>
      <c r="BCZ21">
        <v>9.1163300000000003E-2</v>
      </c>
      <c r="BDA21">
        <v>31471</v>
      </c>
      <c r="BDB21">
        <v>0.38419500000000001</v>
      </c>
      <c r="BDC21">
        <v>31471</v>
      </c>
      <c r="BDD21">
        <v>0.1994852</v>
      </c>
      <c r="BDE21">
        <v>31471</v>
      </c>
      <c r="BDF21">
        <v>5.51619E-2</v>
      </c>
      <c r="BDG21">
        <v>31471</v>
      </c>
      <c r="BDH21">
        <v>0.11518539999999999</v>
      </c>
      <c r="BDI21">
        <v>31471</v>
      </c>
      <c r="BDJ21">
        <v>5.3573099999999998E-2</v>
      </c>
      <c r="BDK21">
        <v>125108</v>
      </c>
      <c r="BDL21">
        <v>5.2258800000000001E-2</v>
      </c>
      <c r="BDM21">
        <v>6538</v>
      </c>
      <c r="BDN21">
        <v>0.62863259999999999</v>
      </c>
      <c r="BDO21">
        <v>4110</v>
      </c>
      <c r="BDP21">
        <v>0.68394160000000004</v>
      </c>
      <c r="BDQ21">
        <v>4110</v>
      </c>
      <c r="BDR21">
        <v>0.31605840000000002</v>
      </c>
      <c r="BDS21">
        <v>6538</v>
      </c>
      <c r="BDT21">
        <v>0.37136740000000001</v>
      </c>
      <c r="BDU21">
        <v>2428</v>
      </c>
      <c r="BDV21">
        <v>0.85543659999999999</v>
      </c>
      <c r="BDW21">
        <v>2428</v>
      </c>
      <c r="BDX21">
        <v>0.14456340000000001</v>
      </c>
      <c r="BDY21">
        <v>125108</v>
      </c>
      <c r="BDZ21">
        <v>0.94774119999999995</v>
      </c>
      <c r="BEA21">
        <v>118570</v>
      </c>
      <c r="BEB21">
        <v>0.50367709999999999</v>
      </c>
      <c r="BEC21">
        <v>59721</v>
      </c>
      <c r="BED21">
        <v>0.7213543</v>
      </c>
      <c r="BEE21">
        <v>59721</v>
      </c>
      <c r="BEF21">
        <v>0.2786457</v>
      </c>
      <c r="BEG21">
        <v>118570</v>
      </c>
      <c r="BEH21">
        <v>0.49632280000000001</v>
      </c>
      <c r="BEI21">
        <v>58849</v>
      </c>
      <c r="BEJ21">
        <v>0.74164379999999996</v>
      </c>
      <c r="BEK21">
        <v>58849</v>
      </c>
      <c r="BEL21">
        <v>0.25835609999999998</v>
      </c>
      <c r="BEM21">
        <v>243614</v>
      </c>
      <c r="BEN21">
        <v>0.55252570000000001</v>
      </c>
      <c r="BEO21">
        <v>134603</v>
      </c>
      <c r="BEP21">
        <v>0.87549310000000002</v>
      </c>
      <c r="BEQ21">
        <v>117844</v>
      </c>
      <c r="BER21">
        <v>0.26240619999999998</v>
      </c>
      <c r="BES21">
        <v>117844</v>
      </c>
      <c r="BET21">
        <v>0.73759379999999997</v>
      </c>
      <c r="BEU21">
        <v>134603</v>
      </c>
      <c r="BEV21">
        <v>0.1245069</v>
      </c>
      <c r="BEW21">
        <v>243614</v>
      </c>
      <c r="BEX21">
        <v>0.44747429999999999</v>
      </c>
      <c r="BEY21">
        <v>109011</v>
      </c>
      <c r="BEZ21">
        <v>0.89354279999999997</v>
      </c>
      <c r="BFA21">
        <v>97406</v>
      </c>
      <c r="BFB21">
        <v>0.30316409999999999</v>
      </c>
      <c r="BFC21">
        <v>97406</v>
      </c>
      <c r="BFD21">
        <v>0.69683589999999995</v>
      </c>
      <c r="BFE21">
        <v>109011</v>
      </c>
      <c r="BFF21">
        <v>0.1064571</v>
      </c>
      <c r="BFG21">
        <v>260218</v>
      </c>
      <c r="BFH21">
        <v>0.2900683</v>
      </c>
      <c r="BFI21">
        <v>75481</v>
      </c>
      <c r="BFJ21">
        <v>0.95176269999999996</v>
      </c>
      <c r="BFK21">
        <v>75481</v>
      </c>
      <c r="BFL21">
        <v>4.8237299999999997E-2</v>
      </c>
      <c r="BFM21">
        <v>3641</v>
      </c>
      <c r="BFN21">
        <v>0.15352930000000001</v>
      </c>
      <c r="BFO21">
        <v>3641</v>
      </c>
      <c r="BFP21">
        <v>0.84647079999999997</v>
      </c>
      <c r="BFQ21">
        <v>260218</v>
      </c>
      <c r="BFR21">
        <v>0.70993170000000005</v>
      </c>
      <c r="BFS21">
        <v>184737</v>
      </c>
      <c r="BFT21">
        <v>0.75425609999999998</v>
      </c>
      <c r="BFU21">
        <v>184737</v>
      </c>
      <c r="BFV21">
        <v>0.24574389999999999</v>
      </c>
      <c r="BFW21">
        <v>45398</v>
      </c>
      <c r="BFX21">
        <v>0.3513811</v>
      </c>
      <c r="BFY21">
        <v>45398</v>
      </c>
      <c r="BFZ21">
        <v>0.6486189</v>
      </c>
      <c r="BGA21">
        <v>262269</v>
      </c>
      <c r="BGB21">
        <v>0.27432519999999999</v>
      </c>
      <c r="BGC21">
        <v>71947</v>
      </c>
      <c r="BGD21">
        <v>0.95570350000000004</v>
      </c>
      <c r="BGE21">
        <v>71947</v>
      </c>
      <c r="BGF21">
        <v>4.4296500000000003E-2</v>
      </c>
      <c r="BGG21">
        <v>3187</v>
      </c>
      <c r="BGH21">
        <v>0.2252902</v>
      </c>
      <c r="BGI21">
        <v>3187</v>
      </c>
      <c r="BGJ21">
        <v>0.7747098</v>
      </c>
      <c r="BGK21">
        <v>262269</v>
      </c>
      <c r="BGL21">
        <v>0.72567479999999995</v>
      </c>
      <c r="BGM21">
        <v>190322</v>
      </c>
      <c r="BGN21">
        <v>0.77724590000000005</v>
      </c>
      <c r="BGO21">
        <v>190322</v>
      </c>
      <c r="BGP21">
        <v>0.22275410000000001</v>
      </c>
      <c r="BGQ21">
        <v>42395</v>
      </c>
      <c r="BGR21">
        <v>0.3945748</v>
      </c>
      <c r="BGS21">
        <v>42395</v>
      </c>
      <c r="BGT21">
        <v>0.6054252</v>
      </c>
    </row>
    <row r="22" spans="1:1554" x14ac:dyDescent="0.25">
      <c r="A22" t="s">
        <v>132</v>
      </c>
      <c r="B22">
        <v>2008</v>
      </c>
      <c r="C22">
        <v>1</v>
      </c>
      <c r="D22" t="s">
        <v>539</v>
      </c>
      <c r="E22">
        <v>17099</v>
      </c>
      <c r="F22">
        <v>0.50997130000000002</v>
      </c>
      <c r="G22">
        <v>8720</v>
      </c>
      <c r="H22">
        <v>0.19082569999999999</v>
      </c>
      <c r="I22">
        <v>8720</v>
      </c>
      <c r="J22">
        <v>1.8922000000000001E-2</v>
      </c>
      <c r="K22">
        <v>8720</v>
      </c>
      <c r="L22">
        <v>6.2385299999999998E-2</v>
      </c>
      <c r="M22">
        <v>8720</v>
      </c>
      <c r="N22">
        <v>0.10458720000000001</v>
      </c>
      <c r="O22">
        <v>8720</v>
      </c>
      <c r="P22">
        <v>0</v>
      </c>
      <c r="Q22">
        <v>8720</v>
      </c>
      <c r="R22">
        <v>6.9953999999999997E-3</v>
      </c>
      <c r="S22">
        <v>8720</v>
      </c>
      <c r="T22">
        <v>0.12729360000000001</v>
      </c>
      <c r="U22">
        <v>8720</v>
      </c>
      <c r="V22">
        <v>7.43119E-2</v>
      </c>
      <c r="W22">
        <v>8720</v>
      </c>
      <c r="X22">
        <v>0.19621559999999999</v>
      </c>
      <c r="Y22">
        <v>8720</v>
      </c>
      <c r="Z22">
        <v>6.6169699999999998E-2</v>
      </c>
      <c r="AA22">
        <v>8720</v>
      </c>
      <c r="AB22">
        <v>8.8073399999999996E-2</v>
      </c>
      <c r="AC22">
        <v>8720</v>
      </c>
      <c r="AD22">
        <v>4.9426600000000001E-2</v>
      </c>
      <c r="AE22">
        <v>8720</v>
      </c>
      <c r="AF22">
        <v>1.47936E-2</v>
      </c>
      <c r="AG22">
        <v>17099</v>
      </c>
      <c r="AH22">
        <v>0.49002859999999998</v>
      </c>
      <c r="AI22">
        <v>8379</v>
      </c>
      <c r="AJ22">
        <v>5.72861E-2</v>
      </c>
      <c r="AK22">
        <v>8379</v>
      </c>
      <c r="AL22">
        <v>2.1124199999999999E-2</v>
      </c>
      <c r="AM22">
        <v>8379</v>
      </c>
      <c r="AN22">
        <v>0.1146915</v>
      </c>
      <c r="AO22">
        <v>8379</v>
      </c>
      <c r="AP22">
        <v>3.3774899999999997E-2</v>
      </c>
      <c r="AQ22">
        <v>8379</v>
      </c>
      <c r="AR22">
        <v>8.9508999999999995E-3</v>
      </c>
      <c r="AS22">
        <v>8379</v>
      </c>
      <c r="AT22">
        <v>5.0483300000000002E-2</v>
      </c>
      <c r="AU22">
        <v>8379</v>
      </c>
      <c r="AV22">
        <v>0.1436926</v>
      </c>
      <c r="AW22">
        <v>8379</v>
      </c>
      <c r="AX22">
        <v>8.6645200000000006E-2</v>
      </c>
      <c r="AY22">
        <v>8379</v>
      </c>
      <c r="AZ22">
        <v>0.15503040000000001</v>
      </c>
      <c r="BA22">
        <v>8379</v>
      </c>
      <c r="BB22">
        <v>9.6312200000000001E-2</v>
      </c>
      <c r="BC22">
        <v>8379</v>
      </c>
      <c r="BD22">
        <v>9.0106199999999997E-2</v>
      </c>
      <c r="BE22">
        <v>8379</v>
      </c>
      <c r="BF22">
        <v>3.3894300000000002E-2</v>
      </c>
      <c r="BG22">
        <v>8379</v>
      </c>
      <c r="BH22">
        <v>0.1080081</v>
      </c>
      <c r="BI22">
        <v>299338</v>
      </c>
      <c r="BJ22">
        <v>0.50337410000000005</v>
      </c>
      <c r="BK22">
        <v>150679</v>
      </c>
      <c r="BL22">
        <v>6.3552300000000006E-2</v>
      </c>
      <c r="BM22">
        <v>150679</v>
      </c>
      <c r="BN22">
        <v>1.88148E-2</v>
      </c>
      <c r="BO22">
        <v>150679</v>
      </c>
      <c r="BP22">
        <v>8.4942199999999995E-2</v>
      </c>
      <c r="BQ22">
        <v>150679</v>
      </c>
      <c r="BR22">
        <v>4.8148700000000003E-2</v>
      </c>
      <c r="BS22">
        <v>150679</v>
      </c>
      <c r="BT22">
        <v>1.49059E-2</v>
      </c>
      <c r="BU22">
        <v>150679</v>
      </c>
      <c r="BV22">
        <v>3.5280300000000001E-2</v>
      </c>
      <c r="BW22">
        <v>150679</v>
      </c>
      <c r="BX22">
        <v>8.7935299999999994E-2</v>
      </c>
      <c r="BY22">
        <v>150679</v>
      </c>
      <c r="BZ22">
        <v>0.13538720000000001</v>
      </c>
      <c r="CA22">
        <v>150679</v>
      </c>
      <c r="CB22">
        <v>0.15337239999999999</v>
      </c>
      <c r="CC22">
        <v>150679</v>
      </c>
      <c r="CD22">
        <v>0.16540460000000001</v>
      </c>
      <c r="CE22">
        <v>150679</v>
      </c>
      <c r="CF22">
        <v>0.10387639999999999</v>
      </c>
      <c r="CG22">
        <v>150679</v>
      </c>
      <c r="CH22">
        <v>5.3849599999999997E-2</v>
      </c>
      <c r="CI22">
        <v>150679</v>
      </c>
      <c r="CJ22">
        <v>3.4530400000000003E-2</v>
      </c>
      <c r="CK22">
        <v>299338</v>
      </c>
      <c r="CL22">
        <v>0.49662590000000001</v>
      </c>
      <c r="CM22">
        <v>148659</v>
      </c>
      <c r="CN22">
        <v>6.8687399999999996E-2</v>
      </c>
      <c r="CO22">
        <v>148659</v>
      </c>
      <c r="CP22">
        <v>1.54111E-2</v>
      </c>
      <c r="CQ22">
        <v>148659</v>
      </c>
      <c r="CR22">
        <v>8.9480000000000004E-2</v>
      </c>
      <c r="CS22">
        <v>148659</v>
      </c>
      <c r="CT22">
        <v>4.2802699999999999E-2</v>
      </c>
      <c r="CU22">
        <v>148659</v>
      </c>
      <c r="CV22">
        <v>1.7301299999999999E-2</v>
      </c>
      <c r="CW22">
        <v>148659</v>
      </c>
      <c r="CX22">
        <v>2.8084399999999999E-2</v>
      </c>
      <c r="CY22">
        <v>148659</v>
      </c>
      <c r="CZ22">
        <v>7.8858300000000006E-2</v>
      </c>
      <c r="DA22">
        <v>148659</v>
      </c>
      <c r="DB22">
        <v>0.13658100000000001</v>
      </c>
      <c r="DC22">
        <v>148659</v>
      </c>
      <c r="DD22">
        <v>0.1523621</v>
      </c>
      <c r="DE22">
        <v>148659</v>
      </c>
      <c r="DF22">
        <v>0.16272809999999999</v>
      </c>
      <c r="DG22">
        <v>148659</v>
      </c>
      <c r="DH22">
        <v>0.1012855</v>
      </c>
      <c r="DI22">
        <v>148659</v>
      </c>
      <c r="DJ22">
        <v>6.0325999999999998E-2</v>
      </c>
      <c r="DK22">
        <v>148659</v>
      </c>
      <c r="DL22">
        <v>4.6092099999999997E-2</v>
      </c>
      <c r="DM22">
        <v>204464</v>
      </c>
      <c r="DN22">
        <v>4.4213200000000001E-2</v>
      </c>
      <c r="DO22">
        <v>9040</v>
      </c>
      <c r="DP22">
        <v>0.47168139999999997</v>
      </c>
      <c r="DQ22">
        <v>101666</v>
      </c>
      <c r="DR22">
        <v>4.1941300000000001E-2</v>
      </c>
      <c r="DS22">
        <v>4264</v>
      </c>
      <c r="DT22">
        <v>0.17213880000000001</v>
      </c>
      <c r="DU22">
        <v>7643</v>
      </c>
      <c r="DV22">
        <v>9.6035599999999999E-2</v>
      </c>
      <c r="DW22">
        <v>4264</v>
      </c>
      <c r="DX22">
        <v>0.39774860000000001</v>
      </c>
      <c r="DY22">
        <v>26719</v>
      </c>
      <c r="DZ22">
        <v>6.3475400000000001E-2</v>
      </c>
      <c r="EA22">
        <v>4264</v>
      </c>
      <c r="EB22">
        <v>0.3006566</v>
      </c>
      <c r="EC22">
        <v>33821</v>
      </c>
      <c r="ED22">
        <v>3.7905399999999999E-2</v>
      </c>
      <c r="EE22">
        <v>4264</v>
      </c>
      <c r="EF22">
        <v>0.12945590000000001</v>
      </c>
      <c r="EG22">
        <v>33483</v>
      </c>
      <c r="EH22">
        <v>1.6486000000000001E-2</v>
      </c>
      <c r="EI22">
        <v>9040</v>
      </c>
      <c r="EJ22">
        <v>0.52831859999999997</v>
      </c>
      <c r="EK22">
        <v>102798</v>
      </c>
      <c r="EL22">
        <v>4.6460000000000001E-2</v>
      </c>
      <c r="EM22">
        <v>4776</v>
      </c>
      <c r="EN22">
        <v>0.21859300000000001</v>
      </c>
      <c r="EO22">
        <v>8142</v>
      </c>
      <c r="EP22">
        <v>0.128224</v>
      </c>
      <c r="EQ22">
        <v>4776</v>
      </c>
      <c r="ER22">
        <v>0.3337521</v>
      </c>
      <c r="ES22">
        <v>29927</v>
      </c>
      <c r="ET22">
        <v>5.3262900000000002E-2</v>
      </c>
      <c r="EU22">
        <v>4776</v>
      </c>
      <c r="EV22">
        <v>0.18781410000000001</v>
      </c>
      <c r="EW22">
        <v>30921</v>
      </c>
      <c r="EX22">
        <v>2.9009400000000001E-2</v>
      </c>
      <c r="EY22">
        <v>4776</v>
      </c>
      <c r="EZ22">
        <v>0.25984089999999999</v>
      </c>
      <c r="FA22">
        <v>33808</v>
      </c>
      <c r="FB22">
        <v>3.6707299999999998E-2</v>
      </c>
      <c r="FC22">
        <v>204464</v>
      </c>
      <c r="FD22">
        <v>0.95578680000000005</v>
      </c>
      <c r="FE22">
        <v>195424</v>
      </c>
      <c r="FF22">
        <v>0.49841370000000002</v>
      </c>
      <c r="FG22">
        <v>101666</v>
      </c>
      <c r="FH22">
        <v>0.95805870000000004</v>
      </c>
      <c r="FI22">
        <v>97402</v>
      </c>
      <c r="FJ22">
        <v>7.0932800000000004E-2</v>
      </c>
      <c r="FK22">
        <v>7643</v>
      </c>
      <c r="FL22">
        <v>0.9039644</v>
      </c>
      <c r="FM22">
        <v>97402</v>
      </c>
      <c r="FN22">
        <v>0.25690439999999998</v>
      </c>
      <c r="FO22">
        <v>26719</v>
      </c>
      <c r="FP22">
        <v>0.93652460000000004</v>
      </c>
      <c r="FQ22">
        <v>97402</v>
      </c>
      <c r="FR22">
        <v>0.33406910000000001</v>
      </c>
      <c r="FS22">
        <v>33821</v>
      </c>
      <c r="FT22">
        <v>0.96209449999999996</v>
      </c>
      <c r="FU22">
        <v>97402</v>
      </c>
      <c r="FV22">
        <v>0.3380937</v>
      </c>
      <c r="FW22">
        <v>33483</v>
      </c>
      <c r="FX22">
        <v>0.983514</v>
      </c>
      <c r="FY22">
        <v>195424</v>
      </c>
      <c r="FZ22">
        <v>0.50158630000000004</v>
      </c>
      <c r="GA22">
        <v>102798</v>
      </c>
      <c r="GB22">
        <v>0.95354000000000005</v>
      </c>
      <c r="GC22">
        <v>98022</v>
      </c>
      <c r="GD22">
        <v>7.2412299999999999E-2</v>
      </c>
      <c r="GE22">
        <v>8142</v>
      </c>
      <c r="GF22">
        <v>0.871776</v>
      </c>
      <c r="GG22">
        <v>98022</v>
      </c>
      <c r="GH22">
        <v>0.28904740000000001</v>
      </c>
      <c r="GI22">
        <v>29927</v>
      </c>
      <c r="GJ22">
        <v>0.9467371</v>
      </c>
      <c r="GK22">
        <v>98022</v>
      </c>
      <c r="GL22">
        <v>0.30629859999999998</v>
      </c>
      <c r="GM22">
        <v>30921</v>
      </c>
      <c r="GN22">
        <v>0.97099060000000004</v>
      </c>
      <c r="GO22">
        <v>98022</v>
      </c>
      <c r="GP22">
        <v>0.33224169999999997</v>
      </c>
      <c r="GQ22">
        <v>33808</v>
      </c>
      <c r="GR22">
        <v>0.9632927</v>
      </c>
      <c r="GS22">
        <v>241726</v>
      </c>
      <c r="GT22">
        <v>4.8972799999999997E-2</v>
      </c>
      <c r="GU22">
        <v>11838</v>
      </c>
      <c r="GV22">
        <v>0.45911469999999999</v>
      </c>
      <c r="GW22">
        <v>5435</v>
      </c>
      <c r="GX22">
        <v>0.1116835</v>
      </c>
      <c r="GY22">
        <v>5435</v>
      </c>
      <c r="GZ22">
        <v>0.40846369999999999</v>
      </c>
      <c r="HA22">
        <v>5435</v>
      </c>
      <c r="HB22">
        <v>0.47985280000000002</v>
      </c>
      <c r="HC22">
        <v>5435</v>
      </c>
      <c r="HD22">
        <v>0.5304508</v>
      </c>
      <c r="HE22">
        <v>5435</v>
      </c>
      <c r="HF22">
        <v>0.4695492</v>
      </c>
      <c r="HG22">
        <v>2883</v>
      </c>
      <c r="HH22">
        <v>0.8009018</v>
      </c>
      <c r="HI22">
        <v>2883</v>
      </c>
      <c r="HJ22">
        <v>0.1990982</v>
      </c>
      <c r="HK22">
        <v>11838</v>
      </c>
      <c r="HL22">
        <v>0.54088530000000001</v>
      </c>
      <c r="HM22">
        <v>6403</v>
      </c>
      <c r="HN22">
        <v>4.90395E-2</v>
      </c>
      <c r="HO22">
        <v>6403</v>
      </c>
      <c r="HP22">
        <v>0.37419960000000002</v>
      </c>
      <c r="HQ22">
        <v>6403</v>
      </c>
      <c r="HR22">
        <v>0.57676090000000002</v>
      </c>
      <c r="HS22">
        <v>6403</v>
      </c>
      <c r="HT22">
        <v>0.42292679999999999</v>
      </c>
      <c r="HU22">
        <v>6403</v>
      </c>
      <c r="HV22">
        <v>0.57707330000000001</v>
      </c>
      <c r="HW22">
        <v>2708</v>
      </c>
      <c r="HX22">
        <v>0.65805020000000003</v>
      </c>
      <c r="HY22">
        <v>2708</v>
      </c>
      <c r="HZ22">
        <v>0.34194980000000003</v>
      </c>
      <c r="IA22">
        <v>241726</v>
      </c>
      <c r="IB22">
        <v>0.95102719999999996</v>
      </c>
      <c r="IC22">
        <v>229888</v>
      </c>
      <c r="ID22">
        <v>0.50445430000000002</v>
      </c>
      <c r="IE22">
        <v>115968</v>
      </c>
      <c r="IF22">
        <v>0.60982340000000002</v>
      </c>
      <c r="IG22">
        <v>115968</v>
      </c>
      <c r="IH22">
        <v>0.2305895</v>
      </c>
      <c r="II22">
        <v>115968</v>
      </c>
      <c r="IJ22">
        <v>0.15958710000000001</v>
      </c>
      <c r="IK22">
        <v>115803</v>
      </c>
      <c r="IL22">
        <v>0.81253509999999995</v>
      </c>
      <c r="IM22">
        <v>115803</v>
      </c>
      <c r="IN22">
        <v>0.18746489999999999</v>
      </c>
      <c r="IO22">
        <v>94094</v>
      </c>
      <c r="IP22">
        <v>0.95404599999999995</v>
      </c>
      <c r="IQ22">
        <v>94094</v>
      </c>
      <c r="IR22">
        <v>4.5954000000000002E-2</v>
      </c>
      <c r="IS22">
        <v>229888</v>
      </c>
      <c r="IT22">
        <v>0.49554569999999998</v>
      </c>
      <c r="IU22">
        <v>113920</v>
      </c>
      <c r="IV22">
        <v>0.3937851</v>
      </c>
      <c r="IW22">
        <v>113920</v>
      </c>
      <c r="IX22">
        <v>0.3234551</v>
      </c>
      <c r="IY22">
        <v>113920</v>
      </c>
      <c r="IZ22">
        <v>0.28275980000000001</v>
      </c>
      <c r="JA22">
        <v>113920</v>
      </c>
      <c r="JB22">
        <v>0.67869559999999995</v>
      </c>
      <c r="JC22">
        <v>113920</v>
      </c>
      <c r="JD22">
        <v>0.32130439999999999</v>
      </c>
      <c r="JE22">
        <v>77317</v>
      </c>
      <c r="JF22">
        <v>0.94929960000000002</v>
      </c>
      <c r="JG22">
        <v>77317</v>
      </c>
      <c r="JH22">
        <v>5.07004E-2</v>
      </c>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c r="MG22"/>
      <c r="MH22"/>
      <c r="MI22"/>
      <c r="MJ22"/>
      <c r="MK22"/>
      <c r="ML22"/>
      <c r="MM22"/>
      <c r="MN22"/>
      <c r="MO22"/>
      <c r="MP22"/>
      <c r="MQ22"/>
      <c r="MR22"/>
      <c r="MS22"/>
      <c r="MT22"/>
      <c r="MU22"/>
      <c r="MV22"/>
      <c r="MW22"/>
      <c r="MX22"/>
      <c r="MY22"/>
      <c r="MZ22"/>
      <c r="NA22"/>
      <c r="NB22"/>
      <c r="NC22"/>
      <c r="ND22"/>
      <c r="NE22"/>
      <c r="NF22"/>
      <c r="NG22"/>
      <c r="NH22"/>
      <c r="NI22"/>
      <c r="NJ22"/>
      <c r="NK22"/>
      <c r="NL22"/>
      <c r="NM22"/>
      <c r="NN22"/>
      <c r="NO22"/>
      <c r="NP22"/>
      <c r="NQ22"/>
      <c r="NR22"/>
      <c r="NS22"/>
      <c r="NT22"/>
      <c r="NU22"/>
      <c r="NV22"/>
      <c r="NW22"/>
      <c r="NX22"/>
      <c r="NY22"/>
      <c r="NZ22"/>
      <c r="OA22"/>
      <c r="OB22"/>
      <c r="OC22"/>
      <c r="OD22"/>
      <c r="OE22"/>
      <c r="OF22"/>
      <c r="OG22"/>
      <c r="OH22"/>
      <c r="OI22"/>
      <c r="OJ22"/>
      <c r="OK22"/>
      <c r="OL22"/>
      <c r="OM22"/>
      <c r="ON22"/>
      <c r="OO22"/>
      <c r="OP22"/>
      <c r="OQ22"/>
      <c r="OR22"/>
      <c r="OS22"/>
      <c r="OT22"/>
      <c r="OU22"/>
      <c r="OV22"/>
      <c r="OW22"/>
      <c r="OX22"/>
      <c r="OY22"/>
      <c r="OZ22"/>
      <c r="PA22"/>
      <c r="PB22"/>
      <c r="PC22"/>
      <c r="PD22"/>
      <c r="PE22"/>
      <c r="PF22"/>
      <c r="PG22"/>
      <c r="PH22"/>
      <c r="PI22"/>
      <c r="PJ22"/>
      <c r="PK22"/>
      <c r="PL22"/>
      <c r="PM22">
        <v>318641</v>
      </c>
      <c r="PN22">
        <v>0.50255930000000004</v>
      </c>
      <c r="PO22">
        <v>160136</v>
      </c>
      <c r="PP22">
        <v>7.0190299999999997E-2</v>
      </c>
      <c r="PQ22">
        <v>160136</v>
      </c>
      <c r="PR22">
        <v>7.9632300000000003E-2</v>
      </c>
      <c r="PS22">
        <v>160136</v>
      </c>
      <c r="PT22">
        <v>7.4399300000000002E-2</v>
      </c>
      <c r="PU22">
        <v>160136</v>
      </c>
      <c r="PV22">
        <v>4.7603300000000001E-2</v>
      </c>
      <c r="PW22">
        <v>160136</v>
      </c>
      <c r="PX22">
        <v>2.71332E-2</v>
      </c>
      <c r="PY22">
        <v>160136</v>
      </c>
      <c r="PZ22">
        <v>1.2739199999999999E-2</v>
      </c>
      <c r="QA22">
        <v>160136</v>
      </c>
      <c r="QB22">
        <v>1.4968499999999999E-2</v>
      </c>
      <c r="QC22">
        <v>160136</v>
      </c>
      <c r="QD22">
        <v>3.6475199999999999E-2</v>
      </c>
      <c r="QE22">
        <v>160136</v>
      </c>
      <c r="QF22">
        <v>7.2887999999999994E-2</v>
      </c>
      <c r="QG22">
        <v>160136</v>
      </c>
      <c r="QH22">
        <v>5.8550199999999997E-2</v>
      </c>
      <c r="QI22">
        <v>160136</v>
      </c>
      <c r="QJ22">
        <v>7.14143E-2</v>
      </c>
      <c r="QK22">
        <v>160136</v>
      </c>
      <c r="QL22">
        <v>8.4821599999999997E-2</v>
      </c>
      <c r="QM22">
        <v>160136</v>
      </c>
      <c r="QN22">
        <v>8.7706699999999999E-2</v>
      </c>
      <c r="QO22">
        <v>160136</v>
      </c>
      <c r="QP22">
        <v>7.1945099999999998E-2</v>
      </c>
      <c r="QQ22">
        <v>160136</v>
      </c>
      <c r="QR22">
        <v>6.3714599999999996E-2</v>
      </c>
      <c r="QS22">
        <v>160136</v>
      </c>
      <c r="QT22">
        <v>1.8609199999999999E-2</v>
      </c>
      <c r="QU22">
        <v>160136</v>
      </c>
      <c r="QV22">
        <v>2.0214099999999999E-2</v>
      </c>
      <c r="QW22">
        <v>160136</v>
      </c>
      <c r="QX22">
        <v>1.29452E-2</v>
      </c>
      <c r="QY22">
        <v>160136</v>
      </c>
      <c r="QZ22">
        <v>1.9158700000000001E-2</v>
      </c>
      <c r="RA22">
        <v>160136</v>
      </c>
      <c r="RB22">
        <v>2.1256899999999999E-2</v>
      </c>
      <c r="RC22">
        <v>160136</v>
      </c>
      <c r="RD22">
        <v>1.63424E-2</v>
      </c>
      <c r="RE22">
        <v>160136</v>
      </c>
      <c r="RF22">
        <v>1.01788E-2</v>
      </c>
      <c r="RG22">
        <v>160136</v>
      </c>
      <c r="RH22">
        <v>7.1126999999999996E-3</v>
      </c>
      <c r="RI22">
        <v>318641</v>
      </c>
      <c r="RJ22">
        <v>0.49744070000000001</v>
      </c>
      <c r="RK22">
        <v>158505</v>
      </c>
      <c r="RL22">
        <v>6.8843299999999996E-2</v>
      </c>
      <c r="RM22">
        <v>158505</v>
      </c>
      <c r="RN22">
        <v>7.4584399999999995E-2</v>
      </c>
      <c r="RO22">
        <v>158505</v>
      </c>
      <c r="RP22">
        <v>7.3947200000000005E-2</v>
      </c>
      <c r="RQ22">
        <v>158505</v>
      </c>
      <c r="RR22">
        <v>4.57083E-2</v>
      </c>
      <c r="RS22">
        <v>158505</v>
      </c>
      <c r="RT22">
        <v>2.3147500000000001E-2</v>
      </c>
      <c r="RU22">
        <v>158505</v>
      </c>
      <c r="RV22">
        <v>1.1368700000000001E-2</v>
      </c>
      <c r="RW22">
        <v>158505</v>
      </c>
      <c r="RX22">
        <v>1.1879799999999999E-2</v>
      </c>
      <c r="RY22">
        <v>158505</v>
      </c>
      <c r="RZ22">
        <v>3.5159799999999998E-2</v>
      </c>
      <c r="SA22">
        <v>158505</v>
      </c>
      <c r="SB22">
        <v>7.2697999999999999E-2</v>
      </c>
      <c r="SC22">
        <v>158505</v>
      </c>
      <c r="SD22">
        <v>6.0395600000000001E-2</v>
      </c>
      <c r="SE22">
        <v>158505</v>
      </c>
      <c r="SF22">
        <v>7.3896699999999996E-2</v>
      </c>
      <c r="SG22">
        <v>158505</v>
      </c>
      <c r="SH22">
        <v>7.7606400000000006E-2</v>
      </c>
      <c r="SI22">
        <v>158505</v>
      </c>
      <c r="SJ22">
        <v>8.5688200000000006E-2</v>
      </c>
      <c r="SK22">
        <v>158505</v>
      </c>
      <c r="SL22">
        <v>7.2023000000000004E-2</v>
      </c>
      <c r="SM22">
        <v>158505</v>
      </c>
      <c r="SN22">
        <v>6.4988500000000005E-2</v>
      </c>
      <c r="SO22">
        <v>158505</v>
      </c>
      <c r="SP22">
        <v>1.88322E-2</v>
      </c>
      <c r="SQ22">
        <v>158505</v>
      </c>
      <c r="SR22">
        <v>1.65673E-2</v>
      </c>
      <c r="SS22">
        <v>158505</v>
      </c>
      <c r="ST22">
        <v>1.4283499999999999E-2</v>
      </c>
      <c r="SU22">
        <v>158505</v>
      </c>
      <c r="SV22">
        <v>2.35135E-2</v>
      </c>
      <c r="SW22">
        <v>158505</v>
      </c>
      <c r="SX22">
        <v>2.087E-2</v>
      </c>
      <c r="SY22">
        <v>158505</v>
      </c>
      <c r="SZ22">
        <v>1.9027800000000001E-2</v>
      </c>
      <c r="TA22">
        <v>158505</v>
      </c>
      <c r="TB22">
        <v>1.7841699999999999E-2</v>
      </c>
      <c r="TC22">
        <v>158505</v>
      </c>
      <c r="TD22">
        <v>1.71288E-2</v>
      </c>
      <c r="TE22">
        <v>289205</v>
      </c>
      <c r="TF22">
        <v>0.49867739999999999</v>
      </c>
      <c r="TG22"/>
      <c r="TH22"/>
      <c r="TI22"/>
      <c r="TJ22"/>
      <c r="TK22">
        <v>8761</v>
      </c>
      <c r="TL22">
        <v>0.5219724</v>
      </c>
      <c r="TM22"/>
      <c r="TN22"/>
      <c r="TO22">
        <v>12667</v>
      </c>
      <c r="TP22">
        <v>0.5733007</v>
      </c>
      <c r="TQ22"/>
      <c r="TR22"/>
      <c r="TS22">
        <v>267055</v>
      </c>
      <c r="TT22">
        <v>0.49727959999999999</v>
      </c>
      <c r="TU22">
        <v>36159</v>
      </c>
      <c r="TV22">
        <v>0.53956139999999997</v>
      </c>
      <c r="TW22">
        <v>289205</v>
      </c>
      <c r="TX22">
        <v>0.50132259999999995</v>
      </c>
      <c r="TY22"/>
      <c r="TZ22"/>
      <c r="UA22"/>
      <c r="UB22"/>
      <c r="UC22">
        <v>8761</v>
      </c>
      <c r="UD22">
        <v>0.4780276</v>
      </c>
      <c r="UE22"/>
      <c r="UF22"/>
      <c r="UG22">
        <v>12667</v>
      </c>
      <c r="UH22">
        <v>0.4266993</v>
      </c>
      <c r="UI22"/>
      <c r="UJ22"/>
      <c r="UK22">
        <v>267055</v>
      </c>
      <c r="UL22">
        <v>0.50272039999999996</v>
      </c>
      <c r="UM22">
        <v>36159</v>
      </c>
      <c r="UN22">
        <v>0.46043859999999998</v>
      </c>
      <c r="UO22">
        <v>81527</v>
      </c>
      <c r="UP22">
        <v>81527</v>
      </c>
      <c r="UQ22">
        <v>81527</v>
      </c>
      <c r="UR22">
        <v>66021</v>
      </c>
      <c r="US22">
        <v>66021</v>
      </c>
      <c r="UT22">
        <v>66021</v>
      </c>
      <c r="UU22">
        <v>2.0238999999999999E-3</v>
      </c>
      <c r="UV22">
        <v>0.95633349999999995</v>
      </c>
      <c r="UW22">
        <v>4.1642600000000002E-2</v>
      </c>
      <c r="UX22">
        <v>0</v>
      </c>
      <c r="UY22">
        <v>0.9506521</v>
      </c>
      <c r="UZ22">
        <v>4.93479E-2</v>
      </c>
      <c r="VA22">
        <v>5177</v>
      </c>
      <c r="VB22">
        <v>0</v>
      </c>
      <c r="VC22">
        <v>5177</v>
      </c>
      <c r="VD22">
        <v>0.89240870000000005</v>
      </c>
      <c r="VE22">
        <v>5177</v>
      </c>
      <c r="VF22">
        <v>0.1075913</v>
      </c>
      <c r="VG22">
        <v>10264</v>
      </c>
      <c r="VH22">
        <v>0</v>
      </c>
      <c r="VI22">
        <v>10264</v>
      </c>
      <c r="VJ22">
        <v>0.99444659999999996</v>
      </c>
      <c r="VK22">
        <v>10264</v>
      </c>
      <c r="VL22">
        <v>5.5534E-3</v>
      </c>
      <c r="VM22">
        <v>8941</v>
      </c>
      <c r="VN22">
        <v>0</v>
      </c>
      <c r="VO22">
        <v>8941</v>
      </c>
      <c r="VP22">
        <v>0.91309700000000005</v>
      </c>
      <c r="VQ22">
        <v>8941</v>
      </c>
      <c r="VR22">
        <v>8.6902999999999994E-2</v>
      </c>
      <c r="VS22">
        <v>24017</v>
      </c>
      <c r="VT22">
        <v>6.8700999999999996E-3</v>
      </c>
      <c r="VU22">
        <v>24017</v>
      </c>
      <c r="VV22">
        <v>0.96918850000000001</v>
      </c>
      <c r="VW22">
        <v>24017</v>
      </c>
      <c r="VX22">
        <v>2.3941400000000002E-2</v>
      </c>
      <c r="VY22">
        <v>24076</v>
      </c>
      <c r="VZ22">
        <v>0</v>
      </c>
      <c r="WA22">
        <v>24076</v>
      </c>
      <c r="WB22">
        <v>0.96776870000000004</v>
      </c>
      <c r="WC22">
        <v>24076</v>
      </c>
      <c r="WD22">
        <v>3.2231299999999997E-2</v>
      </c>
      <c r="WE22">
        <v>9052</v>
      </c>
      <c r="WF22">
        <v>0</v>
      </c>
      <c r="WG22">
        <v>9052</v>
      </c>
      <c r="WH22">
        <v>0.9278613</v>
      </c>
      <c r="WI22">
        <v>9052</v>
      </c>
      <c r="WJ22">
        <v>7.2138800000000003E-2</v>
      </c>
      <c r="WK22">
        <v>4734</v>
      </c>
      <c r="WL22">
        <v>0</v>
      </c>
      <c r="WM22">
        <v>4734</v>
      </c>
      <c r="WN22">
        <v>0.85825940000000001</v>
      </c>
      <c r="WO22">
        <v>4734</v>
      </c>
      <c r="WP22">
        <v>0.14174059999999999</v>
      </c>
      <c r="WQ22">
        <v>9702</v>
      </c>
      <c r="WR22">
        <v>0</v>
      </c>
      <c r="WS22">
        <v>9702</v>
      </c>
      <c r="WT22">
        <v>0.95846220000000004</v>
      </c>
      <c r="WU22">
        <v>9702</v>
      </c>
      <c r="WV22">
        <v>4.15378E-2</v>
      </c>
      <c r="WW22">
        <v>6618</v>
      </c>
      <c r="WX22">
        <v>0</v>
      </c>
      <c r="WY22">
        <v>6618</v>
      </c>
      <c r="WZ22">
        <v>0.98866719999999997</v>
      </c>
      <c r="XA22">
        <v>6618</v>
      </c>
      <c r="XB22">
        <v>1.1332699999999999E-2</v>
      </c>
      <c r="XC22">
        <v>17122</v>
      </c>
      <c r="XD22">
        <v>0</v>
      </c>
      <c r="XE22">
        <v>17122</v>
      </c>
      <c r="XF22">
        <v>0.96162829999999999</v>
      </c>
      <c r="XG22">
        <v>17122</v>
      </c>
      <c r="XH22">
        <v>3.8371700000000002E-2</v>
      </c>
      <c r="XI22">
        <v>20682</v>
      </c>
      <c r="XJ22">
        <v>0</v>
      </c>
      <c r="XK22">
        <v>20682</v>
      </c>
      <c r="XL22">
        <v>0.95058509999999996</v>
      </c>
      <c r="XM22">
        <v>20682</v>
      </c>
      <c r="XN22">
        <v>4.9415000000000001E-2</v>
      </c>
      <c r="XO22">
        <v>7163</v>
      </c>
      <c r="XP22">
        <v>0</v>
      </c>
      <c r="XQ22">
        <v>7163</v>
      </c>
      <c r="XR22">
        <v>0.93996930000000001</v>
      </c>
      <c r="XS22">
        <v>7163</v>
      </c>
      <c r="XT22">
        <v>6.0030699999999999E-2</v>
      </c>
      <c r="XU22">
        <v>211598</v>
      </c>
      <c r="XV22">
        <v>0.51065229999999995</v>
      </c>
      <c r="XW22">
        <v>108053</v>
      </c>
      <c r="XX22">
        <v>0.89320980000000005</v>
      </c>
      <c r="XY22">
        <v>108053</v>
      </c>
      <c r="XZ22">
        <v>0.1067902</v>
      </c>
      <c r="YA22">
        <v>96514</v>
      </c>
      <c r="YB22">
        <v>0.84995960000000004</v>
      </c>
      <c r="YC22">
        <v>82033</v>
      </c>
      <c r="YD22">
        <v>0.8495606</v>
      </c>
      <c r="YE22">
        <v>82033</v>
      </c>
      <c r="YF22">
        <v>2.5148400000000001E-2</v>
      </c>
      <c r="YG22">
        <v>82033</v>
      </c>
      <c r="YH22">
        <v>4.9687299999999997E-2</v>
      </c>
      <c r="YI22">
        <v>82033</v>
      </c>
      <c r="YJ22">
        <v>3.2669799999999999E-2</v>
      </c>
      <c r="YK22">
        <v>82033</v>
      </c>
      <c r="YL22">
        <v>2.1771700000000001E-2</v>
      </c>
      <c r="YM22">
        <v>82033</v>
      </c>
      <c r="YN22">
        <v>2.1162199999999999E-2</v>
      </c>
      <c r="YO22">
        <v>96514</v>
      </c>
      <c r="YP22">
        <v>0.1022339</v>
      </c>
      <c r="YQ22">
        <v>9867</v>
      </c>
      <c r="YR22">
        <v>0.41309420000000002</v>
      </c>
      <c r="YS22">
        <v>9867</v>
      </c>
      <c r="YT22">
        <v>4.3072899999999997E-2</v>
      </c>
      <c r="YU22">
        <v>9867</v>
      </c>
      <c r="YV22">
        <v>0.12678629999999999</v>
      </c>
      <c r="YW22">
        <v>9867</v>
      </c>
      <c r="YX22">
        <v>0.15404880000000001</v>
      </c>
      <c r="YY22">
        <v>9867</v>
      </c>
      <c r="YZ22">
        <v>9.2125299999999993E-2</v>
      </c>
      <c r="ZA22">
        <v>9867</v>
      </c>
      <c r="ZB22">
        <v>0.17087260000000001</v>
      </c>
      <c r="ZC22">
        <v>96514</v>
      </c>
      <c r="ZD22">
        <v>4.7806500000000002E-2</v>
      </c>
      <c r="ZE22">
        <v>4614</v>
      </c>
      <c r="ZF22">
        <v>0.2308192</v>
      </c>
      <c r="ZG22">
        <v>4614</v>
      </c>
      <c r="ZH22">
        <v>0</v>
      </c>
      <c r="ZI22">
        <v>4614</v>
      </c>
      <c r="ZJ22">
        <v>2.9692199999999998E-2</v>
      </c>
      <c r="ZK22">
        <v>4614</v>
      </c>
      <c r="ZL22">
        <v>0.16038150000000001</v>
      </c>
      <c r="ZM22">
        <v>4614</v>
      </c>
      <c r="ZN22">
        <v>0.18768960000000001</v>
      </c>
      <c r="ZO22">
        <v>4614</v>
      </c>
      <c r="ZP22">
        <v>0.39141740000000003</v>
      </c>
      <c r="ZQ22">
        <v>211598</v>
      </c>
      <c r="ZR22">
        <v>0.4893477</v>
      </c>
      <c r="ZS22">
        <v>103545</v>
      </c>
      <c r="ZT22">
        <v>0.7832633</v>
      </c>
      <c r="ZU22">
        <v>103545</v>
      </c>
      <c r="ZV22">
        <v>0.2167367</v>
      </c>
      <c r="ZW22">
        <v>81103</v>
      </c>
      <c r="ZX22">
        <v>0.6651049</v>
      </c>
      <c r="ZY22">
        <v>53942</v>
      </c>
      <c r="ZZ22">
        <v>0.8194728</v>
      </c>
      <c r="AAA22">
        <v>53942</v>
      </c>
      <c r="AAB22">
        <v>1.44785E-2</v>
      </c>
      <c r="AAC22">
        <v>53942</v>
      </c>
      <c r="AAD22">
        <v>6.5551899999999996E-2</v>
      </c>
      <c r="AAE22">
        <v>53942</v>
      </c>
      <c r="AAF22">
        <v>4.26384E-2</v>
      </c>
      <c r="AAG22">
        <v>53942</v>
      </c>
      <c r="AAH22">
        <v>1.53127E-2</v>
      </c>
      <c r="AAI22">
        <v>53942</v>
      </c>
      <c r="AAJ22">
        <v>4.2545699999999999E-2</v>
      </c>
      <c r="AAK22">
        <v>81103</v>
      </c>
      <c r="AAL22">
        <v>0.25639000000000001</v>
      </c>
      <c r="AAM22">
        <v>20794</v>
      </c>
      <c r="AAN22">
        <v>0.52207369999999997</v>
      </c>
      <c r="AAO22">
        <v>20794</v>
      </c>
      <c r="AAP22">
        <v>3.4913899999999998E-2</v>
      </c>
      <c r="AAQ22">
        <v>20794</v>
      </c>
      <c r="AAR22">
        <v>9.2863299999999996E-2</v>
      </c>
      <c r="AAS22">
        <v>20794</v>
      </c>
      <c r="AAT22">
        <v>0.1259498</v>
      </c>
      <c r="AAU22">
        <v>20794</v>
      </c>
      <c r="AAV22">
        <v>0.13590459999999999</v>
      </c>
      <c r="AAW22">
        <v>20794</v>
      </c>
      <c r="AAX22">
        <v>8.8294700000000004E-2</v>
      </c>
      <c r="AAY22">
        <v>81103</v>
      </c>
      <c r="AAZ22">
        <v>7.8505099999999994E-2</v>
      </c>
      <c r="ABA22">
        <v>6367</v>
      </c>
      <c r="ABB22">
        <v>0.25490810000000003</v>
      </c>
      <c r="ABC22">
        <v>6367</v>
      </c>
      <c r="ABD22">
        <v>2.84278E-2</v>
      </c>
      <c r="ABE22">
        <v>6367</v>
      </c>
      <c r="ABF22">
        <v>9.7691200000000006E-2</v>
      </c>
      <c r="ABG22">
        <v>6367</v>
      </c>
      <c r="ABH22">
        <v>0.21281610000000001</v>
      </c>
      <c r="ABI22">
        <v>6367</v>
      </c>
      <c r="ABJ22">
        <v>0.16915350000000001</v>
      </c>
      <c r="ABK22">
        <v>6367</v>
      </c>
      <c r="ABL22">
        <v>0.2370033</v>
      </c>
      <c r="ABM22">
        <v>109390</v>
      </c>
      <c r="ABN22">
        <v>0.75002279999999999</v>
      </c>
      <c r="ABO22">
        <v>82045</v>
      </c>
      <c r="ABP22">
        <v>0.86659759999999997</v>
      </c>
      <c r="ABQ22">
        <v>82045</v>
      </c>
      <c r="ABR22">
        <v>0.1334024</v>
      </c>
      <c r="ABS22">
        <v>10945</v>
      </c>
      <c r="ABT22">
        <v>0.26843309999999998</v>
      </c>
      <c r="ABU22">
        <v>10945</v>
      </c>
      <c r="ABV22">
        <v>0.73156690000000002</v>
      </c>
      <c r="ABW22">
        <v>109390</v>
      </c>
      <c r="ABX22">
        <v>0.24997710000000001</v>
      </c>
      <c r="ABY22">
        <v>27345</v>
      </c>
      <c r="ABZ22">
        <v>0.80288899999999996</v>
      </c>
      <c r="ACA22">
        <v>27345</v>
      </c>
      <c r="ACB22">
        <v>0.19711100000000001</v>
      </c>
      <c r="ACC22"/>
      <c r="ACD22"/>
      <c r="ACE22"/>
      <c r="ACF22"/>
      <c r="ACG22"/>
      <c r="ACH22"/>
      <c r="ACI22"/>
      <c r="ACJ22"/>
      <c r="ACK22"/>
      <c r="ACL22"/>
      <c r="ACM22"/>
      <c r="ACN22"/>
      <c r="ACO22"/>
      <c r="ACP22"/>
      <c r="ACQ22"/>
      <c r="ACR22"/>
      <c r="ACS22"/>
      <c r="ACT22"/>
      <c r="ACU22"/>
      <c r="ACV22"/>
      <c r="ACW22"/>
      <c r="ACX22"/>
      <c r="ACY22"/>
      <c r="ACZ22"/>
      <c r="ADA22"/>
      <c r="ADB22"/>
      <c r="ADC22"/>
      <c r="ADD22"/>
      <c r="ADE22"/>
      <c r="ADF22"/>
      <c r="ADG22"/>
      <c r="ADH22"/>
      <c r="ADI22"/>
      <c r="ADJ22"/>
      <c r="ADK22"/>
      <c r="ADL22"/>
      <c r="ADM22"/>
      <c r="ADN22"/>
      <c r="ADO22"/>
      <c r="ADP22"/>
      <c r="ADQ22"/>
      <c r="ADR22"/>
      <c r="ADS22"/>
      <c r="ADT22"/>
      <c r="ADU22"/>
      <c r="ADV22"/>
      <c r="ADW22"/>
      <c r="ADX22"/>
      <c r="ADY22"/>
      <c r="ADZ22"/>
      <c r="AEA22"/>
      <c r="AEB22"/>
      <c r="AEC22"/>
      <c r="AED22"/>
      <c r="AEE22"/>
      <c r="AEF22"/>
      <c r="AEG22"/>
      <c r="AEH22"/>
      <c r="AEI22"/>
      <c r="AEJ22"/>
      <c r="AEK22"/>
      <c r="AEL22"/>
      <c r="AEM22"/>
      <c r="AEN22"/>
      <c r="AEO22"/>
      <c r="AEP22"/>
      <c r="AEQ22"/>
      <c r="AER22"/>
      <c r="AES22"/>
      <c r="AET22"/>
      <c r="AEU22"/>
      <c r="AEV22"/>
      <c r="AEW22"/>
      <c r="AEX22"/>
      <c r="AEY22"/>
      <c r="AEZ22"/>
      <c r="AFA22"/>
      <c r="AFB22"/>
      <c r="AFC22"/>
      <c r="AFD22"/>
      <c r="AFE22"/>
      <c r="AFF22"/>
      <c r="AFG22"/>
      <c r="AFH22"/>
      <c r="AFI22"/>
      <c r="AFJ22"/>
      <c r="AFK22"/>
      <c r="AFL22"/>
      <c r="AFM22"/>
      <c r="AFN22"/>
      <c r="AFO22"/>
      <c r="AFP22"/>
      <c r="AFQ22"/>
      <c r="AFR22"/>
      <c r="AFS22"/>
      <c r="AFT22"/>
      <c r="AFU22"/>
      <c r="AFV22"/>
      <c r="AFW22"/>
      <c r="AFX22"/>
      <c r="AFY22"/>
      <c r="AFZ22"/>
      <c r="AGA22"/>
      <c r="AGB22"/>
      <c r="AGC22"/>
      <c r="AGD22"/>
      <c r="AGE22"/>
      <c r="AGF22"/>
      <c r="AGG22"/>
      <c r="AGH22"/>
      <c r="AGI22"/>
      <c r="AGJ22"/>
      <c r="AGK22"/>
      <c r="AGL22"/>
      <c r="AGM22"/>
      <c r="AGN22"/>
      <c r="AGO22"/>
      <c r="AGP22"/>
      <c r="AGQ22"/>
      <c r="AGR22"/>
      <c r="AGS22"/>
      <c r="AGT22"/>
      <c r="AGU22"/>
      <c r="AGV22"/>
      <c r="AGW22"/>
      <c r="AGX22"/>
      <c r="AGY22"/>
      <c r="AGZ22"/>
      <c r="AHA22"/>
      <c r="AHB22"/>
      <c r="AHC22"/>
      <c r="AHD22"/>
      <c r="AHE22"/>
      <c r="AHF22"/>
      <c r="AHG22"/>
      <c r="AHH22"/>
      <c r="AHI22"/>
      <c r="AHJ22"/>
      <c r="AHK22"/>
      <c r="AHL22"/>
      <c r="AHM22"/>
      <c r="AHN22"/>
      <c r="AHO22"/>
      <c r="AHP22"/>
      <c r="AHQ22"/>
      <c r="AHR22"/>
      <c r="AHS22"/>
      <c r="AHT22"/>
      <c r="AHU22"/>
      <c r="AHV22"/>
      <c r="AHW22"/>
      <c r="AHX22"/>
      <c r="AHY22"/>
      <c r="AHZ22"/>
      <c r="AIA22"/>
      <c r="AIB22"/>
      <c r="AIC22"/>
      <c r="AID22"/>
      <c r="AIE22"/>
      <c r="AIF22"/>
      <c r="AIG22"/>
      <c r="AIH22"/>
      <c r="AII22"/>
      <c r="AIJ22"/>
      <c r="AIK22"/>
      <c r="AIL22"/>
      <c r="AIM22"/>
      <c r="AIN22"/>
      <c r="AIO22"/>
      <c r="AIP22"/>
      <c r="AIQ22"/>
      <c r="AIR22"/>
      <c r="AIS22"/>
      <c r="AIT22"/>
      <c r="AIU22"/>
      <c r="AIV22"/>
      <c r="AIW22"/>
      <c r="AIX22"/>
      <c r="AIY22"/>
      <c r="AIZ22"/>
      <c r="AJA22"/>
      <c r="AJB22"/>
      <c r="AJC22"/>
      <c r="AJD22"/>
      <c r="AJE22"/>
      <c r="AJF22"/>
      <c r="AJG22"/>
      <c r="AJH22"/>
      <c r="AJI22"/>
      <c r="AJJ22"/>
      <c r="AJK22"/>
      <c r="AJL22"/>
      <c r="AJM22"/>
      <c r="AJN22"/>
      <c r="AJO22"/>
      <c r="AJP22"/>
      <c r="AJQ22"/>
      <c r="AJR22"/>
      <c r="AJS22"/>
      <c r="AJT22"/>
      <c r="AJU22"/>
      <c r="AJV22"/>
      <c r="AJW22"/>
      <c r="AJX22"/>
      <c r="AJY22"/>
      <c r="AJZ22"/>
      <c r="AKA22"/>
      <c r="AKB22"/>
      <c r="AKC22"/>
      <c r="AKD22"/>
      <c r="AKE22"/>
      <c r="AKF22"/>
      <c r="AKG22"/>
      <c r="AKH22"/>
      <c r="AKI22"/>
      <c r="AKJ22"/>
      <c r="AKK22"/>
      <c r="AKL22"/>
      <c r="AKM22"/>
      <c r="AKN22"/>
      <c r="AKO22"/>
      <c r="AKP22"/>
      <c r="AKQ22"/>
      <c r="AKR22"/>
      <c r="AKS22"/>
      <c r="AKT22"/>
      <c r="AKU22"/>
      <c r="AKV22"/>
      <c r="AKW22"/>
      <c r="AKX22"/>
      <c r="AKY22"/>
      <c r="AKZ22"/>
      <c r="ALA22"/>
      <c r="ALB22"/>
      <c r="ALC22"/>
      <c r="ALD22"/>
      <c r="ALE22"/>
      <c r="ALF22"/>
      <c r="ALG22"/>
      <c r="ALH22"/>
      <c r="ALI22"/>
      <c r="ALJ22"/>
      <c r="ALK22"/>
      <c r="ALL22"/>
      <c r="ALM22"/>
      <c r="ALN22"/>
      <c r="ALO22"/>
      <c r="ALP22"/>
      <c r="ALQ22"/>
      <c r="ALR22"/>
      <c r="ALS22"/>
      <c r="ALT22"/>
      <c r="ALU22"/>
      <c r="ALV22"/>
      <c r="ALW22"/>
      <c r="ALX22"/>
      <c r="ALY22"/>
      <c r="ALZ22"/>
      <c r="AMA22"/>
      <c r="AMB22"/>
      <c r="AMC22"/>
      <c r="AMD22"/>
      <c r="AME22"/>
      <c r="AMF22"/>
      <c r="AMG22"/>
      <c r="AMH22"/>
      <c r="AMI22"/>
      <c r="AMJ22"/>
      <c r="AMK22"/>
      <c r="AML22"/>
      <c r="AMM22"/>
      <c r="AMN22"/>
      <c r="AMO22"/>
      <c r="AMP22"/>
      <c r="AMQ22"/>
      <c r="AMR22"/>
      <c r="AMS22"/>
      <c r="AMT22"/>
      <c r="AMU22"/>
      <c r="AMV22"/>
      <c r="AMW22"/>
      <c r="AMX22"/>
      <c r="AMY22"/>
      <c r="AMZ22"/>
      <c r="ANA22"/>
      <c r="ANB22"/>
      <c r="ANC22"/>
      <c r="AND22"/>
      <c r="ANE22"/>
      <c r="ANF22"/>
      <c r="ANG22"/>
      <c r="ANH22"/>
      <c r="ANI22"/>
      <c r="ANJ22"/>
      <c r="ANK22"/>
      <c r="ANL22"/>
      <c r="ANM22"/>
      <c r="ANN22"/>
      <c r="ANO22"/>
      <c r="ANP22"/>
      <c r="ANQ22"/>
      <c r="ANR22"/>
      <c r="ANS22"/>
      <c r="ANT22"/>
      <c r="ANU22"/>
      <c r="ANV22"/>
      <c r="ANW22"/>
      <c r="ANX22"/>
      <c r="ANY22"/>
      <c r="ANZ22"/>
      <c r="AOA22"/>
      <c r="AOB22"/>
      <c r="AOC22"/>
      <c r="AOD22"/>
      <c r="AOE22"/>
      <c r="AOF22"/>
      <c r="AOG22"/>
      <c r="AOH22"/>
      <c r="AOI22"/>
      <c r="AOJ22"/>
      <c r="AOK22"/>
      <c r="AOL22"/>
      <c r="AOM22"/>
      <c r="AON22"/>
      <c r="AOO22"/>
      <c r="AOP22"/>
      <c r="AOQ22"/>
      <c r="AOR22"/>
      <c r="AOS22"/>
      <c r="AOT22"/>
      <c r="AOU22"/>
      <c r="AOV22"/>
      <c r="AOW22"/>
      <c r="AOX22"/>
      <c r="AOY22"/>
      <c r="AOZ22"/>
      <c r="APA22"/>
      <c r="APB22"/>
      <c r="APC22"/>
      <c r="APD22"/>
      <c r="APE22"/>
      <c r="APF22"/>
      <c r="APG22"/>
      <c r="APH22"/>
      <c r="API22"/>
      <c r="APJ22"/>
      <c r="APK22"/>
      <c r="APL22"/>
      <c r="APM22"/>
      <c r="APN22"/>
      <c r="APO22"/>
      <c r="APP22"/>
      <c r="APQ22"/>
      <c r="APR22"/>
      <c r="APS22"/>
      <c r="APT22"/>
      <c r="APU22"/>
      <c r="APV22"/>
      <c r="APW22"/>
      <c r="APX22"/>
      <c r="APY22"/>
      <c r="APZ22"/>
      <c r="AQA22"/>
      <c r="AQB22"/>
      <c r="AQC22"/>
      <c r="AQD22"/>
      <c r="AQE22"/>
      <c r="AQF22"/>
      <c r="AQG22"/>
      <c r="AQH22"/>
      <c r="AQI22"/>
      <c r="AQJ22"/>
      <c r="AQK22">
        <v>41473</v>
      </c>
      <c r="AQL22">
        <v>0.1045741</v>
      </c>
      <c r="AQM22">
        <v>109390</v>
      </c>
      <c r="AQN22">
        <v>0.85072680000000001</v>
      </c>
      <c r="AQO22">
        <v>93061</v>
      </c>
      <c r="AQP22">
        <v>0.79314640000000003</v>
      </c>
      <c r="AQQ22">
        <v>73811</v>
      </c>
      <c r="AQR22">
        <v>0.90426899999999999</v>
      </c>
      <c r="AQS22">
        <v>66745</v>
      </c>
      <c r="AQT22">
        <v>0.49695109999999998</v>
      </c>
      <c r="AQU22">
        <v>66745</v>
      </c>
      <c r="AQV22">
        <v>0.50304890000000002</v>
      </c>
      <c r="AQW22">
        <v>73811</v>
      </c>
      <c r="AQX22">
        <v>9.5730999999999997E-2</v>
      </c>
      <c r="AQY22">
        <v>7066</v>
      </c>
      <c r="AQZ22">
        <v>0.29111239999999999</v>
      </c>
      <c r="ARA22">
        <v>2057</v>
      </c>
      <c r="ARB22">
        <v>0.55906659999999997</v>
      </c>
      <c r="ARC22">
        <v>2057</v>
      </c>
      <c r="ARD22">
        <v>0.44093339999999998</v>
      </c>
      <c r="ARE22">
        <v>7066</v>
      </c>
      <c r="ARF22">
        <v>0.70888759999999995</v>
      </c>
      <c r="ARG22">
        <v>5009</v>
      </c>
      <c r="ARH22">
        <v>0.40047909999999998</v>
      </c>
      <c r="ARI22">
        <v>5009</v>
      </c>
      <c r="ARJ22">
        <v>0.59952090000000002</v>
      </c>
      <c r="ARK22">
        <v>93061</v>
      </c>
      <c r="ARL22">
        <v>0.2068536</v>
      </c>
      <c r="ARM22">
        <v>109390</v>
      </c>
      <c r="ARN22">
        <v>0.14927319999999999</v>
      </c>
      <c r="ARO22">
        <v>16329</v>
      </c>
      <c r="ARP22">
        <v>0.50425620000000004</v>
      </c>
      <c r="ARQ22">
        <v>8234</v>
      </c>
      <c r="ARR22">
        <v>0.52890459999999995</v>
      </c>
      <c r="ARS22">
        <v>4355</v>
      </c>
      <c r="ART22">
        <v>0.56854190000000004</v>
      </c>
      <c r="ARU22">
        <v>4355</v>
      </c>
      <c r="ARV22">
        <v>0.43145810000000001</v>
      </c>
      <c r="ARW22">
        <v>8234</v>
      </c>
      <c r="ARX22">
        <v>0.4710955</v>
      </c>
      <c r="ARY22">
        <v>3879</v>
      </c>
      <c r="ARZ22">
        <v>0.2271204</v>
      </c>
      <c r="ASA22">
        <v>881</v>
      </c>
      <c r="ASB22">
        <v>0.38706020000000002</v>
      </c>
      <c r="ASC22">
        <v>881</v>
      </c>
      <c r="ASD22">
        <v>0.61293980000000003</v>
      </c>
      <c r="ASE22">
        <v>3879</v>
      </c>
      <c r="ASF22">
        <v>0.7728796</v>
      </c>
      <c r="ASG22">
        <v>2998</v>
      </c>
      <c r="ASH22">
        <v>0.7775183</v>
      </c>
      <c r="ASI22">
        <v>2998</v>
      </c>
      <c r="ASJ22">
        <v>0.2224817</v>
      </c>
      <c r="ASK22">
        <v>16329</v>
      </c>
      <c r="ASL22">
        <v>0.49574380000000001</v>
      </c>
      <c r="ASM22">
        <v>116267</v>
      </c>
      <c r="ASN22">
        <v>0.61188469999999995</v>
      </c>
      <c r="ASO22">
        <v>71142</v>
      </c>
      <c r="ASP22">
        <v>0.37592419999999999</v>
      </c>
      <c r="ASQ22">
        <v>26744</v>
      </c>
      <c r="ASR22">
        <v>0.53152109999999997</v>
      </c>
      <c r="ASS22">
        <v>14215</v>
      </c>
      <c r="AST22">
        <v>0.79964829999999998</v>
      </c>
      <c r="ASU22">
        <v>14215</v>
      </c>
      <c r="ASV22">
        <v>0.20035169999999999</v>
      </c>
      <c r="ASW22">
        <v>26744</v>
      </c>
      <c r="ASX22">
        <v>0.46847889999999998</v>
      </c>
      <c r="ASY22">
        <v>12529</v>
      </c>
      <c r="ASZ22">
        <v>0.3390534</v>
      </c>
      <c r="ATA22">
        <v>12529</v>
      </c>
      <c r="ATB22">
        <v>0.25588630000000001</v>
      </c>
      <c r="ATC22">
        <v>12529</v>
      </c>
      <c r="ATD22">
        <v>5.0682400000000002E-2</v>
      </c>
      <c r="ATE22">
        <v>26744</v>
      </c>
      <c r="ATF22">
        <v>1.11801E-2</v>
      </c>
      <c r="ATG22">
        <v>299</v>
      </c>
      <c r="ATH22">
        <v>0.99331100000000006</v>
      </c>
      <c r="ATI22">
        <v>299</v>
      </c>
      <c r="ATJ22">
        <v>6.1605350000000003</v>
      </c>
      <c r="ATK22">
        <v>299</v>
      </c>
      <c r="ATL22">
        <v>4.2107020000000004</v>
      </c>
      <c r="ATM22">
        <v>299</v>
      </c>
      <c r="ATN22">
        <v>2.48495</v>
      </c>
      <c r="ATO22">
        <v>26744</v>
      </c>
      <c r="ATP22">
        <v>1.8882699999999999E-2</v>
      </c>
      <c r="ATQ22">
        <v>505</v>
      </c>
      <c r="ATR22">
        <v>0.47128710000000001</v>
      </c>
      <c r="ATS22">
        <v>505</v>
      </c>
      <c r="ATT22">
        <v>15.92277</v>
      </c>
      <c r="ATU22">
        <v>71142</v>
      </c>
      <c r="ATV22">
        <v>0</v>
      </c>
      <c r="ATW22">
        <v>0</v>
      </c>
      <c r="ATX22"/>
      <c r="ATY22">
        <v>0</v>
      </c>
      <c r="ATZ22"/>
      <c r="AUA22">
        <v>968</v>
      </c>
      <c r="AUB22">
        <v>1.4659089999999999</v>
      </c>
      <c r="AUC22">
        <v>968</v>
      </c>
      <c r="AUD22">
        <v>1.9989669999999999</v>
      </c>
      <c r="AUE22">
        <v>0</v>
      </c>
      <c r="AUF22"/>
      <c r="AUG22">
        <v>0</v>
      </c>
      <c r="AUH22"/>
      <c r="AUI22">
        <v>0</v>
      </c>
      <c r="AUJ22"/>
      <c r="AUK22">
        <v>71142</v>
      </c>
      <c r="AUL22">
        <v>0.142813</v>
      </c>
      <c r="AUM22">
        <v>10160</v>
      </c>
      <c r="AUN22">
        <v>0.37933070000000002</v>
      </c>
      <c r="AUO22">
        <v>10160</v>
      </c>
      <c r="AUP22">
        <v>2.4409400000000001E-2</v>
      </c>
      <c r="AUQ22">
        <v>71142</v>
      </c>
      <c r="AUR22">
        <v>0.1740603</v>
      </c>
      <c r="AUS22">
        <v>12383</v>
      </c>
      <c r="AUT22">
        <v>0.48300090000000001</v>
      </c>
      <c r="AUU22">
        <v>12383</v>
      </c>
      <c r="AUV22">
        <v>0.51699910000000004</v>
      </c>
      <c r="AUW22">
        <v>12383</v>
      </c>
      <c r="AUX22">
        <v>0.78430100000000003</v>
      </c>
      <c r="AUY22">
        <v>71142</v>
      </c>
      <c r="AUZ22">
        <v>8.7360499999999994E-2</v>
      </c>
      <c r="AVA22">
        <v>6215</v>
      </c>
      <c r="AVB22">
        <v>0.56267089999999997</v>
      </c>
      <c r="AVC22">
        <v>6215</v>
      </c>
      <c r="AVD22">
        <v>0.1489944</v>
      </c>
      <c r="AVE22">
        <v>6215</v>
      </c>
      <c r="AVF22">
        <v>0.25551089999999999</v>
      </c>
      <c r="AVG22">
        <v>116267</v>
      </c>
      <c r="AVH22">
        <v>8.4547000000000008E-3</v>
      </c>
      <c r="AVI22">
        <v>983</v>
      </c>
      <c r="AVJ22">
        <v>45.905389999999997</v>
      </c>
      <c r="AVK22">
        <v>45125</v>
      </c>
      <c r="AVL22">
        <v>0.45300829999999997</v>
      </c>
      <c r="AVM22">
        <v>20442</v>
      </c>
      <c r="AVN22">
        <v>0.40172200000000002</v>
      </c>
      <c r="AVO22">
        <v>20442</v>
      </c>
      <c r="AVP22">
        <v>0.22267880000000001</v>
      </c>
      <c r="AVQ22">
        <v>45125</v>
      </c>
      <c r="AVR22">
        <v>8.1108E-2</v>
      </c>
      <c r="AVS22">
        <v>3660</v>
      </c>
      <c r="AVT22">
        <v>3.3415300000000001</v>
      </c>
      <c r="AVU22">
        <v>3660</v>
      </c>
      <c r="AVV22">
        <v>0.29672130000000002</v>
      </c>
      <c r="AVW22">
        <v>3660</v>
      </c>
      <c r="AVX22">
        <v>0.1013661</v>
      </c>
      <c r="AVY22">
        <v>45125</v>
      </c>
      <c r="AVZ22">
        <v>1.53352E-2</v>
      </c>
      <c r="AWA22">
        <v>692</v>
      </c>
      <c r="AWB22">
        <v>1.307804</v>
      </c>
      <c r="AWC22">
        <v>692</v>
      </c>
      <c r="AWD22">
        <v>1.6647400000000001</v>
      </c>
      <c r="AWE22">
        <v>692</v>
      </c>
      <c r="AWF22">
        <v>5.072254</v>
      </c>
      <c r="AWG22">
        <v>692</v>
      </c>
      <c r="AWH22">
        <v>1.2239880000000001</v>
      </c>
      <c r="AWI22">
        <v>45125</v>
      </c>
      <c r="AWJ22">
        <v>8.1263199999999994E-2</v>
      </c>
      <c r="AWK22">
        <v>3667</v>
      </c>
      <c r="AWL22">
        <v>0.66348510000000005</v>
      </c>
      <c r="AWM22">
        <v>3667</v>
      </c>
      <c r="AWN22">
        <v>0.33651490000000001</v>
      </c>
      <c r="AWO22">
        <v>983</v>
      </c>
      <c r="AWP22">
        <v>5.6581890000000001</v>
      </c>
      <c r="AWQ22">
        <v>5562</v>
      </c>
      <c r="AWR22">
        <v>0.13718089999999999</v>
      </c>
      <c r="AWS22">
        <v>5562</v>
      </c>
      <c r="AWT22">
        <v>7.6231599999999997E-2</v>
      </c>
      <c r="AWU22">
        <v>424</v>
      </c>
      <c r="AWV22">
        <v>0.4457547</v>
      </c>
      <c r="AWW22">
        <v>424</v>
      </c>
      <c r="AWX22">
        <v>0.55424530000000005</v>
      </c>
      <c r="AWY22">
        <v>5562</v>
      </c>
      <c r="AWZ22">
        <v>0.2279755</v>
      </c>
      <c r="AXA22">
        <v>5562</v>
      </c>
      <c r="AXB22">
        <v>0.15030560000000001</v>
      </c>
      <c r="AXC22">
        <v>5562</v>
      </c>
      <c r="AXD22">
        <v>0.40830640000000001</v>
      </c>
      <c r="AXE22">
        <v>983</v>
      </c>
      <c r="AXF22">
        <v>16.194299999999998</v>
      </c>
      <c r="AXG22">
        <v>15919</v>
      </c>
      <c r="AXH22">
        <v>0.30730570000000001</v>
      </c>
      <c r="AXI22">
        <v>15919</v>
      </c>
      <c r="AXJ22">
        <v>0.69269420000000004</v>
      </c>
      <c r="AXK22">
        <v>983</v>
      </c>
      <c r="AXL22">
        <v>0</v>
      </c>
      <c r="AXM22">
        <v>0</v>
      </c>
      <c r="AXN22"/>
      <c r="AXO22">
        <v>0</v>
      </c>
      <c r="AXP22"/>
      <c r="AXQ22">
        <v>0</v>
      </c>
      <c r="AXR22"/>
      <c r="AXS22">
        <v>983</v>
      </c>
      <c r="AXT22">
        <v>3.1515770000000001</v>
      </c>
      <c r="AXU22">
        <v>3098</v>
      </c>
      <c r="AXV22">
        <v>0.81956099999999998</v>
      </c>
      <c r="AXW22">
        <v>3098</v>
      </c>
      <c r="AXX22">
        <v>0.18043899999999999</v>
      </c>
      <c r="AXY22">
        <v>3098</v>
      </c>
      <c r="AXZ22">
        <v>2.61459E-2</v>
      </c>
      <c r="AYA22">
        <v>14623</v>
      </c>
      <c r="AYB22">
        <v>1.18307E-2</v>
      </c>
      <c r="AYC22">
        <v>14623</v>
      </c>
      <c r="AYD22">
        <v>0.14333580000000001</v>
      </c>
      <c r="AYE22">
        <v>14623</v>
      </c>
      <c r="AYF22">
        <v>0.4079874</v>
      </c>
      <c r="AYG22">
        <v>14623</v>
      </c>
      <c r="AYH22">
        <v>0.31388909999999998</v>
      </c>
      <c r="AYI22">
        <v>14623</v>
      </c>
      <c r="AYJ22">
        <v>5.8948199999999999E-2</v>
      </c>
      <c r="AYK22">
        <v>14623</v>
      </c>
      <c r="AYL22">
        <v>6.4008800000000005E-2</v>
      </c>
      <c r="AYM22">
        <v>14623</v>
      </c>
      <c r="AYN22">
        <v>0</v>
      </c>
      <c r="AYO22">
        <v>21048</v>
      </c>
      <c r="AYP22">
        <v>3.9243599999999997E-2</v>
      </c>
      <c r="AYQ22">
        <v>21048</v>
      </c>
      <c r="AYR22">
        <v>4.8175599999999999E-2</v>
      </c>
      <c r="AYS22">
        <v>21048</v>
      </c>
      <c r="AYT22">
        <v>0.2427309</v>
      </c>
      <c r="AYU22">
        <v>21048</v>
      </c>
      <c r="AYV22">
        <v>0.28691559999999999</v>
      </c>
      <c r="AYW22">
        <v>21048</v>
      </c>
      <c r="AYX22">
        <v>5.9578100000000002E-2</v>
      </c>
      <c r="AYY22">
        <v>21048</v>
      </c>
      <c r="AYZ22">
        <v>0.2585519</v>
      </c>
      <c r="AZA22">
        <v>21048</v>
      </c>
      <c r="AZB22">
        <v>6.4804299999999995E-2</v>
      </c>
      <c r="AZC22">
        <v>25019</v>
      </c>
      <c r="AZD22">
        <v>3.3054899999999998E-2</v>
      </c>
      <c r="AZE22">
        <v>25019</v>
      </c>
      <c r="AZF22">
        <v>3.6052599999999997E-2</v>
      </c>
      <c r="AZG22">
        <v>25019</v>
      </c>
      <c r="AZH22">
        <v>0.24277550000000001</v>
      </c>
      <c r="AZI22">
        <v>25019</v>
      </c>
      <c r="AZJ22">
        <v>0.23070470000000001</v>
      </c>
      <c r="AZK22">
        <v>25019</v>
      </c>
      <c r="AZL22">
        <v>0.1075583</v>
      </c>
      <c r="AZM22">
        <v>25019</v>
      </c>
      <c r="AZN22">
        <v>0.25001000000000001</v>
      </c>
      <c r="AZO22">
        <v>25019</v>
      </c>
      <c r="AZP22">
        <v>9.9844100000000005E-2</v>
      </c>
      <c r="AZQ22">
        <v>41986</v>
      </c>
      <c r="AZR22">
        <v>1.8196500000000001E-2</v>
      </c>
      <c r="AZS22">
        <v>41986</v>
      </c>
      <c r="AZT22">
        <v>3.3368299999999997E-2</v>
      </c>
      <c r="AZU22">
        <v>41986</v>
      </c>
      <c r="AZV22">
        <v>0.28435670000000002</v>
      </c>
      <c r="AZW22">
        <v>41986</v>
      </c>
      <c r="AZX22">
        <v>0.2435097</v>
      </c>
      <c r="AZY22">
        <v>41986</v>
      </c>
      <c r="AZZ22">
        <v>8.1241400000000005E-2</v>
      </c>
      <c r="BAA22">
        <v>41986</v>
      </c>
      <c r="BAB22">
        <v>0.20552090000000001</v>
      </c>
      <c r="BAC22">
        <v>41986</v>
      </c>
      <c r="BAD22">
        <v>0.13380649999999999</v>
      </c>
      <c r="BAE22">
        <v>13931</v>
      </c>
      <c r="BAF22">
        <v>6.4963000000000007E-2</v>
      </c>
      <c r="BAG22">
        <v>13931</v>
      </c>
      <c r="BAH22">
        <v>7.6807100000000003E-2</v>
      </c>
      <c r="BAI22">
        <v>13931</v>
      </c>
      <c r="BAJ22">
        <v>0.26293879999999997</v>
      </c>
      <c r="BAK22">
        <v>13931</v>
      </c>
      <c r="BAL22">
        <v>0.27183980000000002</v>
      </c>
      <c r="BAM22">
        <v>13931</v>
      </c>
      <c r="BAN22">
        <v>5.5631300000000002E-2</v>
      </c>
      <c r="BAO22">
        <v>13931</v>
      </c>
      <c r="BAP22">
        <v>0.1453593</v>
      </c>
      <c r="BAQ22">
        <v>13931</v>
      </c>
      <c r="BAR22">
        <v>0.12246070000000001</v>
      </c>
      <c r="BAS22">
        <v>12927</v>
      </c>
      <c r="BAT22">
        <v>5.36861E-2</v>
      </c>
      <c r="BAU22">
        <v>12927</v>
      </c>
      <c r="BAV22">
        <v>5.9410499999999998E-2</v>
      </c>
      <c r="BAW22">
        <v>12927</v>
      </c>
      <c r="BAX22">
        <v>0.28042080000000003</v>
      </c>
      <c r="BAY22">
        <v>12927</v>
      </c>
      <c r="BAZ22">
        <v>0.36713849999999998</v>
      </c>
      <c r="BBA22">
        <v>12927</v>
      </c>
      <c r="BBB22">
        <v>5.20616E-2</v>
      </c>
      <c r="BBC22">
        <v>12927</v>
      </c>
      <c r="BBD22">
        <v>0.18728239999999999</v>
      </c>
      <c r="BBE22">
        <v>12927</v>
      </c>
      <c r="BBF22">
        <v>0</v>
      </c>
      <c r="BBG22">
        <v>21096</v>
      </c>
      <c r="BBH22">
        <v>1.0049300000000001E-2</v>
      </c>
      <c r="BBI22">
        <v>21096</v>
      </c>
      <c r="BBJ22">
        <v>5.1004899999999999E-2</v>
      </c>
      <c r="BBK22">
        <v>21096</v>
      </c>
      <c r="BBL22">
        <v>0.20383009999999999</v>
      </c>
      <c r="BBM22">
        <v>21096</v>
      </c>
      <c r="BBN22">
        <v>0.2177664</v>
      </c>
      <c r="BBO22">
        <v>21096</v>
      </c>
      <c r="BBP22">
        <v>9.2813800000000002E-2</v>
      </c>
      <c r="BBQ22">
        <v>21096</v>
      </c>
      <c r="BBR22">
        <v>0.27744600000000003</v>
      </c>
      <c r="BBS22">
        <v>21096</v>
      </c>
      <c r="BBT22">
        <v>0.14708950000000001</v>
      </c>
      <c r="BBU22">
        <v>24014</v>
      </c>
      <c r="BBV22">
        <v>3.03573E-2</v>
      </c>
      <c r="BBW22">
        <v>24014</v>
      </c>
      <c r="BBX22">
        <v>4.8430099999999997E-2</v>
      </c>
      <c r="BBY22">
        <v>24014</v>
      </c>
      <c r="BBZ22">
        <v>0.23861080000000001</v>
      </c>
      <c r="BCA22">
        <v>24014</v>
      </c>
      <c r="BCB22">
        <v>0.22982430000000001</v>
      </c>
      <c r="BCC22">
        <v>24014</v>
      </c>
      <c r="BCD22">
        <v>8.4575700000000004E-2</v>
      </c>
      <c r="BCE22">
        <v>24014</v>
      </c>
      <c r="BCF22">
        <v>0.26834350000000001</v>
      </c>
      <c r="BCG22">
        <v>24014</v>
      </c>
      <c r="BCH22">
        <v>9.98584E-2</v>
      </c>
      <c r="BCI22">
        <v>40910</v>
      </c>
      <c r="BCJ22">
        <v>1.7575199999999999E-2</v>
      </c>
      <c r="BCK22">
        <v>40910</v>
      </c>
      <c r="BCL22">
        <v>3.6348100000000001E-2</v>
      </c>
      <c r="BCM22">
        <v>40910</v>
      </c>
      <c r="BCN22">
        <v>0.2912246</v>
      </c>
      <c r="BCO22">
        <v>40910</v>
      </c>
      <c r="BCP22">
        <v>0.26137860000000002</v>
      </c>
      <c r="BCQ22">
        <v>40910</v>
      </c>
      <c r="BCR22">
        <v>7.5776099999999999E-2</v>
      </c>
      <c r="BCS22">
        <v>40910</v>
      </c>
      <c r="BCT22">
        <v>0.22344169999999999</v>
      </c>
      <c r="BCU22">
        <v>40910</v>
      </c>
      <c r="BCV22">
        <v>9.4255699999999998E-2</v>
      </c>
      <c r="BCW22">
        <v>17858</v>
      </c>
      <c r="BCX22">
        <v>0.1170904</v>
      </c>
      <c r="BCY22">
        <v>17858</v>
      </c>
      <c r="BCZ22">
        <v>5.5829299999999998E-2</v>
      </c>
      <c r="BDA22">
        <v>17858</v>
      </c>
      <c r="BDB22">
        <v>0.47250530000000002</v>
      </c>
      <c r="BDC22">
        <v>17858</v>
      </c>
      <c r="BDD22">
        <v>0.15488859999999999</v>
      </c>
      <c r="BDE22">
        <v>17858</v>
      </c>
      <c r="BDF22">
        <v>2.8390599999999998E-2</v>
      </c>
      <c r="BDG22">
        <v>17858</v>
      </c>
      <c r="BDH22">
        <v>8.7915800000000002E-2</v>
      </c>
      <c r="BDI22">
        <v>17858</v>
      </c>
      <c r="BDJ22">
        <v>8.3379999999999996E-2</v>
      </c>
      <c r="BDK22">
        <v>78718</v>
      </c>
      <c r="BDL22">
        <v>7.1254399999999996E-2</v>
      </c>
      <c r="BDM22">
        <v>5609</v>
      </c>
      <c r="BDN22">
        <v>0.83116420000000002</v>
      </c>
      <c r="BDO22">
        <v>4662</v>
      </c>
      <c r="BDP22">
        <v>0.66001710000000002</v>
      </c>
      <c r="BDQ22">
        <v>4662</v>
      </c>
      <c r="BDR22">
        <v>0.33998279999999997</v>
      </c>
      <c r="BDS22">
        <v>5609</v>
      </c>
      <c r="BDT22">
        <v>0.16883580000000001</v>
      </c>
      <c r="BDU22">
        <v>947</v>
      </c>
      <c r="BDV22">
        <v>0.2946146</v>
      </c>
      <c r="BDW22">
        <v>947</v>
      </c>
      <c r="BDX22">
        <v>0.70538540000000005</v>
      </c>
      <c r="BDY22">
        <v>78718</v>
      </c>
      <c r="BDZ22">
        <v>0.92874559999999995</v>
      </c>
      <c r="BEA22">
        <v>73109</v>
      </c>
      <c r="BEB22">
        <v>0.58887420000000001</v>
      </c>
      <c r="BEC22">
        <v>43052</v>
      </c>
      <c r="BED22">
        <v>0.74495960000000006</v>
      </c>
      <c r="BEE22">
        <v>43052</v>
      </c>
      <c r="BEF22">
        <v>0.2550404</v>
      </c>
      <c r="BEG22">
        <v>73109</v>
      </c>
      <c r="BEH22">
        <v>0.41112579999999999</v>
      </c>
      <c r="BEI22">
        <v>30057</v>
      </c>
      <c r="BEJ22">
        <v>0.79805029999999999</v>
      </c>
      <c r="BEK22">
        <v>30057</v>
      </c>
      <c r="BEL22">
        <v>0.20194960000000001</v>
      </c>
      <c r="BEM22">
        <v>164243</v>
      </c>
      <c r="BEN22">
        <v>0.55620630000000004</v>
      </c>
      <c r="BEO22">
        <v>91353</v>
      </c>
      <c r="BEP22">
        <v>0.80858870000000005</v>
      </c>
      <c r="BEQ22">
        <v>73867</v>
      </c>
      <c r="BER22">
        <v>0.16866800000000001</v>
      </c>
      <c r="BES22">
        <v>73867</v>
      </c>
      <c r="BET22">
        <v>0.83133199999999996</v>
      </c>
      <c r="BEU22">
        <v>91353</v>
      </c>
      <c r="BEV22">
        <v>0.19141130000000001</v>
      </c>
      <c r="BEW22">
        <v>164243</v>
      </c>
      <c r="BEX22">
        <v>0.44379370000000001</v>
      </c>
      <c r="BEY22">
        <v>72890</v>
      </c>
      <c r="BEZ22">
        <v>0.80434899999999998</v>
      </c>
      <c r="BFA22">
        <v>58629</v>
      </c>
      <c r="BFB22">
        <v>0.2111924</v>
      </c>
      <c r="BFC22">
        <v>58629</v>
      </c>
      <c r="BFD22">
        <v>0.78880760000000005</v>
      </c>
      <c r="BFE22">
        <v>72890</v>
      </c>
      <c r="BFF22">
        <v>0.19565099999999999</v>
      </c>
      <c r="BFG22">
        <v>160136</v>
      </c>
      <c r="BFH22">
        <v>0.27182519999999999</v>
      </c>
      <c r="BFI22">
        <v>43529</v>
      </c>
      <c r="BFJ22">
        <v>0.96333480000000005</v>
      </c>
      <c r="BFK22">
        <v>43529</v>
      </c>
      <c r="BFL22">
        <v>3.6665200000000002E-2</v>
      </c>
      <c r="BFM22">
        <v>1596</v>
      </c>
      <c r="BFN22">
        <v>0.2462406</v>
      </c>
      <c r="BFO22">
        <v>1596</v>
      </c>
      <c r="BFP22">
        <v>0.75375939999999997</v>
      </c>
      <c r="BFQ22">
        <v>160136</v>
      </c>
      <c r="BFR22">
        <v>0.72817480000000001</v>
      </c>
      <c r="BFS22">
        <v>116607</v>
      </c>
      <c r="BFT22">
        <v>0.87616519999999998</v>
      </c>
      <c r="BFU22">
        <v>116607</v>
      </c>
      <c r="BFV22">
        <v>0.12383479999999999</v>
      </c>
      <c r="BFW22">
        <v>14440</v>
      </c>
      <c r="BFX22">
        <v>0.4111496</v>
      </c>
      <c r="BFY22">
        <v>14440</v>
      </c>
      <c r="BFZ22">
        <v>0.5888504</v>
      </c>
      <c r="BGA22">
        <v>158505</v>
      </c>
      <c r="BGB22">
        <v>0.26308320000000002</v>
      </c>
      <c r="BGC22">
        <v>41700</v>
      </c>
      <c r="BGD22">
        <v>0.97860910000000001</v>
      </c>
      <c r="BGE22">
        <v>41700</v>
      </c>
      <c r="BGF22">
        <v>2.1390900000000001E-2</v>
      </c>
      <c r="BGG22">
        <v>892</v>
      </c>
      <c r="BGH22">
        <v>0.53475340000000005</v>
      </c>
      <c r="BGI22">
        <v>892</v>
      </c>
      <c r="BGJ22">
        <v>0.46524660000000001</v>
      </c>
      <c r="BGK22">
        <v>158505</v>
      </c>
      <c r="BGL22">
        <v>0.73691680000000004</v>
      </c>
      <c r="BGM22">
        <v>116805</v>
      </c>
      <c r="BGN22">
        <v>0.88641749999999997</v>
      </c>
      <c r="BGO22">
        <v>116805</v>
      </c>
      <c r="BGP22">
        <v>0.1135825</v>
      </c>
      <c r="BGQ22">
        <v>13267</v>
      </c>
      <c r="BGR22">
        <v>0.54865459999999999</v>
      </c>
      <c r="BGS22">
        <v>13267</v>
      </c>
      <c r="BGT22">
        <v>0.45134540000000001</v>
      </c>
    </row>
    <row r="23" spans="1:1554" x14ac:dyDescent="0.25">
      <c r="A23" t="s">
        <v>132</v>
      </c>
      <c r="B23">
        <v>2009</v>
      </c>
      <c r="C23">
        <v>1</v>
      </c>
      <c r="D23" t="s">
        <v>545</v>
      </c>
      <c r="E23">
        <v>22265</v>
      </c>
      <c r="F23">
        <v>0.437413</v>
      </c>
      <c r="G23">
        <v>9739</v>
      </c>
      <c r="H23">
        <v>0.13481879999999999</v>
      </c>
      <c r="I23">
        <v>9739</v>
      </c>
      <c r="J23">
        <v>4.9286E-3</v>
      </c>
      <c r="K23">
        <v>9739</v>
      </c>
      <c r="L23">
        <v>0.17075679999999999</v>
      </c>
      <c r="M23">
        <v>9739</v>
      </c>
      <c r="N23">
        <v>3.10093E-2</v>
      </c>
      <c r="O23">
        <v>9739</v>
      </c>
      <c r="P23">
        <v>1.9714499999999999E-2</v>
      </c>
      <c r="Q23">
        <v>9739</v>
      </c>
      <c r="R23">
        <v>7.8139399999999998E-2</v>
      </c>
      <c r="S23">
        <v>9739</v>
      </c>
      <c r="T23">
        <v>9.1282500000000003E-2</v>
      </c>
      <c r="U23">
        <v>9739</v>
      </c>
      <c r="V23">
        <v>9.3438800000000002E-2</v>
      </c>
      <c r="W23">
        <v>9739</v>
      </c>
      <c r="X23">
        <v>9.2514600000000002E-2</v>
      </c>
      <c r="Y23">
        <v>9739</v>
      </c>
      <c r="Z23">
        <v>0.19016330000000001</v>
      </c>
      <c r="AA23">
        <v>9739</v>
      </c>
      <c r="AB23">
        <v>4.7746200000000003E-2</v>
      </c>
      <c r="AC23">
        <v>9739</v>
      </c>
      <c r="AD23">
        <v>3.4705800000000002E-2</v>
      </c>
      <c r="AE23">
        <v>9739</v>
      </c>
      <c r="AF23">
        <v>1.07814E-2</v>
      </c>
      <c r="AG23">
        <v>22265</v>
      </c>
      <c r="AH23">
        <v>0.56258699999999995</v>
      </c>
      <c r="AI23">
        <v>12526</v>
      </c>
      <c r="AJ23">
        <v>0.13779340000000001</v>
      </c>
      <c r="AK23">
        <v>12526</v>
      </c>
      <c r="AL23">
        <v>0</v>
      </c>
      <c r="AM23">
        <v>12526</v>
      </c>
      <c r="AN23">
        <v>0.1124062</v>
      </c>
      <c r="AO23">
        <v>12526</v>
      </c>
      <c r="AP23">
        <v>6.6182299999999999E-2</v>
      </c>
      <c r="AQ23">
        <v>12526</v>
      </c>
      <c r="AR23">
        <v>3.5127000000000001E-3</v>
      </c>
      <c r="AS23">
        <v>12526</v>
      </c>
      <c r="AT23">
        <v>3.3210900000000002E-2</v>
      </c>
      <c r="AU23">
        <v>12526</v>
      </c>
      <c r="AV23">
        <v>0.12621750000000001</v>
      </c>
      <c r="AW23">
        <v>12526</v>
      </c>
      <c r="AX23">
        <v>6.88169E-2</v>
      </c>
      <c r="AY23">
        <v>12526</v>
      </c>
      <c r="AZ23">
        <v>0.1530417</v>
      </c>
      <c r="BA23">
        <v>12526</v>
      </c>
      <c r="BB23">
        <v>0.150008</v>
      </c>
      <c r="BC23">
        <v>12526</v>
      </c>
      <c r="BD23">
        <v>5.3408900000000002E-2</v>
      </c>
      <c r="BE23">
        <v>12526</v>
      </c>
      <c r="BF23">
        <v>5.11736E-2</v>
      </c>
      <c r="BG23">
        <v>12526</v>
      </c>
      <c r="BH23">
        <v>4.4228000000000003E-2</v>
      </c>
      <c r="BI23">
        <v>296943</v>
      </c>
      <c r="BJ23">
        <v>0.50798980000000005</v>
      </c>
      <c r="BK23">
        <v>150844</v>
      </c>
      <c r="BL23">
        <v>6.3953499999999996E-2</v>
      </c>
      <c r="BM23">
        <v>150844</v>
      </c>
      <c r="BN23">
        <v>1.0607E-2</v>
      </c>
      <c r="BO23">
        <v>150844</v>
      </c>
      <c r="BP23">
        <v>0.1031397</v>
      </c>
      <c r="BQ23">
        <v>150844</v>
      </c>
      <c r="BR23">
        <v>3.98955E-2</v>
      </c>
      <c r="BS23">
        <v>150844</v>
      </c>
      <c r="BT23">
        <v>1.6288400000000001E-2</v>
      </c>
      <c r="BU23">
        <v>150844</v>
      </c>
      <c r="BV23">
        <v>2.7571499999999999E-2</v>
      </c>
      <c r="BW23">
        <v>150844</v>
      </c>
      <c r="BX23">
        <v>8.6606000000000002E-2</v>
      </c>
      <c r="BY23">
        <v>150844</v>
      </c>
      <c r="BZ23">
        <v>0.12101240000000001</v>
      </c>
      <c r="CA23">
        <v>150844</v>
      </c>
      <c r="CB23">
        <v>0.15542549999999999</v>
      </c>
      <c r="CC23">
        <v>150844</v>
      </c>
      <c r="CD23">
        <v>0.1676832</v>
      </c>
      <c r="CE23">
        <v>150844</v>
      </c>
      <c r="CF23">
        <v>0.1116186</v>
      </c>
      <c r="CG23">
        <v>150844</v>
      </c>
      <c r="CH23">
        <v>6.0439899999999998E-2</v>
      </c>
      <c r="CI23">
        <v>150844</v>
      </c>
      <c r="CJ23">
        <v>3.57588E-2</v>
      </c>
      <c r="CK23">
        <v>296943</v>
      </c>
      <c r="CL23">
        <v>0.49201030000000001</v>
      </c>
      <c r="CM23">
        <v>146099</v>
      </c>
      <c r="CN23">
        <v>6.0999699999999997E-2</v>
      </c>
      <c r="CO23">
        <v>146099</v>
      </c>
      <c r="CP23">
        <v>1.32855E-2</v>
      </c>
      <c r="CQ23">
        <v>146099</v>
      </c>
      <c r="CR23">
        <v>8.1882800000000006E-2</v>
      </c>
      <c r="CS23">
        <v>146099</v>
      </c>
      <c r="CT23">
        <v>5.3990799999999999E-2</v>
      </c>
      <c r="CU23">
        <v>146099</v>
      </c>
      <c r="CV23">
        <v>1.7898799999999999E-2</v>
      </c>
      <c r="CW23">
        <v>146099</v>
      </c>
      <c r="CX23">
        <v>2.9514200000000001E-2</v>
      </c>
      <c r="CY23">
        <v>146099</v>
      </c>
      <c r="CZ23">
        <v>7.69957E-2</v>
      </c>
      <c r="DA23">
        <v>146099</v>
      </c>
      <c r="DB23">
        <v>0.11131489999999999</v>
      </c>
      <c r="DC23">
        <v>146099</v>
      </c>
      <c r="DD23">
        <v>0.15529200000000001</v>
      </c>
      <c r="DE23">
        <v>146099</v>
      </c>
      <c r="DF23">
        <v>0.1671127</v>
      </c>
      <c r="DG23">
        <v>146099</v>
      </c>
      <c r="DH23">
        <v>0.1160651</v>
      </c>
      <c r="DI23">
        <v>146099</v>
      </c>
      <c r="DJ23">
        <v>6.4189399999999994E-2</v>
      </c>
      <c r="DK23">
        <v>146099</v>
      </c>
      <c r="DL23">
        <v>5.1458299999999998E-2</v>
      </c>
      <c r="DM23">
        <v>206653</v>
      </c>
      <c r="DN23">
        <v>5.3679400000000002E-2</v>
      </c>
      <c r="DO23">
        <v>11093</v>
      </c>
      <c r="DP23">
        <v>0.41206169999999998</v>
      </c>
      <c r="DQ23">
        <v>102912</v>
      </c>
      <c r="DR23">
        <v>4.4416600000000001E-2</v>
      </c>
      <c r="DS23">
        <v>4571</v>
      </c>
      <c r="DT23">
        <v>0.1450448</v>
      </c>
      <c r="DU23">
        <v>8842</v>
      </c>
      <c r="DV23">
        <v>7.4982999999999994E-2</v>
      </c>
      <c r="DW23">
        <v>4571</v>
      </c>
      <c r="DX23">
        <v>0.35922120000000002</v>
      </c>
      <c r="DY23">
        <v>28781</v>
      </c>
      <c r="DZ23">
        <v>5.7051499999999998E-2</v>
      </c>
      <c r="EA23">
        <v>4571</v>
      </c>
      <c r="EB23">
        <v>0.36753449999999999</v>
      </c>
      <c r="EC23">
        <v>30162</v>
      </c>
      <c r="ED23">
        <v>5.5699199999999997E-2</v>
      </c>
      <c r="EE23">
        <v>4571</v>
      </c>
      <c r="EF23">
        <v>0.12819949999999999</v>
      </c>
      <c r="EG23">
        <v>35127</v>
      </c>
      <c r="EH23">
        <v>1.6682300000000001E-2</v>
      </c>
      <c r="EI23">
        <v>11093</v>
      </c>
      <c r="EJ23">
        <v>0.58793839999999997</v>
      </c>
      <c r="EK23">
        <v>103741</v>
      </c>
      <c r="EL23">
        <v>6.2868099999999996E-2</v>
      </c>
      <c r="EM23">
        <v>6522</v>
      </c>
      <c r="EN23">
        <v>0.15976689999999999</v>
      </c>
      <c r="EO23">
        <v>8108</v>
      </c>
      <c r="EP23">
        <v>0.12851499999999999</v>
      </c>
      <c r="EQ23">
        <v>6522</v>
      </c>
      <c r="ER23">
        <v>0.39159769999999999</v>
      </c>
      <c r="ES23">
        <v>30308</v>
      </c>
      <c r="ET23">
        <v>8.4268200000000001E-2</v>
      </c>
      <c r="EU23">
        <v>6522</v>
      </c>
      <c r="EV23">
        <v>0.31708059999999999</v>
      </c>
      <c r="EW23">
        <v>32944</v>
      </c>
      <c r="EX23">
        <v>6.2773200000000001E-2</v>
      </c>
      <c r="EY23">
        <v>6522</v>
      </c>
      <c r="EZ23">
        <v>0.1315547</v>
      </c>
      <c r="FA23">
        <v>32381</v>
      </c>
      <c r="FB23">
        <v>2.6497E-2</v>
      </c>
      <c r="FC23">
        <v>206653</v>
      </c>
      <c r="FD23">
        <v>0.94632070000000001</v>
      </c>
      <c r="FE23">
        <v>195560</v>
      </c>
      <c r="FF23">
        <v>0.50286869999999995</v>
      </c>
      <c r="FG23">
        <v>102912</v>
      </c>
      <c r="FH23">
        <v>0.95558339999999997</v>
      </c>
      <c r="FI23">
        <v>98341</v>
      </c>
      <c r="FJ23">
        <v>8.3169800000000002E-2</v>
      </c>
      <c r="FK23">
        <v>8842</v>
      </c>
      <c r="FL23">
        <v>0.92501690000000003</v>
      </c>
      <c r="FM23">
        <v>98341</v>
      </c>
      <c r="FN23">
        <v>0.2759683</v>
      </c>
      <c r="FO23">
        <v>28781</v>
      </c>
      <c r="FP23">
        <v>0.94294849999999997</v>
      </c>
      <c r="FQ23">
        <v>98341</v>
      </c>
      <c r="FR23">
        <v>0.28962490000000002</v>
      </c>
      <c r="FS23">
        <v>30162</v>
      </c>
      <c r="FT23">
        <v>0.94430080000000005</v>
      </c>
      <c r="FU23">
        <v>98341</v>
      </c>
      <c r="FV23">
        <v>0.35123700000000002</v>
      </c>
      <c r="FW23">
        <v>35127</v>
      </c>
      <c r="FX23">
        <v>0.98331769999999996</v>
      </c>
      <c r="FY23">
        <v>195560</v>
      </c>
      <c r="FZ23">
        <v>0.4971313</v>
      </c>
      <c r="GA23">
        <v>103741</v>
      </c>
      <c r="GB23">
        <v>0.93713190000000002</v>
      </c>
      <c r="GC23">
        <v>97219</v>
      </c>
      <c r="GD23">
        <v>7.2681300000000004E-2</v>
      </c>
      <c r="GE23">
        <v>8108</v>
      </c>
      <c r="GF23">
        <v>0.87148490000000001</v>
      </c>
      <c r="GG23">
        <v>97219</v>
      </c>
      <c r="GH23">
        <v>0.28547919999999999</v>
      </c>
      <c r="GI23">
        <v>30308</v>
      </c>
      <c r="GJ23">
        <v>0.91573179999999998</v>
      </c>
      <c r="GK23">
        <v>97219</v>
      </c>
      <c r="GL23">
        <v>0.31759219999999999</v>
      </c>
      <c r="GM23">
        <v>32944</v>
      </c>
      <c r="GN23">
        <v>0.93722680000000003</v>
      </c>
      <c r="GO23">
        <v>97219</v>
      </c>
      <c r="GP23">
        <v>0.32424730000000002</v>
      </c>
      <c r="GQ23">
        <v>32381</v>
      </c>
      <c r="GR23">
        <v>0.97350300000000001</v>
      </c>
      <c r="GS23">
        <v>243084</v>
      </c>
      <c r="GT23">
        <v>6.0637499999999997E-2</v>
      </c>
      <c r="GU23">
        <v>14740</v>
      </c>
      <c r="GV23">
        <v>0.4220488</v>
      </c>
      <c r="GW23">
        <v>6221</v>
      </c>
      <c r="GX23">
        <v>0.12988259999999999</v>
      </c>
      <c r="GY23">
        <v>6221</v>
      </c>
      <c r="GZ23">
        <v>0.3329047</v>
      </c>
      <c r="HA23">
        <v>6221</v>
      </c>
      <c r="HB23">
        <v>0.53721269999999999</v>
      </c>
      <c r="HC23">
        <v>6221</v>
      </c>
      <c r="HD23">
        <v>0.60054649999999998</v>
      </c>
      <c r="HE23">
        <v>6221</v>
      </c>
      <c r="HF23">
        <v>0.39945350000000002</v>
      </c>
      <c r="HG23">
        <v>3736</v>
      </c>
      <c r="HH23">
        <v>0.48768739999999999</v>
      </c>
      <c r="HI23">
        <v>3736</v>
      </c>
      <c r="HJ23">
        <v>0.51231269999999995</v>
      </c>
      <c r="HK23">
        <v>14740</v>
      </c>
      <c r="HL23">
        <v>0.57795110000000005</v>
      </c>
      <c r="HM23">
        <v>8519</v>
      </c>
      <c r="HN23">
        <v>5.9161900000000003E-2</v>
      </c>
      <c r="HO23">
        <v>8519</v>
      </c>
      <c r="HP23">
        <v>0.39394299999999999</v>
      </c>
      <c r="HQ23">
        <v>8519</v>
      </c>
      <c r="HR23">
        <v>0.54689509999999997</v>
      </c>
      <c r="HS23">
        <v>8519</v>
      </c>
      <c r="HT23">
        <v>0.46977340000000001</v>
      </c>
      <c r="HU23">
        <v>8519</v>
      </c>
      <c r="HV23">
        <v>0.53022650000000004</v>
      </c>
      <c r="HW23">
        <v>4002</v>
      </c>
      <c r="HX23">
        <v>0.7816092</v>
      </c>
      <c r="HY23">
        <v>4002</v>
      </c>
      <c r="HZ23">
        <v>0.2183908</v>
      </c>
      <c r="IA23">
        <v>243084</v>
      </c>
      <c r="IB23">
        <v>0.93936249999999999</v>
      </c>
      <c r="IC23">
        <v>228344</v>
      </c>
      <c r="ID23">
        <v>0.50609610000000005</v>
      </c>
      <c r="IE23">
        <v>115564</v>
      </c>
      <c r="IF23">
        <v>0.56585960000000002</v>
      </c>
      <c r="IG23">
        <v>115564</v>
      </c>
      <c r="IH23">
        <v>0.2487626</v>
      </c>
      <c r="II23">
        <v>115564</v>
      </c>
      <c r="IJ23">
        <v>0.18537780000000001</v>
      </c>
      <c r="IK23">
        <v>115415</v>
      </c>
      <c r="IL23">
        <v>0.79770390000000002</v>
      </c>
      <c r="IM23">
        <v>115415</v>
      </c>
      <c r="IN23">
        <v>0.20229610000000001</v>
      </c>
      <c r="IO23">
        <v>92067</v>
      </c>
      <c r="IP23">
        <v>0.89769410000000005</v>
      </c>
      <c r="IQ23">
        <v>92067</v>
      </c>
      <c r="IR23">
        <v>0.10230590000000001</v>
      </c>
      <c r="IS23">
        <v>228344</v>
      </c>
      <c r="IT23">
        <v>0.49390390000000001</v>
      </c>
      <c r="IU23">
        <v>112780</v>
      </c>
      <c r="IV23">
        <v>0.35579889999999997</v>
      </c>
      <c r="IW23">
        <v>112780</v>
      </c>
      <c r="IX23">
        <v>0.32951760000000002</v>
      </c>
      <c r="IY23">
        <v>112780</v>
      </c>
      <c r="IZ23">
        <v>0.3146835</v>
      </c>
      <c r="JA23">
        <v>112780</v>
      </c>
      <c r="JB23">
        <v>0.66437310000000005</v>
      </c>
      <c r="JC23">
        <v>112780</v>
      </c>
      <c r="JD23">
        <v>0.33562690000000001</v>
      </c>
      <c r="JE23">
        <v>74928</v>
      </c>
      <c r="JF23">
        <v>0.92149800000000004</v>
      </c>
      <c r="JG23">
        <v>74928</v>
      </c>
      <c r="JH23">
        <v>7.8502000000000002E-2</v>
      </c>
      <c r="JI23">
        <v>82292</v>
      </c>
      <c r="JJ23">
        <v>7.31541E-2</v>
      </c>
      <c r="JK23">
        <v>6020</v>
      </c>
      <c r="JL23">
        <v>0.44717610000000002</v>
      </c>
      <c r="JM23">
        <v>2692</v>
      </c>
      <c r="JN23">
        <v>0.58766719999999995</v>
      </c>
      <c r="JO23">
        <v>2692</v>
      </c>
      <c r="JP23">
        <v>0.58766719999999995</v>
      </c>
      <c r="JQ23">
        <v>2692</v>
      </c>
      <c r="JR23">
        <v>0.58766719999999995</v>
      </c>
      <c r="JS23">
        <v>2692</v>
      </c>
      <c r="JT23">
        <v>0.58766719999999995</v>
      </c>
      <c r="JU23">
        <v>2692</v>
      </c>
      <c r="JV23">
        <v>0.4123328</v>
      </c>
      <c r="JW23">
        <v>6020</v>
      </c>
      <c r="JX23">
        <v>0.55282390000000003</v>
      </c>
      <c r="JY23">
        <v>3328</v>
      </c>
      <c r="JZ23">
        <v>0.17457929999999999</v>
      </c>
      <c r="KA23">
        <v>581</v>
      </c>
      <c r="KB23">
        <v>1</v>
      </c>
      <c r="KC23">
        <v>581</v>
      </c>
      <c r="KD23">
        <v>0.52495689999999995</v>
      </c>
      <c r="KE23">
        <v>581</v>
      </c>
      <c r="KF23">
        <v>0</v>
      </c>
      <c r="KG23">
        <v>581</v>
      </c>
      <c r="KH23">
        <v>0.47504299999999999</v>
      </c>
      <c r="KI23">
        <v>581</v>
      </c>
      <c r="KJ23">
        <v>0</v>
      </c>
      <c r="KK23">
        <v>3328</v>
      </c>
      <c r="KL23">
        <v>0.82542070000000001</v>
      </c>
      <c r="KM23">
        <v>2747</v>
      </c>
      <c r="KN23">
        <v>0.86385149999999999</v>
      </c>
      <c r="KO23">
        <v>2373</v>
      </c>
      <c r="KP23">
        <v>0.2220818</v>
      </c>
      <c r="KQ23">
        <v>2373</v>
      </c>
      <c r="KR23">
        <v>0.17909820000000001</v>
      </c>
      <c r="KS23">
        <v>2373</v>
      </c>
      <c r="KT23">
        <v>0.59882000000000002</v>
      </c>
      <c r="KU23">
        <v>2747</v>
      </c>
      <c r="KV23">
        <v>0.13614850000000001</v>
      </c>
      <c r="KW23">
        <v>82292</v>
      </c>
      <c r="KX23">
        <v>1.9904700000000001E-2</v>
      </c>
      <c r="KY23">
        <v>1638</v>
      </c>
      <c r="KZ23">
        <v>0.62515259999999995</v>
      </c>
      <c r="LA23">
        <v>1024</v>
      </c>
      <c r="LB23">
        <v>0.703125</v>
      </c>
      <c r="LC23">
        <v>1024</v>
      </c>
      <c r="LD23">
        <v>0.703125</v>
      </c>
      <c r="LE23">
        <v>1024</v>
      </c>
      <c r="LF23">
        <v>0.703125</v>
      </c>
      <c r="LG23">
        <v>1024</v>
      </c>
      <c r="LH23">
        <v>0.703125</v>
      </c>
      <c r="LI23">
        <v>1024</v>
      </c>
      <c r="LJ23">
        <v>0.296875</v>
      </c>
      <c r="LK23">
        <v>1638</v>
      </c>
      <c r="LL23">
        <v>0.3748474</v>
      </c>
      <c r="LM23">
        <v>614</v>
      </c>
      <c r="LN23">
        <v>0.23452770000000001</v>
      </c>
      <c r="LO23">
        <v>144</v>
      </c>
      <c r="LP23">
        <v>1</v>
      </c>
      <c r="LQ23">
        <v>144</v>
      </c>
      <c r="LR23">
        <v>0</v>
      </c>
      <c r="LS23">
        <v>144</v>
      </c>
      <c r="LT23">
        <v>1</v>
      </c>
      <c r="LU23">
        <v>144</v>
      </c>
      <c r="LV23">
        <v>0</v>
      </c>
      <c r="LW23">
        <v>144</v>
      </c>
      <c r="LX23">
        <v>0</v>
      </c>
      <c r="LY23">
        <v>614</v>
      </c>
      <c r="LZ23">
        <v>0.76547229999999999</v>
      </c>
      <c r="MA23">
        <v>470</v>
      </c>
      <c r="MB23">
        <v>0.5787234</v>
      </c>
      <c r="MC23">
        <v>272</v>
      </c>
      <c r="MD23">
        <v>0.41544120000000001</v>
      </c>
      <c r="ME23">
        <v>272</v>
      </c>
      <c r="MF23">
        <v>0</v>
      </c>
      <c r="MG23">
        <v>272</v>
      </c>
      <c r="MH23">
        <v>0.58455880000000005</v>
      </c>
      <c r="MI23">
        <v>470</v>
      </c>
      <c r="MJ23">
        <v>0.4212766</v>
      </c>
      <c r="MK23">
        <v>82292</v>
      </c>
      <c r="ML23">
        <v>3.5872300000000003E-2</v>
      </c>
      <c r="MM23">
        <v>2952</v>
      </c>
      <c r="MN23">
        <v>0.65989160000000002</v>
      </c>
      <c r="MO23">
        <v>1948</v>
      </c>
      <c r="MP23">
        <v>0.62063650000000004</v>
      </c>
      <c r="MQ23">
        <v>1948</v>
      </c>
      <c r="MR23">
        <v>0.62063650000000004</v>
      </c>
      <c r="MS23">
        <v>1948</v>
      </c>
      <c r="MT23">
        <v>0.62063650000000004</v>
      </c>
      <c r="MU23">
        <v>1948</v>
      </c>
      <c r="MV23">
        <v>0.62063650000000004</v>
      </c>
      <c r="MW23">
        <v>1948</v>
      </c>
      <c r="MX23">
        <v>0.37936340000000002</v>
      </c>
      <c r="MY23">
        <v>2952</v>
      </c>
      <c r="MZ23">
        <v>0.34010839999999998</v>
      </c>
      <c r="NA23">
        <v>1004</v>
      </c>
      <c r="NB23">
        <v>0.2071713</v>
      </c>
      <c r="NC23">
        <v>208</v>
      </c>
      <c r="ND23">
        <v>0</v>
      </c>
      <c r="NE23">
        <v>0</v>
      </c>
      <c r="NF23"/>
      <c r="NG23">
        <v>0</v>
      </c>
      <c r="NH23"/>
      <c r="NI23">
        <v>0</v>
      </c>
      <c r="NJ23"/>
      <c r="NK23">
        <v>208</v>
      </c>
      <c r="NL23">
        <v>1</v>
      </c>
      <c r="NM23">
        <v>1004</v>
      </c>
      <c r="NN23">
        <v>0.79282870000000005</v>
      </c>
      <c r="NO23">
        <v>796</v>
      </c>
      <c r="NP23">
        <v>0.87437189999999998</v>
      </c>
      <c r="NQ23">
        <v>696</v>
      </c>
      <c r="NR23">
        <v>7.6149400000000006E-2</v>
      </c>
      <c r="NS23">
        <v>696</v>
      </c>
      <c r="NT23">
        <v>0.28304600000000002</v>
      </c>
      <c r="NU23">
        <v>696</v>
      </c>
      <c r="NV23">
        <v>0.64080459999999995</v>
      </c>
      <c r="NW23">
        <v>796</v>
      </c>
      <c r="NX23">
        <v>0.12562809999999999</v>
      </c>
      <c r="NY23">
        <v>82292</v>
      </c>
      <c r="NZ23">
        <v>0.87106890000000003</v>
      </c>
      <c r="OA23">
        <v>71682</v>
      </c>
      <c r="OB23">
        <v>0.86572640000000001</v>
      </c>
      <c r="OC23">
        <v>62057</v>
      </c>
      <c r="OD23">
        <v>0.47680359999999999</v>
      </c>
      <c r="OE23">
        <v>62057</v>
      </c>
      <c r="OF23">
        <v>0.47680359999999999</v>
      </c>
      <c r="OG23">
        <v>62057</v>
      </c>
      <c r="OH23">
        <v>0.47680359999999999</v>
      </c>
      <c r="OI23">
        <v>62057</v>
      </c>
      <c r="OJ23">
        <v>0.47680359999999999</v>
      </c>
      <c r="OK23">
        <v>62057</v>
      </c>
      <c r="OL23">
        <v>0.52319640000000001</v>
      </c>
      <c r="OM23">
        <v>71682</v>
      </c>
      <c r="ON23">
        <v>0.13427359999999999</v>
      </c>
      <c r="OO23">
        <v>9625</v>
      </c>
      <c r="OP23">
        <v>0.39896100000000001</v>
      </c>
      <c r="OQ23">
        <v>3840</v>
      </c>
      <c r="OR23">
        <v>0.44244790000000001</v>
      </c>
      <c r="OS23">
        <v>1699</v>
      </c>
      <c r="OT23">
        <v>0.3466745</v>
      </c>
      <c r="OU23">
        <v>1699</v>
      </c>
      <c r="OV23">
        <v>7.8869900000000007E-2</v>
      </c>
      <c r="OW23">
        <v>1699</v>
      </c>
      <c r="OX23">
        <v>0.57445559999999996</v>
      </c>
      <c r="OY23">
        <v>3840</v>
      </c>
      <c r="OZ23">
        <v>0.55755209999999999</v>
      </c>
      <c r="PA23">
        <v>9625</v>
      </c>
      <c r="PB23">
        <v>0.60103890000000004</v>
      </c>
      <c r="PC23">
        <v>5785</v>
      </c>
      <c r="PD23">
        <v>0.48643039999999999</v>
      </c>
      <c r="PE23">
        <v>2814</v>
      </c>
      <c r="PF23">
        <v>7.9957399999999998E-2</v>
      </c>
      <c r="PG23">
        <v>2814</v>
      </c>
      <c r="PH23">
        <v>0.1289979</v>
      </c>
      <c r="PI23">
        <v>2814</v>
      </c>
      <c r="PJ23">
        <v>0.79104479999999999</v>
      </c>
      <c r="PK23">
        <v>5785</v>
      </c>
      <c r="PL23">
        <v>0.51356959999999996</v>
      </c>
      <c r="PM23">
        <v>320961</v>
      </c>
      <c r="PN23">
        <v>0.50264359999999997</v>
      </c>
      <c r="PO23">
        <v>161329</v>
      </c>
      <c r="PP23">
        <v>6.8648500000000001E-2</v>
      </c>
      <c r="PQ23">
        <v>161329</v>
      </c>
      <c r="PR23">
        <v>7.9768699999999998E-2</v>
      </c>
      <c r="PS23">
        <v>161329</v>
      </c>
      <c r="PT23">
        <v>7.8634300000000004E-2</v>
      </c>
      <c r="PU23">
        <v>161329</v>
      </c>
      <c r="PV23">
        <v>4.69165E-2</v>
      </c>
      <c r="PW23">
        <v>161329</v>
      </c>
      <c r="PX23">
        <v>2.7726000000000001E-2</v>
      </c>
      <c r="PY23">
        <v>161329</v>
      </c>
      <c r="PZ23">
        <v>1.22173E-2</v>
      </c>
      <c r="QA23">
        <v>161329</v>
      </c>
      <c r="QB23">
        <v>5.6654000000000001E-3</v>
      </c>
      <c r="QC23">
        <v>161329</v>
      </c>
      <c r="QD23">
        <v>4.1201500000000002E-2</v>
      </c>
      <c r="QE23">
        <v>161329</v>
      </c>
      <c r="QF23">
        <v>5.4962200000000003E-2</v>
      </c>
      <c r="QG23">
        <v>161329</v>
      </c>
      <c r="QH23">
        <v>6.39377E-2</v>
      </c>
      <c r="QI23">
        <v>161329</v>
      </c>
      <c r="QJ23">
        <v>7.4047399999999999E-2</v>
      </c>
      <c r="QK23">
        <v>161329</v>
      </c>
      <c r="QL23">
        <v>7.7190099999999998E-2</v>
      </c>
      <c r="QM23">
        <v>161329</v>
      </c>
      <c r="QN23">
        <v>8.8440400000000002E-2</v>
      </c>
      <c r="QO23">
        <v>161329</v>
      </c>
      <c r="QP23">
        <v>8.0041399999999999E-2</v>
      </c>
      <c r="QQ23">
        <v>161329</v>
      </c>
      <c r="QR23">
        <v>5.5699800000000001E-2</v>
      </c>
      <c r="QS23">
        <v>161329</v>
      </c>
      <c r="QT23">
        <v>2.53209E-2</v>
      </c>
      <c r="QU23">
        <v>161329</v>
      </c>
      <c r="QV23">
        <v>2.6542E-2</v>
      </c>
      <c r="QW23">
        <v>161329</v>
      </c>
      <c r="QX23">
        <v>1.77463E-2</v>
      </c>
      <c r="QY23">
        <v>161329</v>
      </c>
      <c r="QZ23">
        <v>1.9016999999999999E-2</v>
      </c>
      <c r="RA23">
        <v>161329</v>
      </c>
      <c r="RB23">
        <v>2.1843600000000001E-2</v>
      </c>
      <c r="RC23">
        <v>161329</v>
      </c>
      <c r="RD23">
        <v>1.54095E-2</v>
      </c>
      <c r="RE23">
        <v>161329</v>
      </c>
      <c r="RF23">
        <v>1.26202E-2</v>
      </c>
      <c r="RG23">
        <v>161329</v>
      </c>
      <c r="RH23">
        <v>6.4031000000000001E-3</v>
      </c>
      <c r="RI23">
        <v>320961</v>
      </c>
      <c r="RJ23">
        <v>0.49735639999999998</v>
      </c>
      <c r="RK23">
        <v>159632</v>
      </c>
      <c r="RL23">
        <v>6.66408E-2</v>
      </c>
      <c r="RM23">
        <v>159632</v>
      </c>
      <c r="RN23">
        <v>6.8977399999999994E-2</v>
      </c>
      <c r="RO23">
        <v>159632</v>
      </c>
      <c r="RP23">
        <v>8.1643999999999994E-2</v>
      </c>
      <c r="RQ23">
        <v>159632</v>
      </c>
      <c r="RR23">
        <v>4.6275200000000002E-2</v>
      </c>
      <c r="RS23">
        <v>159632</v>
      </c>
      <c r="RT23">
        <v>2.5446E-2</v>
      </c>
      <c r="RU23">
        <v>159632</v>
      </c>
      <c r="RV23">
        <v>7.7929000000000002E-3</v>
      </c>
      <c r="RW23">
        <v>159632</v>
      </c>
      <c r="RX23">
        <v>1.3575E-2</v>
      </c>
      <c r="RY23">
        <v>159632</v>
      </c>
      <c r="RZ23">
        <v>3.3558400000000002E-2</v>
      </c>
      <c r="SA23">
        <v>159632</v>
      </c>
      <c r="SB23">
        <v>5.3491799999999999E-2</v>
      </c>
      <c r="SC23">
        <v>159632</v>
      </c>
      <c r="SD23">
        <v>5.3786199999999999E-2</v>
      </c>
      <c r="SE23">
        <v>159632</v>
      </c>
      <c r="SF23">
        <v>6.7843500000000001E-2</v>
      </c>
      <c r="SG23">
        <v>159632</v>
      </c>
      <c r="SH23">
        <v>8.6398699999999995E-2</v>
      </c>
      <c r="SI23">
        <v>159632</v>
      </c>
      <c r="SJ23">
        <v>8.8321899999999995E-2</v>
      </c>
      <c r="SK23">
        <v>159632</v>
      </c>
      <c r="SL23">
        <v>7.6713900000000002E-2</v>
      </c>
      <c r="SM23">
        <v>159632</v>
      </c>
      <c r="SN23">
        <v>5.31598E-2</v>
      </c>
      <c r="SO23">
        <v>159632</v>
      </c>
      <c r="SP23">
        <v>2.80959E-2</v>
      </c>
      <c r="SQ23">
        <v>159632</v>
      </c>
      <c r="SR23">
        <v>2.9480300000000001E-2</v>
      </c>
      <c r="SS23">
        <v>159632</v>
      </c>
      <c r="ST23">
        <v>1.70768E-2</v>
      </c>
      <c r="SU23">
        <v>159632</v>
      </c>
      <c r="SV23">
        <v>2.43372E-2</v>
      </c>
      <c r="SW23">
        <v>159632</v>
      </c>
      <c r="SX23">
        <v>2.16686E-2</v>
      </c>
      <c r="SY23">
        <v>159632</v>
      </c>
      <c r="SZ23">
        <v>1.8329700000000001E-2</v>
      </c>
      <c r="TA23">
        <v>159632</v>
      </c>
      <c r="TB23">
        <v>1.6043100000000001E-2</v>
      </c>
      <c r="TC23">
        <v>159632</v>
      </c>
      <c r="TD23">
        <v>2.1342799999999999E-2</v>
      </c>
      <c r="TE23">
        <v>293030</v>
      </c>
      <c r="TF23">
        <v>0.49928329999999999</v>
      </c>
      <c r="TG23"/>
      <c r="TH23"/>
      <c r="TI23"/>
      <c r="TJ23"/>
      <c r="TK23">
        <v>9173</v>
      </c>
      <c r="TL23">
        <v>0.50801269999999998</v>
      </c>
      <c r="TM23"/>
      <c r="TN23"/>
      <c r="TO23">
        <v>10012</v>
      </c>
      <c r="TP23">
        <v>0.63174189999999997</v>
      </c>
      <c r="TQ23"/>
      <c r="TR23"/>
      <c r="TS23">
        <v>268927</v>
      </c>
      <c r="TT23">
        <v>0.49827650000000001</v>
      </c>
      <c r="TU23">
        <v>36205</v>
      </c>
      <c r="TV23">
        <v>0.53713580000000005</v>
      </c>
      <c r="TW23">
        <v>293030</v>
      </c>
      <c r="TX23">
        <v>0.50071659999999996</v>
      </c>
      <c r="TY23"/>
      <c r="TZ23"/>
      <c r="UA23"/>
      <c r="UB23"/>
      <c r="UC23">
        <v>9173</v>
      </c>
      <c r="UD23">
        <v>0.49198730000000002</v>
      </c>
      <c r="UE23"/>
      <c r="UF23"/>
      <c r="UG23">
        <v>10012</v>
      </c>
      <c r="UH23">
        <v>0.36825809999999998</v>
      </c>
      <c r="UI23"/>
      <c r="UJ23"/>
      <c r="UK23">
        <v>268927</v>
      </c>
      <c r="UL23">
        <v>0.50172349999999999</v>
      </c>
      <c r="UM23">
        <v>36205</v>
      </c>
      <c r="UN23">
        <v>0.4628642</v>
      </c>
      <c r="UO23">
        <v>78843</v>
      </c>
      <c r="UP23">
        <v>78843</v>
      </c>
      <c r="UQ23">
        <v>78843</v>
      </c>
      <c r="UR23">
        <v>64150</v>
      </c>
      <c r="US23">
        <v>64150</v>
      </c>
      <c r="UT23">
        <v>64150</v>
      </c>
      <c r="UU23">
        <v>1.8898000000000001E-3</v>
      </c>
      <c r="UV23">
        <v>0.88532909999999998</v>
      </c>
      <c r="UW23">
        <v>0.1127811</v>
      </c>
      <c r="UX23">
        <v>0</v>
      </c>
      <c r="UY23">
        <v>0.92285269999999997</v>
      </c>
      <c r="UZ23">
        <v>7.7147300000000002E-2</v>
      </c>
      <c r="VA23">
        <v>5676</v>
      </c>
      <c r="VB23">
        <v>1.6032399999999999E-2</v>
      </c>
      <c r="VC23">
        <v>5676</v>
      </c>
      <c r="VD23">
        <v>0.86821709999999996</v>
      </c>
      <c r="VE23">
        <v>5676</v>
      </c>
      <c r="VF23">
        <v>0.11575050000000001</v>
      </c>
      <c r="VG23">
        <v>8437</v>
      </c>
      <c r="VH23">
        <v>0</v>
      </c>
      <c r="VI23">
        <v>8437</v>
      </c>
      <c r="VJ23">
        <v>0.76022290000000003</v>
      </c>
      <c r="VK23">
        <v>8437</v>
      </c>
      <c r="VL23">
        <v>0.2397772</v>
      </c>
      <c r="VM23">
        <v>9917</v>
      </c>
      <c r="VN23">
        <v>0</v>
      </c>
      <c r="VO23">
        <v>9917</v>
      </c>
      <c r="VP23">
        <v>0.93899359999999998</v>
      </c>
      <c r="VQ23">
        <v>9917</v>
      </c>
      <c r="VR23">
        <v>6.1006400000000002E-2</v>
      </c>
      <c r="VS23">
        <v>23099</v>
      </c>
      <c r="VT23">
        <v>2.5108999999999999E-3</v>
      </c>
      <c r="VU23">
        <v>23099</v>
      </c>
      <c r="VV23">
        <v>0.93155540000000003</v>
      </c>
      <c r="VW23">
        <v>23099</v>
      </c>
      <c r="VX23">
        <v>6.5933599999999995E-2</v>
      </c>
      <c r="VY23">
        <v>24855</v>
      </c>
      <c r="VZ23">
        <v>0</v>
      </c>
      <c r="WA23">
        <v>24855</v>
      </c>
      <c r="WB23">
        <v>0.86417219999999995</v>
      </c>
      <c r="WC23">
        <v>24855</v>
      </c>
      <c r="WD23">
        <v>0.1358278</v>
      </c>
      <c r="WE23">
        <v>6859</v>
      </c>
      <c r="WF23">
        <v>0</v>
      </c>
      <c r="WG23">
        <v>6859</v>
      </c>
      <c r="WH23">
        <v>0.89677790000000002</v>
      </c>
      <c r="WI23">
        <v>6859</v>
      </c>
      <c r="WJ23">
        <v>0.10322199999999999</v>
      </c>
      <c r="WK23">
        <v>4348</v>
      </c>
      <c r="WL23">
        <v>0</v>
      </c>
      <c r="WM23">
        <v>4348</v>
      </c>
      <c r="WN23">
        <v>0.95630170000000003</v>
      </c>
      <c r="WO23">
        <v>4348</v>
      </c>
      <c r="WP23">
        <v>4.3698300000000002E-2</v>
      </c>
      <c r="WQ23">
        <v>6883</v>
      </c>
      <c r="WR23">
        <v>0</v>
      </c>
      <c r="WS23">
        <v>6883</v>
      </c>
      <c r="WT23">
        <v>0.9375272</v>
      </c>
      <c r="WU23">
        <v>6883</v>
      </c>
      <c r="WV23">
        <v>6.2472800000000002E-2</v>
      </c>
      <c r="WW23">
        <v>6480</v>
      </c>
      <c r="WX23">
        <v>0</v>
      </c>
      <c r="WY23">
        <v>6480</v>
      </c>
      <c r="WZ23">
        <v>0.94567900000000005</v>
      </c>
      <c r="XA23">
        <v>6480</v>
      </c>
      <c r="XB23">
        <v>5.4321000000000001E-2</v>
      </c>
      <c r="XC23">
        <v>18199</v>
      </c>
      <c r="XD23">
        <v>0</v>
      </c>
      <c r="XE23">
        <v>18199</v>
      </c>
      <c r="XF23">
        <v>0.89598330000000004</v>
      </c>
      <c r="XG23">
        <v>18199</v>
      </c>
      <c r="XH23">
        <v>0.1040167</v>
      </c>
      <c r="XI23">
        <v>22115</v>
      </c>
      <c r="XJ23">
        <v>0</v>
      </c>
      <c r="XK23">
        <v>22115</v>
      </c>
      <c r="XL23">
        <v>0.92371700000000001</v>
      </c>
      <c r="XM23">
        <v>22115</v>
      </c>
      <c r="XN23">
        <v>7.6283100000000006E-2</v>
      </c>
      <c r="XO23">
        <v>6125</v>
      </c>
      <c r="XP23">
        <v>0</v>
      </c>
      <c r="XQ23">
        <v>6125</v>
      </c>
      <c r="XR23">
        <v>0.9351836</v>
      </c>
      <c r="XS23">
        <v>6125</v>
      </c>
      <c r="XT23">
        <v>6.4816299999999993E-2</v>
      </c>
      <c r="XU23">
        <v>210367</v>
      </c>
      <c r="XV23">
        <v>0.50882510000000003</v>
      </c>
      <c r="XW23">
        <v>107040</v>
      </c>
      <c r="XX23">
        <v>0.86281759999999996</v>
      </c>
      <c r="XY23">
        <v>107040</v>
      </c>
      <c r="XZ23">
        <v>0.13718240000000001</v>
      </c>
      <c r="YA23">
        <v>92356</v>
      </c>
      <c r="YB23">
        <v>0.82947499999999996</v>
      </c>
      <c r="YC23">
        <v>76607</v>
      </c>
      <c r="YD23">
        <v>0.83451900000000001</v>
      </c>
      <c r="YE23">
        <v>76607</v>
      </c>
      <c r="YF23">
        <v>1.64867E-2</v>
      </c>
      <c r="YG23">
        <v>76607</v>
      </c>
      <c r="YH23">
        <v>5.0426199999999997E-2</v>
      </c>
      <c r="YI23">
        <v>76607</v>
      </c>
      <c r="YJ23">
        <v>3.3626200000000002E-2</v>
      </c>
      <c r="YK23">
        <v>76607</v>
      </c>
      <c r="YL23">
        <v>3.9513399999999997E-2</v>
      </c>
      <c r="YM23">
        <v>76607</v>
      </c>
      <c r="YN23">
        <v>2.54285E-2</v>
      </c>
      <c r="YO23">
        <v>92356</v>
      </c>
      <c r="YP23">
        <v>0.13285549999999999</v>
      </c>
      <c r="YQ23">
        <v>12270</v>
      </c>
      <c r="YR23">
        <v>0.4689487</v>
      </c>
      <c r="YS23">
        <v>12270</v>
      </c>
      <c r="YT23">
        <v>1.37734E-2</v>
      </c>
      <c r="YU23">
        <v>12270</v>
      </c>
      <c r="YV23">
        <v>8.9079099999999994E-2</v>
      </c>
      <c r="YW23">
        <v>12270</v>
      </c>
      <c r="YX23">
        <v>0.16715569999999999</v>
      </c>
      <c r="YY23">
        <v>12270</v>
      </c>
      <c r="YZ23">
        <v>7.3920100000000002E-2</v>
      </c>
      <c r="ZA23">
        <v>12270</v>
      </c>
      <c r="ZB23">
        <v>0.18712309999999999</v>
      </c>
      <c r="ZC23">
        <v>92356</v>
      </c>
      <c r="ZD23">
        <v>3.7669500000000002E-2</v>
      </c>
      <c r="ZE23">
        <v>3479</v>
      </c>
      <c r="ZF23">
        <v>0.26358150000000002</v>
      </c>
      <c r="ZG23">
        <v>3479</v>
      </c>
      <c r="ZH23">
        <v>0</v>
      </c>
      <c r="ZI23">
        <v>3479</v>
      </c>
      <c r="ZJ23">
        <v>0.1011785</v>
      </c>
      <c r="ZK23">
        <v>3479</v>
      </c>
      <c r="ZL23">
        <v>7.7608499999999997E-2</v>
      </c>
      <c r="ZM23">
        <v>3479</v>
      </c>
      <c r="ZN23">
        <v>0.1184248</v>
      </c>
      <c r="ZO23">
        <v>3479</v>
      </c>
      <c r="ZP23">
        <v>0.43920670000000001</v>
      </c>
      <c r="ZQ23">
        <v>210367</v>
      </c>
      <c r="ZR23">
        <v>0.49117490000000003</v>
      </c>
      <c r="ZS23">
        <v>103327</v>
      </c>
      <c r="ZT23">
        <v>0.75210739999999998</v>
      </c>
      <c r="ZU23">
        <v>103327</v>
      </c>
      <c r="ZV23">
        <v>0.24789259999999999</v>
      </c>
      <c r="ZW23">
        <v>77713</v>
      </c>
      <c r="ZX23">
        <v>0.62270150000000002</v>
      </c>
      <c r="ZY23">
        <v>48392</v>
      </c>
      <c r="ZZ23">
        <v>0.8195363</v>
      </c>
      <c r="AAA23">
        <v>48392</v>
      </c>
      <c r="AAB23">
        <v>2.0003300000000002E-2</v>
      </c>
      <c r="AAC23">
        <v>48392</v>
      </c>
      <c r="AAD23">
        <v>5.9575999999999997E-2</v>
      </c>
      <c r="AAE23">
        <v>48392</v>
      </c>
      <c r="AAF23">
        <v>5.01529E-2</v>
      </c>
      <c r="AAG23">
        <v>48392</v>
      </c>
      <c r="AAH23">
        <v>1.9094099999999999E-2</v>
      </c>
      <c r="AAI23">
        <v>48392</v>
      </c>
      <c r="AAJ23">
        <v>3.1637499999999999E-2</v>
      </c>
      <c r="AAK23">
        <v>77713</v>
      </c>
      <c r="AAL23">
        <v>0.29217759999999998</v>
      </c>
      <c r="AAM23">
        <v>22706</v>
      </c>
      <c r="AAN23">
        <v>0.58292960000000005</v>
      </c>
      <c r="AAO23">
        <v>22706</v>
      </c>
      <c r="AAP23">
        <v>5.9014999999999996E-3</v>
      </c>
      <c r="AAQ23">
        <v>22706</v>
      </c>
      <c r="AAR23">
        <v>6.6105899999999995E-2</v>
      </c>
      <c r="AAS23">
        <v>22706</v>
      </c>
      <c r="AAT23">
        <v>0.13000970000000001</v>
      </c>
      <c r="AAU23">
        <v>22706</v>
      </c>
      <c r="AAV23">
        <v>0.1088259</v>
      </c>
      <c r="AAW23">
        <v>22706</v>
      </c>
      <c r="AAX23">
        <v>0.1062274</v>
      </c>
      <c r="AAY23">
        <v>77713</v>
      </c>
      <c r="AAZ23">
        <v>8.5120899999999999E-2</v>
      </c>
      <c r="ABA23">
        <v>6615</v>
      </c>
      <c r="ABB23">
        <v>0.23567650000000001</v>
      </c>
      <c r="ABC23">
        <v>6615</v>
      </c>
      <c r="ABD23">
        <v>1.8442900000000002E-2</v>
      </c>
      <c r="ABE23">
        <v>6615</v>
      </c>
      <c r="ABF23">
        <v>0.1097506</v>
      </c>
      <c r="ABG23">
        <v>6615</v>
      </c>
      <c r="ABH23">
        <v>0.12622829999999999</v>
      </c>
      <c r="ABI23">
        <v>6615</v>
      </c>
      <c r="ABJ23">
        <v>0.1212396</v>
      </c>
      <c r="ABK23">
        <v>6615</v>
      </c>
      <c r="ABL23">
        <v>0.38866210000000001</v>
      </c>
      <c r="ABM23">
        <v>108315</v>
      </c>
      <c r="ABN23">
        <v>0.75974699999999995</v>
      </c>
      <c r="ABO23">
        <v>82292</v>
      </c>
      <c r="ABP23">
        <v>0.82293539999999998</v>
      </c>
      <c r="ABQ23">
        <v>82292</v>
      </c>
      <c r="ABR23">
        <v>0.17706459999999999</v>
      </c>
      <c r="ABS23">
        <v>14571</v>
      </c>
      <c r="ABT23">
        <v>0.32756849999999998</v>
      </c>
      <c r="ABU23">
        <v>14571</v>
      </c>
      <c r="ABV23">
        <v>0.67243149999999996</v>
      </c>
      <c r="ABW23">
        <v>108315</v>
      </c>
      <c r="ABX23">
        <v>0.24025299999999999</v>
      </c>
      <c r="ABY23">
        <v>26023</v>
      </c>
      <c r="ABZ23">
        <v>0.80202130000000005</v>
      </c>
      <c r="ACA23">
        <v>26023</v>
      </c>
      <c r="ACB23">
        <v>0.19797870000000001</v>
      </c>
      <c r="ACC23"/>
      <c r="ACD23"/>
      <c r="ACE23"/>
      <c r="ACF23"/>
      <c r="ACG23"/>
      <c r="ACH23"/>
      <c r="ACI23"/>
      <c r="ACJ23"/>
      <c r="ACK23"/>
      <c r="ACL23"/>
      <c r="ACM23"/>
      <c r="ACN23"/>
      <c r="ACO23"/>
      <c r="ACP23"/>
      <c r="ACQ23"/>
      <c r="ACR23"/>
      <c r="ACS23"/>
      <c r="ACT23"/>
      <c r="ACU23"/>
      <c r="ACV23"/>
      <c r="ACW23"/>
      <c r="ACX23"/>
      <c r="ACY23"/>
      <c r="ACZ23"/>
      <c r="ADA23"/>
      <c r="ADB23"/>
      <c r="ADC23"/>
      <c r="ADD23"/>
      <c r="ADE23"/>
      <c r="ADF23"/>
      <c r="ADG23"/>
      <c r="ADH23"/>
      <c r="ADI23"/>
      <c r="ADJ23"/>
      <c r="ADK23"/>
      <c r="ADL23"/>
      <c r="ADM23"/>
      <c r="ADN23"/>
      <c r="ADO23"/>
      <c r="ADP23"/>
      <c r="ADQ23"/>
      <c r="ADR23"/>
      <c r="ADS23"/>
      <c r="ADT23"/>
      <c r="ADU23"/>
      <c r="ADV23"/>
      <c r="ADW23"/>
      <c r="ADX23"/>
      <c r="ADY23"/>
      <c r="ADZ23"/>
      <c r="AEA23"/>
      <c r="AEB23"/>
      <c r="AEC23"/>
      <c r="AED23"/>
      <c r="AEE23"/>
      <c r="AEF23"/>
      <c r="AEG23"/>
      <c r="AEH23"/>
      <c r="AEI23"/>
      <c r="AEJ23"/>
      <c r="AEK23"/>
      <c r="AEL23"/>
      <c r="AEM23"/>
      <c r="AEN23"/>
      <c r="AEO23"/>
      <c r="AEP23"/>
      <c r="AEQ23"/>
      <c r="AER23"/>
      <c r="AES23"/>
      <c r="AET23"/>
      <c r="AEU23"/>
      <c r="AEV23"/>
      <c r="AEW23"/>
      <c r="AEX23"/>
      <c r="AEY23"/>
      <c r="AEZ23"/>
      <c r="AFA23"/>
      <c r="AFB23"/>
      <c r="AFC23"/>
      <c r="AFD23"/>
      <c r="AFE23"/>
      <c r="AFF23"/>
      <c r="AFG23"/>
      <c r="AFH23"/>
      <c r="AFI23"/>
      <c r="AFJ23"/>
      <c r="AFK23"/>
      <c r="AFL23"/>
      <c r="AFM23"/>
      <c r="AFN23"/>
      <c r="AFO23"/>
      <c r="AFP23"/>
      <c r="AFQ23"/>
      <c r="AFR23"/>
      <c r="AFS23"/>
      <c r="AFT23"/>
      <c r="AFU23"/>
      <c r="AFV23"/>
      <c r="AFW23"/>
      <c r="AFX23"/>
      <c r="AFY23"/>
      <c r="AFZ23"/>
      <c r="AGA23"/>
      <c r="AGB23"/>
      <c r="AGC23"/>
      <c r="AGD23"/>
      <c r="AGE23"/>
      <c r="AGF23"/>
      <c r="AGG23"/>
      <c r="AGH23"/>
      <c r="AGI23"/>
      <c r="AGJ23"/>
      <c r="AGK23"/>
      <c r="AGL23"/>
      <c r="AGM23"/>
      <c r="AGN23"/>
      <c r="AGO23"/>
      <c r="AGP23"/>
      <c r="AGQ23"/>
      <c r="AGR23"/>
      <c r="AGS23"/>
      <c r="AGT23"/>
      <c r="AGU23"/>
      <c r="AGV23"/>
      <c r="AGW23"/>
      <c r="AGX23"/>
      <c r="AGY23"/>
      <c r="AGZ23"/>
      <c r="AHA23"/>
      <c r="AHB23"/>
      <c r="AHC23"/>
      <c r="AHD23"/>
      <c r="AHE23"/>
      <c r="AHF23"/>
      <c r="AHG23"/>
      <c r="AHH23"/>
      <c r="AHI23"/>
      <c r="AHJ23"/>
      <c r="AHK23"/>
      <c r="AHL23"/>
      <c r="AHM23"/>
      <c r="AHN23"/>
      <c r="AHO23"/>
      <c r="AHP23"/>
      <c r="AHQ23"/>
      <c r="AHR23"/>
      <c r="AHS23"/>
      <c r="AHT23"/>
      <c r="AHU23"/>
      <c r="AHV23"/>
      <c r="AHW23"/>
      <c r="AHX23"/>
      <c r="AHY23"/>
      <c r="AHZ23"/>
      <c r="AIA23"/>
      <c r="AIB23"/>
      <c r="AIC23"/>
      <c r="AID23"/>
      <c r="AIE23"/>
      <c r="AIF23"/>
      <c r="AIG23"/>
      <c r="AIH23"/>
      <c r="AII23"/>
      <c r="AIJ23"/>
      <c r="AIK23"/>
      <c r="AIL23"/>
      <c r="AIM23"/>
      <c r="AIN23"/>
      <c r="AIO23"/>
      <c r="AIP23"/>
      <c r="AIQ23"/>
      <c r="AIR23"/>
      <c r="AIS23"/>
      <c r="AIT23"/>
      <c r="AIU23"/>
      <c r="AIV23"/>
      <c r="AIW23"/>
      <c r="AIX23"/>
      <c r="AIY23"/>
      <c r="AIZ23"/>
      <c r="AJA23"/>
      <c r="AJB23"/>
      <c r="AJC23"/>
      <c r="AJD23"/>
      <c r="AJE23"/>
      <c r="AJF23"/>
      <c r="AJG23"/>
      <c r="AJH23"/>
      <c r="AJI23"/>
      <c r="AJJ23"/>
      <c r="AJK23"/>
      <c r="AJL23"/>
      <c r="AJM23"/>
      <c r="AJN23"/>
      <c r="AJO23"/>
      <c r="AJP23"/>
      <c r="AJQ23"/>
      <c r="AJR23"/>
      <c r="AJS23"/>
      <c r="AJT23"/>
      <c r="AJU23"/>
      <c r="AJV23"/>
      <c r="AJW23"/>
      <c r="AJX23"/>
      <c r="AJY23"/>
      <c r="AJZ23"/>
      <c r="AKA23"/>
      <c r="AKB23"/>
      <c r="AKC23"/>
      <c r="AKD23"/>
      <c r="AKE23"/>
      <c r="AKF23"/>
      <c r="AKG23"/>
      <c r="AKH23"/>
      <c r="AKI23"/>
      <c r="AKJ23"/>
      <c r="AKK23"/>
      <c r="AKL23"/>
      <c r="AKM23"/>
      <c r="AKN23"/>
      <c r="AKO23"/>
      <c r="AKP23"/>
      <c r="AKQ23"/>
      <c r="AKR23"/>
      <c r="AKS23"/>
      <c r="AKT23"/>
      <c r="AKU23"/>
      <c r="AKV23"/>
      <c r="AKW23"/>
      <c r="AKX23"/>
      <c r="AKY23"/>
      <c r="AKZ23"/>
      <c r="ALA23"/>
      <c r="ALB23"/>
      <c r="ALC23"/>
      <c r="ALD23"/>
      <c r="ALE23"/>
      <c r="ALF23"/>
      <c r="ALG23"/>
      <c r="ALH23"/>
      <c r="ALI23"/>
      <c r="ALJ23"/>
      <c r="ALK23"/>
      <c r="ALL23"/>
      <c r="ALM23"/>
      <c r="ALN23"/>
      <c r="ALO23"/>
      <c r="ALP23"/>
      <c r="ALQ23"/>
      <c r="ALR23"/>
      <c r="ALS23"/>
      <c r="ALT23"/>
      <c r="ALU23"/>
      <c r="ALV23"/>
      <c r="ALW23"/>
      <c r="ALX23"/>
      <c r="ALY23"/>
      <c r="ALZ23"/>
      <c r="AMA23"/>
      <c r="AMB23"/>
      <c r="AMC23"/>
      <c r="AMD23"/>
      <c r="AME23"/>
      <c r="AMF23"/>
      <c r="AMG23"/>
      <c r="AMH23"/>
      <c r="AMI23"/>
      <c r="AMJ23"/>
      <c r="AMK23"/>
      <c r="AML23"/>
      <c r="AMM23"/>
      <c r="AMN23"/>
      <c r="AMO23"/>
      <c r="AMP23"/>
      <c r="AMQ23"/>
      <c r="AMR23"/>
      <c r="AMS23"/>
      <c r="AMT23"/>
      <c r="AMU23"/>
      <c r="AMV23"/>
      <c r="AMW23"/>
      <c r="AMX23"/>
      <c r="AMY23"/>
      <c r="AMZ23"/>
      <c r="ANA23"/>
      <c r="ANB23"/>
      <c r="ANC23"/>
      <c r="AND23"/>
      <c r="ANE23"/>
      <c r="ANF23"/>
      <c r="ANG23"/>
      <c r="ANH23"/>
      <c r="ANI23"/>
      <c r="ANJ23"/>
      <c r="ANK23"/>
      <c r="ANL23"/>
      <c r="ANM23"/>
      <c r="ANN23"/>
      <c r="ANO23"/>
      <c r="ANP23"/>
      <c r="ANQ23"/>
      <c r="ANR23"/>
      <c r="ANS23"/>
      <c r="ANT23"/>
      <c r="ANU23"/>
      <c r="ANV23"/>
      <c r="ANW23"/>
      <c r="ANX23"/>
      <c r="ANY23"/>
      <c r="ANZ23"/>
      <c r="AOA23"/>
      <c r="AOB23"/>
      <c r="AOC23"/>
      <c r="AOD23"/>
      <c r="AOE23"/>
      <c r="AOF23"/>
      <c r="AOG23"/>
      <c r="AOH23"/>
      <c r="AOI23"/>
      <c r="AOJ23"/>
      <c r="AOK23"/>
      <c r="AOL23"/>
      <c r="AOM23"/>
      <c r="AON23"/>
      <c r="AOO23"/>
      <c r="AOP23"/>
      <c r="AOQ23"/>
      <c r="AOR23"/>
      <c r="AOS23"/>
      <c r="AOT23"/>
      <c r="AOU23"/>
      <c r="AOV23"/>
      <c r="AOW23"/>
      <c r="AOX23"/>
      <c r="AOY23"/>
      <c r="AOZ23"/>
      <c r="APA23"/>
      <c r="APB23"/>
      <c r="APC23"/>
      <c r="APD23"/>
      <c r="APE23"/>
      <c r="APF23"/>
      <c r="APG23"/>
      <c r="APH23"/>
      <c r="API23"/>
      <c r="APJ23"/>
      <c r="APK23"/>
      <c r="APL23"/>
      <c r="APM23"/>
      <c r="APN23"/>
      <c r="APO23"/>
      <c r="APP23"/>
      <c r="APQ23"/>
      <c r="APR23"/>
      <c r="APS23"/>
      <c r="APT23"/>
      <c r="APU23"/>
      <c r="APV23"/>
      <c r="APW23"/>
      <c r="APX23"/>
      <c r="APY23"/>
      <c r="APZ23"/>
      <c r="AQA23"/>
      <c r="AQB23"/>
      <c r="AQC23"/>
      <c r="AQD23"/>
      <c r="AQE23"/>
      <c r="AQF23"/>
      <c r="AQG23"/>
      <c r="AQH23"/>
      <c r="AQI23"/>
      <c r="AQJ23"/>
      <c r="AQK23">
        <v>39771</v>
      </c>
      <c r="AQL23">
        <v>0.13985059999999999</v>
      </c>
      <c r="AQM23">
        <v>108315</v>
      </c>
      <c r="AQN23">
        <v>0.83279320000000001</v>
      </c>
      <c r="AQO23">
        <v>90204</v>
      </c>
      <c r="AQP23">
        <v>0.79483170000000003</v>
      </c>
      <c r="AQQ23">
        <v>71697</v>
      </c>
      <c r="AQR23">
        <v>0.8683208</v>
      </c>
      <c r="AQS23">
        <v>62256</v>
      </c>
      <c r="AQT23">
        <v>0.4655937</v>
      </c>
      <c r="AQU23">
        <v>62256</v>
      </c>
      <c r="AQV23">
        <v>0.5344063</v>
      </c>
      <c r="AQW23">
        <v>71697</v>
      </c>
      <c r="AQX23">
        <v>0.13167909999999999</v>
      </c>
      <c r="AQY23">
        <v>9441</v>
      </c>
      <c r="AQZ23">
        <v>0.30251030000000001</v>
      </c>
      <c r="ARA23">
        <v>2856</v>
      </c>
      <c r="ARB23">
        <v>0.44117650000000003</v>
      </c>
      <c r="ARC23">
        <v>2856</v>
      </c>
      <c r="ARD23">
        <v>0.55882350000000003</v>
      </c>
      <c r="ARE23">
        <v>9441</v>
      </c>
      <c r="ARF23">
        <v>0.69748969999999999</v>
      </c>
      <c r="ARG23">
        <v>6585</v>
      </c>
      <c r="ARH23">
        <v>0.43310549999999998</v>
      </c>
      <c r="ARI23">
        <v>6585</v>
      </c>
      <c r="ARJ23">
        <v>0.56689449999999997</v>
      </c>
      <c r="ARK23">
        <v>90204</v>
      </c>
      <c r="ARL23">
        <v>0.2051683</v>
      </c>
      <c r="ARM23">
        <v>108315</v>
      </c>
      <c r="ARN23">
        <v>0.16720679999999999</v>
      </c>
      <c r="ARO23">
        <v>18111</v>
      </c>
      <c r="ARP23">
        <v>0.58500359999999996</v>
      </c>
      <c r="ARQ23">
        <v>10595</v>
      </c>
      <c r="ARR23">
        <v>0.51580939999999997</v>
      </c>
      <c r="ARS23">
        <v>5465</v>
      </c>
      <c r="ART23">
        <v>0.56120769999999998</v>
      </c>
      <c r="ARU23">
        <v>5465</v>
      </c>
      <c r="ARV23">
        <v>0.43879230000000002</v>
      </c>
      <c r="ARW23">
        <v>10595</v>
      </c>
      <c r="ARX23">
        <v>0.48419060000000003</v>
      </c>
      <c r="ARY23">
        <v>5130</v>
      </c>
      <c r="ARZ23">
        <v>0.37368420000000002</v>
      </c>
      <c r="ASA23">
        <v>1917</v>
      </c>
      <c r="ASB23">
        <v>0.46739700000000001</v>
      </c>
      <c r="ASC23">
        <v>1917</v>
      </c>
      <c r="ASD23">
        <v>0.53260300000000005</v>
      </c>
      <c r="ASE23">
        <v>5130</v>
      </c>
      <c r="ASF23">
        <v>0.62631579999999998</v>
      </c>
      <c r="ASG23">
        <v>3213</v>
      </c>
      <c r="ASH23">
        <v>0.84344850000000005</v>
      </c>
      <c r="ASI23">
        <v>3213</v>
      </c>
      <c r="ASJ23">
        <v>0.15655150000000001</v>
      </c>
      <c r="ASK23">
        <v>18111</v>
      </c>
      <c r="ASL23">
        <v>0.41499639999999999</v>
      </c>
      <c r="ASM23">
        <v>106196</v>
      </c>
      <c r="ASN23">
        <v>0.61857320000000005</v>
      </c>
      <c r="ASO23">
        <v>65690</v>
      </c>
      <c r="ASP23">
        <v>0.38002740000000002</v>
      </c>
      <c r="ASQ23">
        <v>24964</v>
      </c>
      <c r="ASR23">
        <v>0.56204929999999997</v>
      </c>
      <c r="ASS23">
        <v>14031</v>
      </c>
      <c r="AST23">
        <v>0.77620979999999995</v>
      </c>
      <c r="ASU23">
        <v>14031</v>
      </c>
      <c r="ASV23">
        <v>0.22379019999999999</v>
      </c>
      <c r="ASW23">
        <v>24964</v>
      </c>
      <c r="ASX23">
        <v>0.43795060000000002</v>
      </c>
      <c r="ASY23">
        <v>10933</v>
      </c>
      <c r="ASZ23">
        <v>0.29872860000000001</v>
      </c>
      <c r="ATA23">
        <v>10933</v>
      </c>
      <c r="ATB23">
        <v>0.2696424</v>
      </c>
      <c r="ATC23">
        <v>10933</v>
      </c>
      <c r="ATD23">
        <v>3.3842499999999998E-2</v>
      </c>
      <c r="ATE23">
        <v>24964</v>
      </c>
      <c r="ATF23">
        <v>1.1216200000000001E-2</v>
      </c>
      <c r="ATG23">
        <v>280</v>
      </c>
      <c r="ATH23">
        <v>2.7785709999999999</v>
      </c>
      <c r="ATI23">
        <v>280</v>
      </c>
      <c r="ATJ23">
        <v>3.3678569999999999</v>
      </c>
      <c r="ATK23">
        <v>280</v>
      </c>
      <c r="ATL23">
        <v>2.7285710000000001</v>
      </c>
      <c r="ATM23">
        <v>280</v>
      </c>
      <c r="ATN23">
        <v>5.6571429999999996</v>
      </c>
      <c r="ATO23">
        <v>24964</v>
      </c>
      <c r="ATP23">
        <v>2.79603E-2</v>
      </c>
      <c r="ATQ23">
        <v>698</v>
      </c>
      <c r="ATR23">
        <v>1.2693410000000001</v>
      </c>
      <c r="ATS23">
        <v>698</v>
      </c>
      <c r="ATT23">
        <v>9.9613180000000003</v>
      </c>
      <c r="ATU23">
        <v>65690</v>
      </c>
      <c r="ATV23">
        <v>1.7505999999999999E-3</v>
      </c>
      <c r="ATW23">
        <v>115</v>
      </c>
      <c r="ATX23">
        <v>23.25217</v>
      </c>
      <c r="ATY23">
        <v>115</v>
      </c>
      <c r="ATZ23">
        <v>9.2695659999999993</v>
      </c>
      <c r="AUA23">
        <v>1066</v>
      </c>
      <c r="AUB23">
        <v>1.508443</v>
      </c>
      <c r="AUC23">
        <v>1066</v>
      </c>
      <c r="AUD23">
        <v>1.6585369999999999</v>
      </c>
      <c r="AUE23">
        <v>115</v>
      </c>
      <c r="AUF23">
        <v>16.8</v>
      </c>
      <c r="AUG23">
        <v>115</v>
      </c>
      <c r="AUH23">
        <v>4.0347819999999999</v>
      </c>
      <c r="AUI23">
        <v>115</v>
      </c>
      <c r="AUJ23">
        <v>128.0609</v>
      </c>
      <c r="AUK23">
        <v>65690</v>
      </c>
      <c r="AUL23">
        <v>0.1603745</v>
      </c>
      <c r="AUM23">
        <v>10535</v>
      </c>
      <c r="AUN23">
        <v>0.39791169999999998</v>
      </c>
      <c r="AUO23">
        <v>10535</v>
      </c>
      <c r="AUP23">
        <v>2.3730000000000001E-3</v>
      </c>
      <c r="AUQ23">
        <v>65690</v>
      </c>
      <c r="AUR23">
        <v>0.1244634</v>
      </c>
      <c r="AUS23">
        <v>8176</v>
      </c>
      <c r="AUT23">
        <v>0.43933460000000002</v>
      </c>
      <c r="AUU23">
        <v>8176</v>
      </c>
      <c r="AUV23">
        <v>0.56066539999999998</v>
      </c>
      <c r="AUW23">
        <v>8176</v>
      </c>
      <c r="AUX23">
        <v>1.326443</v>
      </c>
      <c r="AUY23">
        <v>65690</v>
      </c>
      <c r="AUZ23">
        <v>8.7380100000000002E-2</v>
      </c>
      <c r="AVA23">
        <v>5740</v>
      </c>
      <c r="AVB23">
        <v>0.88937279999999996</v>
      </c>
      <c r="AVC23">
        <v>5740</v>
      </c>
      <c r="AVD23">
        <v>0.1787456</v>
      </c>
      <c r="AVE23">
        <v>5740</v>
      </c>
      <c r="AVF23">
        <v>0.36132399999999998</v>
      </c>
      <c r="AVG23">
        <v>106196</v>
      </c>
      <c r="AVH23">
        <v>1.88802E-2</v>
      </c>
      <c r="AVI23">
        <v>2005</v>
      </c>
      <c r="AVJ23">
        <v>20.202490000000001</v>
      </c>
      <c r="AVK23">
        <v>40506</v>
      </c>
      <c r="AVL23">
        <v>0.47773169999999998</v>
      </c>
      <c r="AVM23">
        <v>19351</v>
      </c>
      <c r="AVN23">
        <v>0.4431812</v>
      </c>
      <c r="AVO23">
        <v>19351</v>
      </c>
      <c r="AVP23">
        <v>0.26241540000000002</v>
      </c>
      <c r="AVQ23">
        <v>40506</v>
      </c>
      <c r="AVR23">
        <v>8.6357600000000007E-2</v>
      </c>
      <c r="AVS23">
        <v>3498</v>
      </c>
      <c r="AVT23">
        <v>3.0803319999999998</v>
      </c>
      <c r="AVU23">
        <v>3498</v>
      </c>
      <c r="AVV23">
        <v>0.3524871</v>
      </c>
      <c r="AVW23">
        <v>3498</v>
      </c>
      <c r="AVX23">
        <v>4.8027399999999998E-2</v>
      </c>
      <c r="AVY23">
        <v>40506</v>
      </c>
      <c r="AVZ23">
        <v>1.2763500000000001E-2</v>
      </c>
      <c r="AWA23">
        <v>517</v>
      </c>
      <c r="AWB23">
        <v>1.0444869999999999</v>
      </c>
      <c r="AWC23">
        <v>517</v>
      </c>
      <c r="AWD23">
        <v>1.1528050000000001</v>
      </c>
      <c r="AWE23">
        <v>517</v>
      </c>
      <c r="AWF23">
        <v>7.2804640000000003</v>
      </c>
      <c r="AWG23">
        <v>517</v>
      </c>
      <c r="AWH23">
        <v>1.234043</v>
      </c>
      <c r="AWI23">
        <v>40506</v>
      </c>
      <c r="AWJ23">
        <v>8.1938499999999997E-2</v>
      </c>
      <c r="AWK23">
        <v>3319</v>
      </c>
      <c r="AWL23">
        <v>0.62247660000000005</v>
      </c>
      <c r="AWM23">
        <v>3319</v>
      </c>
      <c r="AWN23">
        <v>0.37752340000000001</v>
      </c>
      <c r="AWO23">
        <v>2005</v>
      </c>
      <c r="AWP23">
        <v>2.1905239999999999</v>
      </c>
      <c r="AWQ23">
        <v>4392</v>
      </c>
      <c r="AWR23">
        <v>0.13000909999999999</v>
      </c>
      <c r="AWS23">
        <v>4392</v>
      </c>
      <c r="AWT23">
        <v>2.3907100000000001E-2</v>
      </c>
      <c r="AWU23">
        <v>105</v>
      </c>
      <c r="AWV23">
        <v>0</v>
      </c>
      <c r="AWW23">
        <v>105</v>
      </c>
      <c r="AWX23">
        <v>1</v>
      </c>
      <c r="AWY23">
        <v>4392</v>
      </c>
      <c r="AWZ23">
        <v>0.25956279999999998</v>
      </c>
      <c r="AXA23">
        <v>4392</v>
      </c>
      <c r="AXB23">
        <v>0.132969</v>
      </c>
      <c r="AXC23">
        <v>4392</v>
      </c>
      <c r="AXD23">
        <v>0.45355190000000001</v>
      </c>
      <c r="AXE23">
        <v>2005</v>
      </c>
      <c r="AXF23">
        <v>6.9301740000000001</v>
      </c>
      <c r="AXG23">
        <v>13895</v>
      </c>
      <c r="AXH23">
        <v>0.32184239999999997</v>
      </c>
      <c r="AXI23">
        <v>13895</v>
      </c>
      <c r="AXJ23">
        <v>0.67815760000000003</v>
      </c>
      <c r="AXK23">
        <v>2005</v>
      </c>
      <c r="AXL23">
        <v>0</v>
      </c>
      <c r="AXM23">
        <v>0</v>
      </c>
      <c r="AXN23"/>
      <c r="AXO23">
        <v>0</v>
      </c>
      <c r="AXP23"/>
      <c r="AXQ23">
        <v>0</v>
      </c>
      <c r="AXR23"/>
      <c r="AXS23">
        <v>2005</v>
      </c>
      <c r="AXT23">
        <v>1.3955109999999999</v>
      </c>
      <c r="AXU23">
        <v>2798</v>
      </c>
      <c r="AXV23">
        <v>0.68334530000000004</v>
      </c>
      <c r="AXW23">
        <v>2798</v>
      </c>
      <c r="AXX23">
        <v>0.31665470000000001</v>
      </c>
      <c r="AXY23">
        <v>2798</v>
      </c>
      <c r="AXZ23">
        <v>0.1018585</v>
      </c>
      <c r="AYA23">
        <v>14005</v>
      </c>
      <c r="AYB23">
        <v>3.3559000000000002E-3</v>
      </c>
      <c r="AYC23">
        <v>14005</v>
      </c>
      <c r="AYD23">
        <v>0.15494469999999999</v>
      </c>
      <c r="AYE23">
        <v>14005</v>
      </c>
      <c r="AYF23">
        <v>0.40949659999999999</v>
      </c>
      <c r="AYG23">
        <v>14005</v>
      </c>
      <c r="AYH23">
        <v>0.30481970000000003</v>
      </c>
      <c r="AYI23">
        <v>14005</v>
      </c>
      <c r="AYJ23">
        <v>3.6201400000000002E-2</v>
      </c>
      <c r="AYK23">
        <v>14005</v>
      </c>
      <c r="AYL23">
        <v>9.1181700000000004E-2</v>
      </c>
      <c r="AYM23">
        <v>14005</v>
      </c>
      <c r="AYN23">
        <v>0</v>
      </c>
      <c r="AYO23">
        <v>19182</v>
      </c>
      <c r="AYP23">
        <v>7.8928200000000004E-2</v>
      </c>
      <c r="AYQ23">
        <v>19182</v>
      </c>
      <c r="AYR23">
        <v>1.9653799999999999E-2</v>
      </c>
      <c r="AYS23">
        <v>19182</v>
      </c>
      <c r="AYT23">
        <v>0.27807320000000002</v>
      </c>
      <c r="AYU23">
        <v>19182</v>
      </c>
      <c r="AYV23">
        <v>0.2402252</v>
      </c>
      <c r="AYW23">
        <v>19182</v>
      </c>
      <c r="AYX23">
        <v>5.7501799999999999E-2</v>
      </c>
      <c r="AYY23">
        <v>19182</v>
      </c>
      <c r="AYZ23">
        <v>0.26295489999999999</v>
      </c>
      <c r="AZA23">
        <v>19182</v>
      </c>
      <c r="AZB23">
        <v>6.2662899999999994E-2</v>
      </c>
      <c r="AZC23">
        <v>24399</v>
      </c>
      <c r="AZD23">
        <v>2.9468399999999999E-2</v>
      </c>
      <c r="AZE23">
        <v>24399</v>
      </c>
      <c r="AZF23">
        <v>3.1066799999999999E-2</v>
      </c>
      <c r="AZG23">
        <v>24399</v>
      </c>
      <c r="AZH23">
        <v>0.2577565</v>
      </c>
      <c r="AZI23">
        <v>24399</v>
      </c>
      <c r="AZJ23">
        <v>0.21468090000000001</v>
      </c>
      <c r="AZK23">
        <v>24399</v>
      </c>
      <c r="AZL23">
        <v>6.8363499999999994E-2</v>
      </c>
      <c r="AZM23">
        <v>24399</v>
      </c>
      <c r="AZN23">
        <v>0.27169149999999997</v>
      </c>
      <c r="AZO23">
        <v>24399</v>
      </c>
      <c r="AZP23">
        <v>0.12697240000000001</v>
      </c>
      <c r="AZQ23">
        <v>44534</v>
      </c>
      <c r="AZR23">
        <v>2.0388900000000001E-2</v>
      </c>
      <c r="AZS23">
        <v>44534</v>
      </c>
      <c r="AZT23">
        <v>4.8255300000000001E-2</v>
      </c>
      <c r="AZU23">
        <v>44534</v>
      </c>
      <c r="AZV23">
        <v>0.28297480000000003</v>
      </c>
      <c r="AZW23">
        <v>44534</v>
      </c>
      <c r="AZX23">
        <v>0.2412763</v>
      </c>
      <c r="AZY23">
        <v>44534</v>
      </c>
      <c r="AZZ23">
        <v>7.3651599999999998E-2</v>
      </c>
      <c r="BAA23">
        <v>44534</v>
      </c>
      <c r="BAB23">
        <v>0.21680060000000001</v>
      </c>
      <c r="BAC23">
        <v>44534</v>
      </c>
      <c r="BAD23">
        <v>0.1166524</v>
      </c>
      <c r="BAE23">
        <v>15010</v>
      </c>
      <c r="BAF23">
        <v>4.6235800000000001E-2</v>
      </c>
      <c r="BAG23">
        <v>15010</v>
      </c>
      <c r="BAH23">
        <v>0.1195203</v>
      </c>
      <c r="BAI23">
        <v>15010</v>
      </c>
      <c r="BAJ23">
        <v>0.3069287</v>
      </c>
      <c r="BAK23">
        <v>15010</v>
      </c>
      <c r="BAL23">
        <v>0.2196536</v>
      </c>
      <c r="BAM23">
        <v>15010</v>
      </c>
      <c r="BAN23">
        <v>1.7188499999999999E-2</v>
      </c>
      <c r="BAO23">
        <v>15010</v>
      </c>
      <c r="BAP23">
        <v>0.1756162</v>
      </c>
      <c r="BAQ23">
        <v>15010</v>
      </c>
      <c r="BAR23">
        <v>0.1148568</v>
      </c>
      <c r="BAS23">
        <v>12830</v>
      </c>
      <c r="BAT23">
        <v>2.4006199999999998E-2</v>
      </c>
      <c r="BAU23">
        <v>12830</v>
      </c>
      <c r="BAV23">
        <v>0.14123150000000001</v>
      </c>
      <c r="BAW23">
        <v>12830</v>
      </c>
      <c r="BAX23">
        <v>0.25876850000000001</v>
      </c>
      <c r="BAY23">
        <v>12830</v>
      </c>
      <c r="BAZ23">
        <v>0.34286830000000001</v>
      </c>
      <c r="BBA23">
        <v>12830</v>
      </c>
      <c r="BBB23">
        <v>6.3055299999999995E-2</v>
      </c>
      <c r="BBC23">
        <v>12830</v>
      </c>
      <c r="BBD23">
        <v>0.15245520000000001</v>
      </c>
      <c r="BBE23">
        <v>12830</v>
      </c>
      <c r="BBF23">
        <v>1.7614999999999999E-2</v>
      </c>
      <c r="BBG23">
        <v>17125</v>
      </c>
      <c r="BBH23">
        <v>4.9634999999999999E-2</v>
      </c>
      <c r="BBI23">
        <v>17125</v>
      </c>
      <c r="BBJ23">
        <v>6.48175E-2</v>
      </c>
      <c r="BBK23">
        <v>17125</v>
      </c>
      <c r="BBL23">
        <v>0.14762040000000001</v>
      </c>
      <c r="BBM23">
        <v>17125</v>
      </c>
      <c r="BBN23">
        <v>0.2276204</v>
      </c>
      <c r="BBO23">
        <v>17125</v>
      </c>
      <c r="BBP23">
        <v>8.8934299999999994E-2</v>
      </c>
      <c r="BBQ23">
        <v>17125</v>
      </c>
      <c r="BBR23">
        <v>0.31235039999999997</v>
      </c>
      <c r="BBS23">
        <v>17125</v>
      </c>
      <c r="BBT23">
        <v>0.1090219</v>
      </c>
      <c r="BBU23">
        <v>24622</v>
      </c>
      <c r="BBV23">
        <v>2.2581400000000001E-2</v>
      </c>
      <c r="BBW23">
        <v>24622</v>
      </c>
      <c r="BBX23">
        <v>3.8989500000000003E-2</v>
      </c>
      <c r="BBY23">
        <v>24622</v>
      </c>
      <c r="BBZ23">
        <v>0.24571519999999999</v>
      </c>
      <c r="BCA23">
        <v>24622</v>
      </c>
      <c r="BCB23">
        <v>0.22613920000000001</v>
      </c>
      <c r="BCC23">
        <v>24622</v>
      </c>
      <c r="BCD23">
        <v>0.1000731</v>
      </c>
      <c r="BCE23">
        <v>24622</v>
      </c>
      <c r="BCF23">
        <v>0.23807980000000001</v>
      </c>
      <c r="BCG23">
        <v>24622</v>
      </c>
      <c r="BCH23">
        <v>0.1284217</v>
      </c>
      <c r="BCI23">
        <v>44022</v>
      </c>
      <c r="BCJ23">
        <v>2.4306000000000001E-2</v>
      </c>
      <c r="BCK23">
        <v>44022</v>
      </c>
      <c r="BCL23">
        <v>3.1189000000000001E-2</v>
      </c>
      <c r="BCM23">
        <v>44022</v>
      </c>
      <c r="BCN23">
        <v>0.30966339999999998</v>
      </c>
      <c r="BCO23">
        <v>44022</v>
      </c>
      <c r="BCP23">
        <v>0.24833040000000001</v>
      </c>
      <c r="BCQ23">
        <v>44022</v>
      </c>
      <c r="BCR23">
        <v>9.4770800000000002E-2</v>
      </c>
      <c r="BCS23">
        <v>44022</v>
      </c>
      <c r="BCT23">
        <v>0.19278999999999999</v>
      </c>
      <c r="BCU23">
        <v>44022</v>
      </c>
      <c r="BCV23">
        <v>9.8950499999999997E-2</v>
      </c>
      <c r="BCW23">
        <v>18964</v>
      </c>
      <c r="BCX23">
        <v>4.0866899999999998E-2</v>
      </c>
      <c r="BCY23">
        <v>18964</v>
      </c>
      <c r="BCZ23">
        <v>0.1016136</v>
      </c>
      <c r="BDA23">
        <v>18964</v>
      </c>
      <c r="BDB23">
        <v>0.4378823</v>
      </c>
      <c r="BDC23">
        <v>18964</v>
      </c>
      <c r="BDD23">
        <v>0.2133516</v>
      </c>
      <c r="BDE23">
        <v>18964</v>
      </c>
      <c r="BDF23">
        <v>2.36764E-2</v>
      </c>
      <c r="BDG23">
        <v>18964</v>
      </c>
      <c r="BDH23">
        <v>0.1178549</v>
      </c>
      <c r="BDI23">
        <v>18964</v>
      </c>
      <c r="BDJ23">
        <v>6.4754300000000001E-2</v>
      </c>
      <c r="BDK23">
        <v>75876</v>
      </c>
      <c r="BDL23">
        <v>4.0632099999999997E-2</v>
      </c>
      <c r="BDM23">
        <v>3083</v>
      </c>
      <c r="BDN23">
        <v>0.80376259999999999</v>
      </c>
      <c r="BDO23">
        <v>2478</v>
      </c>
      <c r="BDP23">
        <v>0.61541559999999995</v>
      </c>
      <c r="BDQ23">
        <v>2478</v>
      </c>
      <c r="BDR23">
        <v>0.38458429999999999</v>
      </c>
      <c r="BDS23">
        <v>3083</v>
      </c>
      <c r="BDT23">
        <v>0.19623740000000001</v>
      </c>
      <c r="BDU23">
        <v>605</v>
      </c>
      <c r="BDV23">
        <v>0.89090910000000001</v>
      </c>
      <c r="BDW23">
        <v>605</v>
      </c>
      <c r="BDX23">
        <v>0.1090909</v>
      </c>
      <c r="BDY23">
        <v>75876</v>
      </c>
      <c r="BDZ23">
        <v>0.95936790000000005</v>
      </c>
      <c r="BEA23">
        <v>72793</v>
      </c>
      <c r="BEB23">
        <v>0.55872129999999998</v>
      </c>
      <c r="BEC23">
        <v>40671</v>
      </c>
      <c r="BED23">
        <v>0.75496050000000003</v>
      </c>
      <c r="BEE23">
        <v>40671</v>
      </c>
      <c r="BEF23">
        <v>0.24503949999999999</v>
      </c>
      <c r="BEG23">
        <v>72793</v>
      </c>
      <c r="BEH23">
        <v>0.44127870000000002</v>
      </c>
      <c r="BEI23">
        <v>32122</v>
      </c>
      <c r="BEJ23">
        <v>0.78030630000000001</v>
      </c>
      <c r="BEK23">
        <v>32122</v>
      </c>
      <c r="BEL23">
        <v>0.21969369999999999</v>
      </c>
      <c r="BEM23">
        <v>153916</v>
      </c>
      <c r="BEN23">
        <v>0.54150960000000004</v>
      </c>
      <c r="BEO23">
        <v>83347</v>
      </c>
      <c r="BEP23">
        <v>0.79617740000000004</v>
      </c>
      <c r="BEQ23">
        <v>66359</v>
      </c>
      <c r="BER23">
        <v>0.20337859999999999</v>
      </c>
      <c r="BES23">
        <v>66359</v>
      </c>
      <c r="BET23">
        <v>0.79662140000000004</v>
      </c>
      <c r="BEU23">
        <v>83347</v>
      </c>
      <c r="BEV23">
        <v>0.20382259999999999</v>
      </c>
      <c r="BEW23">
        <v>153916</v>
      </c>
      <c r="BEX23">
        <v>0.45849030000000002</v>
      </c>
      <c r="BEY23">
        <v>70569</v>
      </c>
      <c r="BEZ23">
        <v>0.77752270000000001</v>
      </c>
      <c r="BFA23">
        <v>54869</v>
      </c>
      <c r="BFB23">
        <v>0.24964919999999999</v>
      </c>
      <c r="BFC23">
        <v>54869</v>
      </c>
      <c r="BFD23">
        <v>0.75035079999999998</v>
      </c>
      <c r="BFE23">
        <v>70569</v>
      </c>
      <c r="BFF23">
        <v>0.22247729999999999</v>
      </c>
      <c r="BFG23">
        <v>161329</v>
      </c>
      <c r="BFH23">
        <v>0.27396809999999999</v>
      </c>
      <c r="BFI23">
        <v>44199</v>
      </c>
      <c r="BFJ23">
        <v>0.972194</v>
      </c>
      <c r="BFK23">
        <v>44199</v>
      </c>
      <c r="BFL23">
        <v>2.78061E-2</v>
      </c>
      <c r="BFM23">
        <v>1229</v>
      </c>
      <c r="BFN23">
        <v>0.29210740000000002</v>
      </c>
      <c r="BFO23">
        <v>1229</v>
      </c>
      <c r="BFP23">
        <v>0.70789259999999998</v>
      </c>
      <c r="BFQ23">
        <v>161329</v>
      </c>
      <c r="BFR23">
        <v>0.72603189999999995</v>
      </c>
      <c r="BFS23">
        <v>117130</v>
      </c>
      <c r="BFT23">
        <v>0.8615043</v>
      </c>
      <c r="BFU23">
        <v>117130</v>
      </c>
      <c r="BFV23">
        <v>0.1384957</v>
      </c>
      <c r="BFW23">
        <v>16222</v>
      </c>
      <c r="BFX23">
        <v>0.37788189999999999</v>
      </c>
      <c r="BFY23">
        <v>16222</v>
      </c>
      <c r="BFZ23">
        <v>0.62211810000000001</v>
      </c>
      <c r="BGA23">
        <v>159632</v>
      </c>
      <c r="BGB23">
        <v>0.26353739999999998</v>
      </c>
      <c r="BGC23">
        <v>42069</v>
      </c>
      <c r="BGD23">
        <v>0.97599179999999996</v>
      </c>
      <c r="BGE23">
        <v>42069</v>
      </c>
      <c r="BGF23">
        <v>2.40082E-2</v>
      </c>
      <c r="BGG23">
        <v>1010</v>
      </c>
      <c r="BGH23">
        <v>0.18613859999999999</v>
      </c>
      <c r="BGI23">
        <v>1010</v>
      </c>
      <c r="BGJ23">
        <v>0.81386139999999996</v>
      </c>
      <c r="BGK23">
        <v>159632</v>
      </c>
      <c r="BGL23">
        <v>0.73646259999999997</v>
      </c>
      <c r="BGM23">
        <v>117563</v>
      </c>
      <c r="BGN23">
        <v>0.88282020000000005</v>
      </c>
      <c r="BGO23">
        <v>117563</v>
      </c>
      <c r="BGP23">
        <v>0.1171797</v>
      </c>
      <c r="BGQ23">
        <v>13776</v>
      </c>
      <c r="BGR23">
        <v>0.41202090000000002</v>
      </c>
      <c r="BGS23">
        <v>13776</v>
      </c>
      <c r="BGT23">
        <v>0.58797909999999998</v>
      </c>
    </row>
    <row r="24" spans="1:1554" x14ac:dyDescent="0.25">
      <c r="A24" t="s">
        <v>132</v>
      </c>
      <c r="B24">
        <v>2010</v>
      </c>
      <c r="C24">
        <v>1</v>
      </c>
      <c r="D24" t="s">
        <v>551</v>
      </c>
      <c r="E24">
        <v>23649</v>
      </c>
      <c r="F24">
        <v>0.404922</v>
      </c>
      <c r="G24">
        <v>9576</v>
      </c>
      <c r="H24">
        <v>8.8345900000000005E-2</v>
      </c>
      <c r="I24">
        <v>9576</v>
      </c>
      <c r="J24">
        <v>1.0756099999999999E-2</v>
      </c>
      <c r="K24">
        <v>9576</v>
      </c>
      <c r="L24">
        <v>0.18609020000000001</v>
      </c>
      <c r="M24">
        <v>9576</v>
      </c>
      <c r="N24">
        <v>6.5580600000000003E-2</v>
      </c>
      <c r="O24">
        <v>9576</v>
      </c>
      <c r="P24">
        <v>1.8797000000000001E-2</v>
      </c>
      <c r="Q24">
        <v>9576</v>
      </c>
      <c r="R24">
        <v>4.7619000000000002E-2</v>
      </c>
      <c r="S24">
        <v>9576</v>
      </c>
      <c r="T24">
        <v>9.9101900000000007E-2</v>
      </c>
      <c r="U24">
        <v>9576</v>
      </c>
      <c r="V24">
        <v>0.11038009999999999</v>
      </c>
      <c r="W24">
        <v>9576</v>
      </c>
      <c r="X24">
        <v>0.1677109</v>
      </c>
      <c r="Y24">
        <v>9576</v>
      </c>
      <c r="Z24">
        <v>0.1089181</v>
      </c>
      <c r="AA24">
        <v>9576</v>
      </c>
      <c r="AB24">
        <v>7.2159600000000004E-2</v>
      </c>
      <c r="AC24">
        <v>9576</v>
      </c>
      <c r="AD24">
        <v>8.9808000000000006E-3</v>
      </c>
      <c r="AE24">
        <v>9576</v>
      </c>
      <c r="AF24">
        <v>1.5559699999999999E-2</v>
      </c>
      <c r="AG24">
        <v>23649</v>
      </c>
      <c r="AH24">
        <v>0.595078</v>
      </c>
      <c r="AI24">
        <v>14073</v>
      </c>
      <c r="AJ24">
        <v>0.1013288</v>
      </c>
      <c r="AK24">
        <v>14073</v>
      </c>
      <c r="AL24">
        <v>3.09813E-2</v>
      </c>
      <c r="AM24">
        <v>14073</v>
      </c>
      <c r="AN24">
        <v>0.1160378</v>
      </c>
      <c r="AO24">
        <v>14073</v>
      </c>
      <c r="AP24">
        <v>4.4411300000000001E-2</v>
      </c>
      <c r="AQ24">
        <v>14073</v>
      </c>
      <c r="AR24">
        <v>1.7338200000000002E-2</v>
      </c>
      <c r="AS24">
        <v>14073</v>
      </c>
      <c r="AT24">
        <v>6.9068400000000002E-2</v>
      </c>
      <c r="AU24">
        <v>14073</v>
      </c>
      <c r="AV24">
        <v>8.1077200000000002E-2</v>
      </c>
      <c r="AW24">
        <v>14073</v>
      </c>
      <c r="AX24">
        <v>0.18077170000000001</v>
      </c>
      <c r="AY24">
        <v>14073</v>
      </c>
      <c r="AZ24">
        <v>0.13970009999999999</v>
      </c>
      <c r="BA24">
        <v>14073</v>
      </c>
      <c r="BB24">
        <v>7.0560600000000001E-2</v>
      </c>
      <c r="BC24">
        <v>14073</v>
      </c>
      <c r="BD24">
        <v>8.9248900000000006E-2</v>
      </c>
      <c r="BE24">
        <v>14073</v>
      </c>
      <c r="BF24">
        <v>3.2899900000000003E-2</v>
      </c>
      <c r="BG24">
        <v>14073</v>
      </c>
      <c r="BH24">
        <v>2.6575700000000001E-2</v>
      </c>
      <c r="BI24">
        <v>284164</v>
      </c>
      <c r="BJ24">
        <v>0.50807279999999999</v>
      </c>
      <c r="BK24">
        <v>144376</v>
      </c>
      <c r="BL24">
        <v>6.3777899999999998E-2</v>
      </c>
      <c r="BM24">
        <v>144376</v>
      </c>
      <c r="BN24">
        <v>1.1878700000000001E-2</v>
      </c>
      <c r="BO24">
        <v>144376</v>
      </c>
      <c r="BP24">
        <v>9.0721499999999997E-2</v>
      </c>
      <c r="BQ24">
        <v>144376</v>
      </c>
      <c r="BR24">
        <v>5.1836899999999998E-2</v>
      </c>
      <c r="BS24">
        <v>144376</v>
      </c>
      <c r="BT24">
        <v>1.5335E-2</v>
      </c>
      <c r="BU24">
        <v>144376</v>
      </c>
      <c r="BV24">
        <v>3.71668E-2</v>
      </c>
      <c r="BW24">
        <v>144376</v>
      </c>
      <c r="BX24">
        <v>7.8351000000000004E-2</v>
      </c>
      <c r="BY24">
        <v>144376</v>
      </c>
      <c r="BZ24">
        <v>0.1125187</v>
      </c>
      <c r="CA24">
        <v>144376</v>
      </c>
      <c r="CB24">
        <v>0.15332190000000001</v>
      </c>
      <c r="CC24">
        <v>144376</v>
      </c>
      <c r="CD24">
        <v>0.17465510000000001</v>
      </c>
      <c r="CE24">
        <v>144376</v>
      </c>
      <c r="CF24">
        <v>0.1168685</v>
      </c>
      <c r="CG24">
        <v>144376</v>
      </c>
      <c r="CH24">
        <v>6.1547600000000001E-2</v>
      </c>
      <c r="CI24">
        <v>144376</v>
      </c>
      <c r="CJ24">
        <v>3.2020600000000003E-2</v>
      </c>
      <c r="CK24">
        <v>284164</v>
      </c>
      <c r="CL24">
        <v>0.49192720000000001</v>
      </c>
      <c r="CM24">
        <v>139788</v>
      </c>
      <c r="CN24">
        <v>5.8839099999999998E-2</v>
      </c>
      <c r="CO24">
        <v>139788</v>
      </c>
      <c r="CP24">
        <v>1.7970099999999999E-2</v>
      </c>
      <c r="CQ24">
        <v>139788</v>
      </c>
      <c r="CR24">
        <v>7.61439E-2</v>
      </c>
      <c r="CS24">
        <v>139788</v>
      </c>
      <c r="CT24">
        <v>5.6092099999999999E-2</v>
      </c>
      <c r="CU24">
        <v>139788</v>
      </c>
      <c r="CV24">
        <v>1.3978300000000001E-2</v>
      </c>
      <c r="CW24">
        <v>139788</v>
      </c>
      <c r="CX24">
        <v>2.95447E-2</v>
      </c>
      <c r="CY24">
        <v>139788</v>
      </c>
      <c r="CZ24">
        <v>7.0914500000000005E-2</v>
      </c>
      <c r="DA24">
        <v>139788</v>
      </c>
      <c r="DB24">
        <v>0.1055241</v>
      </c>
      <c r="DC24">
        <v>139788</v>
      </c>
      <c r="DD24">
        <v>0.16236729999999999</v>
      </c>
      <c r="DE24">
        <v>139788</v>
      </c>
      <c r="DF24">
        <v>0.17605229999999999</v>
      </c>
      <c r="DG24">
        <v>139788</v>
      </c>
      <c r="DH24">
        <v>0.1176281</v>
      </c>
      <c r="DI24">
        <v>139788</v>
      </c>
      <c r="DJ24">
        <v>6.83034E-2</v>
      </c>
      <c r="DK24">
        <v>139788</v>
      </c>
      <c r="DL24">
        <v>4.6642099999999999E-2</v>
      </c>
      <c r="DM24">
        <v>200776</v>
      </c>
      <c r="DN24">
        <v>6.0903699999999998E-2</v>
      </c>
      <c r="DO24">
        <v>12228</v>
      </c>
      <c r="DP24">
        <v>0.37880269999999999</v>
      </c>
      <c r="DQ24">
        <v>98611</v>
      </c>
      <c r="DR24">
        <v>4.6972399999999997E-2</v>
      </c>
      <c r="DS24">
        <v>4632</v>
      </c>
      <c r="DT24">
        <v>0.15004319999999999</v>
      </c>
      <c r="DU24">
        <v>8424</v>
      </c>
      <c r="DV24">
        <v>8.2502400000000004E-2</v>
      </c>
      <c r="DW24">
        <v>4632</v>
      </c>
      <c r="DX24">
        <v>0.4011226</v>
      </c>
      <c r="DY24">
        <v>26103</v>
      </c>
      <c r="DZ24">
        <v>7.1179599999999996E-2</v>
      </c>
      <c r="EA24">
        <v>4632</v>
      </c>
      <c r="EB24">
        <v>0.38363560000000002</v>
      </c>
      <c r="EC24">
        <v>32308</v>
      </c>
      <c r="ED24">
        <v>5.5001899999999999E-2</v>
      </c>
      <c r="EE24">
        <v>4632</v>
      </c>
      <c r="EF24">
        <v>6.5198599999999995E-2</v>
      </c>
      <c r="EG24">
        <v>31776</v>
      </c>
      <c r="EH24">
        <v>9.5040000000000003E-3</v>
      </c>
      <c r="EI24">
        <v>12228</v>
      </c>
      <c r="EJ24">
        <v>0.6211972</v>
      </c>
      <c r="EK24">
        <v>102165</v>
      </c>
      <c r="EL24">
        <v>7.4350299999999994E-2</v>
      </c>
      <c r="EM24">
        <v>7596</v>
      </c>
      <c r="EN24">
        <v>0.14454980000000001</v>
      </c>
      <c r="EO24">
        <v>7803</v>
      </c>
      <c r="EP24">
        <v>0.14071510000000001</v>
      </c>
      <c r="EQ24">
        <v>7596</v>
      </c>
      <c r="ER24">
        <v>0.3426804</v>
      </c>
      <c r="ES24">
        <v>28901</v>
      </c>
      <c r="ET24">
        <v>9.0066099999999996E-2</v>
      </c>
      <c r="EU24">
        <v>7596</v>
      </c>
      <c r="EV24">
        <v>0.36861509999999997</v>
      </c>
      <c r="EW24">
        <v>34368</v>
      </c>
      <c r="EX24">
        <v>8.1471100000000005E-2</v>
      </c>
      <c r="EY24">
        <v>7596</v>
      </c>
      <c r="EZ24">
        <v>0.1441548</v>
      </c>
      <c r="FA24">
        <v>31093</v>
      </c>
      <c r="FB24">
        <v>3.5216900000000002E-2</v>
      </c>
      <c r="FC24">
        <v>200776</v>
      </c>
      <c r="FD24">
        <v>0.93909629999999999</v>
      </c>
      <c r="FE24">
        <v>188548</v>
      </c>
      <c r="FF24">
        <v>0.49843539999999997</v>
      </c>
      <c r="FG24">
        <v>98611</v>
      </c>
      <c r="FH24">
        <v>0.95302750000000003</v>
      </c>
      <c r="FI24">
        <v>93979</v>
      </c>
      <c r="FJ24">
        <v>8.2241800000000004E-2</v>
      </c>
      <c r="FK24">
        <v>8424</v>
      </c>
      <c r="FL24">
        <v>0.91749760000000002</v>
      </c>
      <c r="FM24">
        <v>93979</v>
      </c>
      <c r="FN24">
        <v>0.25798320000000002</v>
      </c>
      <c r="FO24">
        <v>26103</v>
      </c>
      <c r="FP24">
        <v>0.92882039999999999</v>
      </c>
      <c r="FQ24">
        <v>93979</v>
      </c>
      <c r="FR24">
        <v>0.3248704</v>
      </c>
      <c r="FS24">
        <v>32308</v>
      </c>
      <c r="FT24">
        <v>0.94499809999999995</v>
      </c>
      <c r="FU24">
        <v>93979</v>
      </c>
      <c r="FV24">
        <v>0.3349046</v>
      </c>
      <c r="FW24">
        <v>31776</v>
      </c>
      <c r="FX24">
        <v>0.99049600000000004</v>
      </c>
      <c r="FY24">
        <v>188548</v>
      </c>
      <c r="FZ24">
        <v>0.50156460000000003</v>
      </c>
      <c r="GA24">
        <v>102165</v>
      </c>
      <c r="GB24">
        <v>0.92564970000000002</v>
      </c>
      <c r="GC24">
        <v>94569</v>
      </c>
      <c r="GD24">
        <v>7.0900599999999994E-2</v>
      </c>
      <c r="GE24">
        <v>7803</v>
      </c>
      <c r="GF24">
        <v>0.85928490000000002</v>
      </c>
      <c r="GG24">
        <v>94569</v>
      </c>
      <c r="GH24">
        <v>0.27808270000000002</v>
      </c>
      <c r="GI24">
        <v>28901</v>
      </c>
      <c r="GJ24">
        <v>0.90993389999999996</v>
      </c>
      <c r="GK24">
        <v>94569</v>
      </c>
      <c r="GL24">
        <v>0.33380919999999997</v>
      </c>
      <c r="GM24">
        <v>34368</v>
      </c>
      <c r="GN24">
        <v>0.91852889999999998</v>
      </c>
      <c r="GO24">
        <v>94569</v>
      </c>
      <c r="GP24">
        <v>0.31720749999999998</v>
      </c>
      <c r="GQ24">
        <v>31093</v>
      </c>
      <c r="GR24">
        <v>0.9647831</v>
      </c>
      <c r="GS24">
        <v>235015</v>
      </c>
      <c r="GT24">
        <v>6.7000000000000004E-2</v>
      </c>
      <c r="GU24">
        <v>15746</v>
      </c>
      <c r="GV24">
        <v>0.38339899999999999</v>
      </c>
      <c r="GW24">
        <v>6037</v>
      </c>
      <c r="GX24">
        <v>0.17608080000000001</v>
      </c>
      <c r="GY24">
        <v>6037</v>
      </c>
      <c r="GZ24">
        <v>0.30776880000000001</v>
      </c>
      <c r="HA24">
        <v>6037</v>
      </c>
      <c r="HB24">
        <v>0.51615040000000001</v>
      </c>
      <c r="HC24">
        <v>6037</v>
      </c>
      <c r="HD24">
        <v>0.68510850000000001</v>
      </c>
      <c r="HE24">
        <v>6037</v>
      </c>
      <c r="HF24">
        <v>0.31489149999999999</v>
      </c>
      <c r="HG24">
        <v>4136</v>
      </c>
      <c r="HH24">
        <v>0.48114119999999999</v>
      </c>
      <c r="HI24">
        <v>4136</v>
      </c>
      <c r="HJ24">
        <v>0.51885879999999995</v>
      </c>
      <c r="HK24">
        <v>15746</v>
      </c>
      <c r="HL24">
        <v>0.61660099999999995</v>
      </c>
      <c r="HM24">
        <v>9709</v>
      </c>
      <c r="HN24">
        <v>8.6517700000000003E-2</v>
      </c>
      <c r="HO24">
        <v>9709</v>
      </c>
      <c r="HP24">
        <v>0.3818107</v>
      </c>
      <c r="HQ24">
        <v>9709</v>
      </c>
      <c r="HR24">
        <v>0.53167160000000002</v>
      </c>
      <c r="HS24">
        <v>9709</v>
      </c>
      <c r="HT24">
        <v>0.51694300000000004</v>
      </c>
      <c r="HU24">
        <v>9709</v>
      </c>
      <c r="HV24">
        <v>0.48305700000000001</v>
      </c>
      <c r="HW24">
        <v>5019</v>
      </c>
      <c r="HX24">
        <v>0.70731219999999995</v>
      </c>
      <c r="HY24">
        <v>5019</v>
      </c>
      <c r="HZ24">
        <v>0.2926878</v>
      </c>
      <c r="IA24">
        <v>235015</v>
      </c>
      <c r="IB24">
        <v>0.93300000000000005</v>
      </c>
      <c r="IC24">
        <v>219269</v>
      </c>
      <c r="ID24">
        <v>0.50466319999999998</v>
      </c>
      <c r="IE24">
        <v>110657</v>
      </c>
      <c r="IF24">
        <v>0.50756840000000003</v>
      </c>
      <c r="IG24">
        <v>110657</v>
      </c>
      <c r="IH24">
        <v>0.29416120000000001</v>
      </c>
      <c r="II24">
        <v>110657</v>
      </c>
      <c r="IJ24">
        <v>0.19827030000000001</v>
      </c>
      <c r="IK24">
        <v>110583</v>
      </c>
      <c r="IL24">
        <v>0.81269270000000005</v>
      </c>
      <c r="IM24">
        <v>110583</v>
      </c>
      <c r="IN24">
        <v>0.18730730000000001</v>
      </c>
      <c r="IO24">
        <v>89870</v>
      </c>
      <c r="IP24">
        <v>0.89018580000000003</v>
      </c>
      <c r="IQ24">
        <v>89870</v>
      </c>
      <c r="IR24">
        <v>0.1098142</v>
      </c>
      <c r="IS24">
        <v>219269</v>
      </c>
      <c r="IT24">
        <v>0.49533680000000002</v>
      </c>
      <c r="IU24">
        <v>108612</v>
      </c>
      <c r="IV24">
        <v>0.37799690000000002</v>
      </c>
      <c r="IW24">
        <v>108612</v>
      </c>
      <c r="IX24">
        <v>0.30873200000000001</v>
      </c>
      <c r="IY24">
        <v>108612</v>
      </c>
      <c r="IZ24">
        <v>0.31327110000000002</v>
      </c>
      <c r="JA24">
        <v>108612</v>
      </c>
      <c r="JB24">
        <v>0.68019189999999996</v>
      </c>
      <c r="JC24">
        <v>108612</v>
      </c>
      <c r="JD24">
        <v>0.31980809999999998</v>
      </c>
      <c r="JE24">
        <v>73877</v>
      </c>
      <c r="JF24">
        <v>0.90878080000000006</v>
      </c>
      <c r="JG24">
        <v>73877</v>
      </c>
      <c r="JH24">
        <v>9.12192E-2</v>
      </c>
      <c r="JI24">
        <v>82109</v>
      </c>
      <c r="JJ24">
        <v>8.6994100000000005E-2</v>
      </c>
      <c r="JK24">
        <v>7143</v>
      </c>
      <c r="JL24">
        <v>0.37869239999999998</v>
      </c>
      <c r="JM24">
        <v>2705</v>
      </c>
      <c r="JN24">
        <v>0.74195929999999999</v>
      </c>
      <c r="JO24">
        <v>2705</v>
      </c>
      <c r="JP24">
        <v>0.74195929999999999</v>
      </c>
      <c r="JQ24">
        <v>2705</v>
      </c>
      <c r="JR24">
        <v>0.74195929999999999</v>
      </c>
      <c r="JS24">
        <v>2705</v>
      </c>
      <c r="JT24">
        <v>0.74195929999999999</v>
      </c>
      <c r="JU24">
        <v>2705</v>
      </c>
      <c r="JV24">
        <v>0.25804070000000001</v>
      </c>
      <c r="JW24">
        <v>7143</v>
      </c>
      <c r="JX24">
        <v>0.62130759999999996</v>
      </c>
      <c r="JY24">
        <v>4438</v>
      </c>
      <c r="JZ24">
        <v>0.27061740000000001</v>
      </c>
      <c r="KA24">
        <v>1201</v>
      </c>
      <c r="KB24">
        <v>0.85512069999999996</v>
      </c>
      <c r="KC24">
        <v>1027</v>
      </c>
      <c r="KD24">
        <v>0.41577409999999998</v>
      </c>
      <c r="KE24">
        <v>1027</v>
      </c>
      <c r="KF24">
        <v>6.8159700000000004E-2</v>
      </c>
      <c r="KG24">
        <v>1027</v>
      </c>
      <c r="KH24">
        <v>0.51606620000000003</v>
      </c>
      <c r="KI24">
        <v>1201</v>
      </c>
      <c r="KJ24">
        <v>0.14487929999999999</v>
      </c>
      <c r="KK24">
        <v>4438</v>
      </c>
      <c r="KL24">
        <v>0.72938259999999999</v>
      </c>
      <c r="KM24">
        <v>3237</v>
      </c>
      <c r="KN24">
        <v>0.95118939999999996</v>
      </c>
      <c r="KO24">
        <v>3079</v>
      </c>
      <c r="KP24">
        <v>9.1263399999999995E-2</v>
      </c>
      <c r="KQ24">
        <v>3079</v>
      </c>
      <c r="KR24">
        <v>0.32607989999999998</v>
      </c>
      <c r="KS24">
        <v>3079</v>
      </c>
      <c r="KT24">
        <v>0.58265670000000003</v>
      </c>
      <c r="KU24">
        <v>3237</v>
      </c>
      <c r="KV24">
        <v>4.8810600000000003E-2</v>
      </c>
      <c r="KW24">
        <v>82109</v>
      </c>
      <c r="KX24">
        <v>2.0533699999999998E-2</v>
      </c>
      <c r="KY24">
        <v>1686</v>
      </c>
      <c r="KZ24">
        <v>0.52550419999999998</v>
      </c>
      <c r="LA24">
        <v>886</v>
      </c>
      <c r="LB24">
        <v>0.66704289999999999</v>
      </c>
      <c r="LC24">
        <v>886</v>
      </c>
      <c r="LD24">
        <v>0.66704289999999999</v>
      </c>
      <c r="LE24">
        <v>886</v>
      </c>
      <c r="LF24">
        <v>0.66704289999999999</v>
      </c>
      <c r="LG24">
        <v>886</v>
      </c>
      <c r="LH24">
        <v>0.66704289999999999</v>
      </c>
      <c r="LI24">
        <v>886</v>
      </c>
      <c r="LJ24">
        <v>0.33295710000000001</v>
      </c>
      <c r="LK24">
        <v>1686</v>
      </c>
      <c r="LL24">
        <v>0.47449590000000003</v>
      </c>
      <c r="LM24">
        <v>800</v>
      </c>
      <c r="LN24">
        <v>0.10125000000000001</v>
      </c>
      <c r="LO24">
        <v>81</v>
      </c>
      <c r="LP24">
        <v>1</v>
      </c>
      <c r="LQ24">
        <v>81</v>
      </c>
      <c r="LR24">
        <v>0</v>
      </c>
      <c r="LS24">
        <v>81</v>
      </c>
      <c r="LT24">
        <v>0</v>
      </c>
      <c r="LU24">
        <v>81</v>
      </c>
      <c r="LV24">
        <v>1</v>
      </c>
      <c r="LW24">
        <v>81</v>
      </c>
      <c r="LX24">
        <v>0</v>
      </c>
      <c r="LY24">
        <v>800</v>
      </c>
      <c r="LZ24">
        <v>0.89875000000000005</v>
      </c>
      <c r="MA24">
        <v>719</v>
      </c>
      <c r="MB24">
        <v>0.71070929999999999</v>
      </c>
      <c r="MC24">
        <v>511</v>
      </c>
      <c r="MD24">
        <v>0</v>
      </c>
      <c r="ME24">
        <v>511</v>
      </c>
      <c r="MF24">
        <v>0</v>
      </c>
      <c r="MG24">
        <v>511</v>
      </c>
      <c r="MH24">
        <v>1</v>
      </c>
      <c r="MI24">
        <v>719</v>
      </c>
      <c r="MJ24">
        <v>0.28929070000000001</v>
      </c>
      <c r="MK24">
        <v>82109</v>
      </c>
      <c r="ML24">
        <v>4.0689799999999998E-2</v>
      </c>
      <c r="MM24">
        <v>3341</v>
      </c>
      <c r="MN24">
        <v>0.6644717</v>
      </c>
      <c r="MO24">
        <v>2220</v>
      </c>
      <c r="MP24">
        <v>0.71171169999999995</v>
      </c>
      <c r="MQ24">
        <v>2220</v>
      </c>
      <c r="MR24">
        <v>0.71171169999999995</v>
      </c>
      <c r="MS24">
        <v>2220</v>
      </c>
      <c r="MT24">
        <v>0.71171169999999995</v>
      </c>
      <c r="MU24">
        <v>2220</v>
      </c>
      <c r="MV24">
        <v>0.71171169999999995</v>
      </c>
      <c r="MW24">
        <v>2220</v>
      </c>
      <c r="MX24">
        <v>0.2882883</v>
      </c>
      <c r="MY24">
        <v>3341</v>
      </c>
      <c r="MZ24">
        <v>0.3355283</v>
      </c>
      <c r="NA24">
        <v>1121</v>
      </c>
      <c r="NB24">
        <v>0.41748439999999998</v>
      </c>
      <c r="NC24">
        <v>468</v>
      </c>
      <c r="ND24">
        <v>1</v>
      </c>
      <c r="NE24">
        <v>468</v>
      </c>
      <c r="NF24">
        <v>0.1752137</v>
      </c>
      <c r="NG24">
        <v>468</v>
      </c>
      <c r="NH24">
        <v>0.82478629999999997</v>
      </c>
      <c r="NI24">
        <v>468</v>
      </c>
      <c r="NJ24">
        <v>0</v>
      </c>
      <c r="NK24">
        <v>468</v>
      </c>
      <c r="NL24">
        <v>0</v>
      </c>
      <c r="NM24">
        <v>1121</v>
      </c>
      <c r="NN24">
        <v>0.58251560000000002</v>
      </c>
      <c r="NO24">
        <v>653</v>
      </c>
      <c r="NP24">
        <v>0.80551300000000003</v>
      </c>
      <c r="NQ24">
        <v>526</v>
      </c>
      <c r="NR24">
        <v>0.20912549999999999</v>
      </c>
      <c r="NS24">
        <v>526</v>
      </c>
      <c r="NT24">
        <v>0.148289</v>
      </c>
      <c r="NU24">
        <v>526</v>
      </c>
      <c r="NV24">
        <v>0.64258559999999998</v>
      </c>
      <c r="NW24">
        <v>653</v>
      </c>
      <c r="NX24">
        <v>0.19448699999999999</v>
      </c>
      <c r="NY24">
        <v>82109</v>
      </c>
      <c r="NZ24">
        <v>0.85178240000000005</v>
      </c>
      <c r="OA24">
        <v>69939</v>
      </c>
      <c r="OB24">
        <v>0.87421890000000002</v>
      </c>
      <c r="OC24">
        <v>61142</v>
      </c>
      <c r="OD24">
        <v>0.50570800000000005</v>
      </c>
      <c r="OE24">
        <v>61142</v>
      </c>
      <c r="OF24">
        <v>0.50570800000000005</v>
      </c>
      <c r="OG24">
        <v>61142</v>
      </c>
      <c r="OH24">
        <v>0.50570800000000005</v>
      </c>
      <c r="OI24">
        <v>61142</v>
      </c>
      <c r="OJ24">
        <v>0.50570800000000005</v>
      </c>
      <c r="OK24">
        <v>61142</v>
      </c>
      <c r="OL24">
        <v>0.49429200000000001</v>
      </c>
      <c r="OM24">
        <v>69939</v>
      </c>
      <c r="ON24">
        <v>0.125781</v>
      </c>
      <c r="OO24">
        <v>8797</v>
      </c>
      <c r="OP24">
        <v>0.4340116</v>
      </c>
      <c r="OQ24">
        <v>3818</v>
      </c>
      <c r="OR24">
        <v>0.4520691</v>
      </c>
      <c r="OS24">
        <v>1726</v>
      </c>
      <c r="OT24">
        <v>0.29316340000000002</v>
      </c>
      <c r="OU24">
        <v>1726</v>
      </c>
      <c r="OV24">
        <v>0.2363847</v>
      </c>
      <c r="OW24">
        <v>1726</v>
      </c>
      <c r="OX24">
        <v>0.47045189999999998</v>
      </c>
      <c r="OY24">
        <v>3818</v>
      </c>
      <c r="OZ24">
        <v>0.54793080000000005</v>
      </c>
      <c r="PA24">
        <v>8797</v>
      </c>
      <c r="PB24">
        <v>0.56598839999999995</v>
      </c>
      <c r="PC24">
        <v>4979</v>
      </c>
      <c r="PD24">
        <v>0.52821850000000004</v>
      </c>
      <c r="PE24">
        <v>2630</v>
      </c>
      <c r="PF24">
        <v>1.17871E-2</v>
      </c>
      <c r="PG24">
        <v>2630</v>
      </c>
      <c r="PH24">
        <v>0.10988589999999999</v>
      </c>
      <c r="PI24">
        <v>2630</v>
      </c>
      <c r="PJ24">
        <v>0.87832699999999997</v>
      </c>
      <c r="PK24">
        <v>4979</v>
      </c>
      <c r="PL24">
        <v>0.47178150000000002</v>
      </c>
      <c r="PM24">
        <v>309192</v>
      </c>
      <c r="PN24">
        <v>0.49991269999999999</v>
      </c>
      <c r="PO24">
        <v>154569</v>
      </c>
      <c r="PP24">
        <v>6.5116499999999994E-2</v>
      </c>
      <c r="PQ24">
        <v>154569</v>
      </c>
      <c r="PR24">
        <v>8.3561399999999994E-2</v>
      </c>
      <c r="PS24">
        <v>154569</v>
      </c>
      <c r="PT24">
        <v>7.9705499999999999E-2</v>
      </c>
      <c r="PU24">
        <v>154569</v>
      </c>
      <c r="PV24">
        <v>5.3154300000000002E-2</v>
      </c>
      <c r="PW24">
        <v>154569</v>
      </c>
      <c r="PX24">
        <v>2.7489300000000001E-2</v>
      </c>
      <c r="PY24">
        <v>154569</v>
      </c>
      <c r="PZ24">
        <v>1.55853E-2</v>
      </c>
      <c r="QA24">
        <v>154569</v>
      </c>
      <c r="QB24">
        <v>1.0649E-2</v>
      </c>
      <c r="QC24">
        <v>154569</v>
      </c>
      <c r="QD24">
        <v>2.56002E-2</v>
      </c>
      <c r="QE24">
        <v>154569</v>
      </c>
      <c r="QF24">
        <v>5.3697700000000001E-2</v>
      </c>
      <c r="QG24">
        <v>154569</v>
      </c>
      <c r="QH24">
        <v>5.8239399999999997E-2</v>
      </c>
      <c r="QI24">
        <v>154569</v>
      </c>
      <c r="QJ24">
        <v>6.4741300000000002E-2</v>
      </c>
      <c r="QK24">
        <v>154569</v>
      </c>
      <c r="QL24">
        <v>8.8859999999999995E-2</v>
      </c>
      <c r="QM24">
        <v>154569</v>
      </c>
      <c r="QN24">
        <v>8.9177000000000006E-2</v>
      </c>
      <c r="QO24">
        <v>154569</v>
      </c>
      <c r="QP24">
        <v>8.0708299999999997E-2</v>
      </c>
      <c r="QQ24">
        <v>154569</v>
      </c>
      <c r="QR24">
        <v>5.9811499999999997E-2</v>
      </c>
      <c r="QS24">
        <v>154569</v>
      </c>
      <c r="QT24">
        <v>2.27342E-2</v>
      </c>
      <c r="QU24">
        <v>154569</v>
      </c>
      <c r="QV24">
        <v>3.10864E-2</v>
      </c>
      <c r="QW24">
        <v>154569</v>
      </c>
      <c r="QX24">
        <v>1.65557E-2</v>
      </c>
      <c r="QY24">
        <v>154569</v>
      </c>
      <c r="QZ24">
        <v>1.8153699999999998E-2</v>
      </c>
      <c r="RA24">
        <v>154569</v>
      </c>
      <c r="RB24">
        <v>2.33359E-2</v>
      </c>
      <c r="RC24">
        <v>154569</v>
      </c>
      <c r="RD24">
        <v>1.7099199999999998E-2</v>
      </c>
      <c r="RE24">
        <v>154569</v>
      </c>
      <c r="RF24">
        <v>9.6462000000000006E-3</v>
      </c>
      <c r="RG24">
        <v>154569</v>
      </c>
      <c r="RH24">
        <v>5.2921000000000001E-3</v>
      </c>
      <c r="RI24">
        <v>309192</v>
      </c>
      <c r="RJ24">
        <v>0.50008730000000001</v>
      </c>
      <c r="RK24">
        <v>154623</v>
      </c>
      <c r="RL24">
        <v>6.2416300000000001E-2</v>
      </c>
      <c r="RM24">
        <v>154623</v>
      </c>
      <c r="RN24">
        <v>7.3307300000000006E-2</v>
      </c>
      <c r="RO24">
        <v>154623</v>
      </c>
      <c r="RP24">
        <v>8.0220899999999998E-2</v>
      </c>
      <c r="RQ24">
        <v>154623</v>
      </c>
      <c r="RR24">
        <v>4.7211599999999999E-2</v>
      </c>
      <c r="RS24">
        <v>154623</v>
      </c>
      <c r="RT24">
        <v>2.34182E-2</v>
      </c>
      <c r="RU24">
        <v>154623</v>
      </c>
      <c r="RV24">
        <v>8.6662000000000006E-3</v>
      </c>
      <c r="RW24">
        <v>154623</v>
      </c>
      <c r="RX24">
        <v>6.8294999999999996E-3</v>
      </c>
      <c r="RY24">
        <v>154623</v>
      </c>
      <c r="RZ24">
        <v>3.2576000000000001E-2</v>
      </c>
      <c r="SA24">
        <v>154623</v>
      </c>
      <c r="SB24">
        <v>5.0581099999999997E-2</v>
      </c>
      <c r="SC24">
        <v>154623</v>
      </c>
      <c r="SD24">
        <v>6.1271600000000002E-2</v>
      </c>
      <c r="SE24">
        <v>154623</v>
      </c>
      <c r="SF24">
        <v>6.9802000000000003E-2</v>
      </c>
      <c r="SG24">
        <v>154623</v>
      </c>
      <c r="SH24">
        <v>8.9702000000000004E-2</v>
      </c>
      <c r="SI24">
        <v>154623</v>
      </c>
      <c r="SJ24">
        <v>8.7858900000000004E-2</v>
      </c>
      <c r="SK24">
        <v>154623</v>
      </c>
      <c r="SL24">
        <v>7.8028500000000001E-2</v>
      </c>
      <c r="SM24">
        <v>154623</v>
      </c>
      <c r="SN24">
        <v>5.99458E-2</v>
      </c>
      <c r="SO24">
        <v>154623</v>
      </c>
      <c r="SP24">
        <v>2.4491800000000001E-2</v>
      </c>
      <c r="SQ24">
        <v>154623</v>
      </c>
      <c r="SR24">
        <v>3.00279E-2</v>
      </c>
      <c r="SS24">
        <v>154623</v>
      </c>
      <c r="ST24">
        <v>1.8477199999999999E-2</v>
      </c>
      <c r="SU24">
        <v>154623</v>
      </c>
      <c r="SV24">
        <v>2.4446599999999999E-2</v>
      </c>
      <c r="SW24">
        <v>154623</v>
      </c>
      <c r="SX24">
        <v>2.1820800000000001E-2</v>
      </c>
      <c r="SY24">
        <v>154623</v>
      </c>
      <c r="SZ24">
        <v>1.9162700000000001E-2</v>
      </c>
      <c r="TA24">
        <v>154623</v>
      </c>
      <c r="TB24">
        <v>1.3704300000000001E-2</v>
      </c>
      <c r="TC24">
        <v>154623</v>
      </c>
      <c r="TD24">
        <v>1.6032500000000002E-2</v>
      </c>
      <c r="TE24">
        <v>275388</v>
      </c>
      <c r="TF24">
        <v>0.49409199999999998</v>
      </c>
      <c r="TG24"/>
      <c r="TH24"/>
      <c r="TI24"/>
      <c r="TJ24"/>
      <c r="TK24">
        <v>8534</v>
      </c>
      <c r="TL24">
        <v>0.45793299999999998</v>
      </c>
      <c r="TM24"/>
      <c r="TN24"/>
      <c r="TO24">
        <v>17183</v>
      </c>
      <c r="TP24">
        <v>0.60903220000000002</v>
      </c>
      <c r="TQ24"/>
      <c r="TR24"/>
      <c r="TS24">
        <v>258917</v>
      </c>
      <c r="TT24">
        <v>0.49560280000000001</v>
      </c>
      <c r="TU24">
        <v>35478</v>
      </c>
      <c r="TV24">
        <v>0.53796719999999998</v>
      </c>
      <c r="TW24">
        <v>275388</v>
      </c>
      <c r="TX24">
        <v>0.50590800000000002</v>
      </c>
      <c r="TY24"/>
      <c r="TZ24"/>
      <c r="UA24"/>
      <c r="UB24"/>
      <c r="UC24">
        <v>8534</v>
      </c>
      <c r="UD24">
        <v>0.54206710000000002</v>
      </c>
      <c r="UE24"/>
      <c r="UF24"/>
      <c r="UG24">
        <v>17183</v>
      </c>
      <c r="UH24">
        <v>0.39096779999999998</v>
      </c>
      <c r="UI24"/>
      <c r="UJ24"/>
      <c r="UK24">
        <v>258917</v>
      </c>
      <c r="UL24">
        <v>0.50439719999999999</v>
      </c>
      <c r="UM24">
        <v>35478</v>
      </c>
      <c r="UN24">
        <v>0.46203280000000002</v>
      </c>
      <c r="UO24">
        <v>76203</v>
      </c>
      <c r="UP24">
        <v>76203</v>
      </c>
      <c r="UQ24">
        <v>76203</v>
      </c>
      <c r="UR24">
        <v>64094</v>
      </c>
      <c r="US24">
        <v>64094</v>
      </c>
      <c r="UT24">
        <v>64094</v>
      </c>
      <c r="UU24">
        <v>9.7110000000000002E-4</v>
      </c>
      <c r="UV24">
        <v>0.87589729999999999</v>
      </c>
      <c r="UW24">
        <v>0.12313159999999999</v>
      </c>
      <c r="UX24">
        <v>0</v>
      </c>
      <c r="UY24">
        <v>0.91081849999999998</v>
      </c>
      <c r="UZ24">
        <v>8.9181499999999997E-2</v>
      </c>
      <c r="VA24">
        <v>3691</v>
      </c>
      <c r="VB24">
        <v>0</v>
      </c>
      <c r="VC24">
        <v>3691</v>
      </c>
      <c r="VD24">
        <v>0.78813330000000004</v>
      </c>
      <c r="VE24">
        <v>3691</v>
      </c>
      <c r="VF24">
        <v>0.21186669999999999</v>
      </c>
      <c r="VG24">
        <v>7793</v>
      </c>
      <c r="VH24">
        <v>9.4956999999999993E-3</v>
      </c>
      <c r="VI24">
        <v>7793</v>
      </c>
      <c r="VJ24">
        <v>0.7482356</v>
      </c>
      <c r="VK24">
        <v>7793</v>
      </c>
      <c r="VL24">
        <v>0.2422687</v>
      </c>
      <c r="VM24">
        <v>8690</v>
      </c>
      <c r="VN24">
        <v>0</v>
      </c>
      <c r="VO24">
        <v>8690</v>
      </c>
      <c r="VP24">
        <v>0.91392399999999996</v>
      </c>
      <c r="VQ24">
        <v>8690</v>
      </c>
      <c r="VR24">
        <v>8.6075899999999997E-2</v>
      </c>
      <c r="VS24">
        <v>22870</v>
      </c>
      <c r="VT24">
        <v>0</v>
      </c>
      <c r="VU24">
        <v>22870</v>
      </c>
      <c r="VV24">
        <v>0.89212939999999996</v>
      </c>
      <c r="VW24">
        <v>22870</v>
      </c>
      <c r="VX24">
        <v>0.1078706</v>
      </c>
      <c r="VY24">
        <v>24889</v>
      </c>
      <c r="VZ24">
        <v>0</v>
      </c>
      <c r="WA24">
        <v>24889</v>
      </c>
      <c r="WB24">
        <v>0.87958539999999996</v>
      </c>
      <c r="WC24">
        <v>24889</v>
      </c>
      <c r="WD24">
        <v>0.1204146</v>
      </c>
      <c r="WE24">
        <v>8270</v>
      </c>
      <c r="WF24">
        <v>0</v>
      </c>
      <c r="WG24">
        <v>8270</v>
      </c>
      <c r="WH24">
        <v>0.93941960000000002</v>
      </c>
      <c r="WI24">
        <v>8270</v>
      </c>
      <c r="WJ24">
        <v>6.05804E-2</v>
      </c>
      <c r="WK24">
        <v>4507</v>
      </c>
      <c r="WL24">
        <v>0</v>
      </c>
      <c r="WM24">
        <v>4507</v>
      </c>
      <c r="WN24">
        <v>0.74461949999999999</v>
      </c>
      <c r="WO24">
        <v>4507</v>
      </c>
      <c r="WP24">
        <v>0.25538050000000001</v>
      </c>
      <c r="WQ24">
        <v>7067</v>
      </c>
      <c r="WR24">
        <v>0</v>
      </c>
      <c r="WS24">
        <v>7067</v>
      </c>
      <c r="WT24">
        <v>0.86415739999999996</v>
      </c>
      <c r="WU24">
        <v>7067</v>
      </c>
      <c r="WV24">
        <v>0.13584270000000001</v>
      </c>
      <c r="WW24">
        <v>7080</v>
      </c>
      <c r="WX24">
        <v>0</v>
      </c>
      <c r="WY24">
        <v>7080</v>
      </c>
      <c r="WZ24">
        <v>0.92457630000000002</v>
      </c>
      <c r="XA24">
        <v>7080</v>
      </c>
      <c r="XB24">
        <v>7.5423699999999996E-2</v>
      </c>
      <c r="XC24">
        <v>18530</v>
      </c>
      <c r="XD24">
        <v>0</v>
      </c>
      <c r="XE24">
        <v>18530</v>
      </c>
      <c r="XF24">
        <v>0.94182410000000005</v>
      </c>
      <c r="XG24">
        <v>18530</v>
      </c>
      <c r="XH24">
        <v>5.8175900000000003E-2</v>
      </c>
      <c r="XI24">
        <v>20085</v>
      </c>
      <c r="XJ24">
        <v>0</v>
      </c>
      <c r="XK24">
        <v>20085</v>
      </c>
      <c r="XL24">
        <v>0.93756530000000005</v>
      </c>
      <c r="XM24">
        <v>20085</v>
      </c>
      <c r="XN24">
        <v>6.2434700000000003E-2</v>
      </c>
      <c r="XO24">
        <v>6825</v>
      </c>
      <c r="XP24">
        <v>0</v>
      </c>
      <c r="XQ24">
        <v>6825</v>
      </c>
      <c r="XR24">
        <v>0.8917216</v>
      </c>
      <c r="XS24">
        <v>6825</v>
      </c>
      <c r="XT24">
        <v>0.1082784</v>
      </c>
      <c r="XU24">
        <v>204413</v>
      </c>
      <c r="XV24">
        <v>0.50363729999999995</v>
      </c>
      <c r="XW24">
        <v>102950</v>
      </c>
      <c r="XX24">
        <v>0.85408450000000002</v>
      </c>
      <c r="XY24">
        <v>102950</v>
      </c>
      <c r="XZ24">
        <v>0.1459155</v>
      </c>
      <c r="YA24">
        <v>87928</v>
      </c>
      <c r="YB24">
        <v>0.82675600000000005</v>
      </c>
      <c r="YC24">
        <v>72695</v>
      </c>
      <c r="YD24">
        <v>0.76629749999999996</v>
      </c>
      <c r="YE24">
        <v>72695</v>
      </c>
      <c r="YF24">
        <v>1.81581E-2</v>
      </c>
      <c r="YG24">
        <v>72695</v>
      </c>
      <c r="YH24">
        <v>5.8408399999999999E-2</v>
      </c>
      <c r="YI24">
        <v>72695</v>
      </c>
      <c r="YJ24">
        <v>6.7652500000000004E-2</v>
      </c>
      <c r="YK24">
        <v>72695</v>
      </c>
      <c r="YL24">
        <v>4.7293500000000002E-2</v>
      </c>
      <c r="YM24">
        <v>72695</v>
      </c>
      <c r="YN24">
        <v>4.2189999999999998E-2</v>
      </c>
      <c r="YO24">
        <v>87928</v>
      </c>
      <c r="YP24">
        <v>0.12932170000000001</v>
      </c>
      <c r="YQ24">
        <v>11371</v>
      </c>
      <c r="YR24">
        <v>0.35018909999999998</v>
      </c>
      <c r="YS24">
        <v>11371</v>
      </c>
      <c r="YT24">
        <v>1.9435399999999999E-2</v>
      </c>
      <c r="YU24">
        <v>11371</v>
      </c>
      <c r="YV24">
        <v>0.1042125</v>
      </c>
      <c r="YW24">
        <v>11371</v>
      </c>
      <c r="YX24">
        <v>0.13552020000000001</v>
      </c>
      <c r="YY24">
        <v>11371</v>
      </c>
      <c r="YZ24">
        <v>0.20719370000000001</v>
      </c>
      <c r="ZA24">
        <v>11371</v>
      </c>
      <c r="ZB24">
        <v>0.1834491</v>
      </c>
      <c r="ZC24">
        <v>87928</v>
      </c>
      <c r="ZD24">
        <v>4.3922299999999997E-2</v>
      </c>
      <c r="ZE24">
        <v>3862</v>
      </c>
      <c r="ZF24">
        <v>0.3780425</v>
      </c>
      <c r="ZG24">
        <v>3862</v>
      </c>
      <c r="ZH24">
        <v>2.0196800000000001E-2</v>
      </c>
      <c r="ZI24">
        <v>3862</v>
      </c>
      <c r="ZJ24">
        <v>7.8456799999999993E-2</v>
      </c>
      <c r="ZK24">
        <v>3862</v>
      </c>
      <c r="ZL24">
        <v>6.0849300000000002E-2</v>
      </c>
      <c r="ZM24">
        <v>3862</v>
      </c>
      <c r="ZN24">
        <v>0.1812532</v>
      </c>
      <c r="ZO24">
        <v>3862</v>
      </c>
      <c r="ZP24">
        <v>0.28120149999999999</v>
      </c>
      <c r="ZQ24">
        <v>204413</v>
      </c>
      <c r="ZR24">
        <v>0.49636269999999999</v>
      </c>
      <c r="ZS24">
        <v>101463</v>
      </c>
      <c r="ZT24">
        <v>0.74491189999999996</v>
      </c>
      <c r="ZU24">
        <v>101463</v>
      </c>
      <c r="ZV24">
        <v>0.25508809999999998</v>
      </c>
      <c r="ZW24">
        <v>75581</v>
      </c>
      <c r="ZX24">
        <v>0.65425180000000005</v>
      </c>
      <c r="ZY24">
        <v>49449</v>
      </c>
      <c r="ZZ24">
        <v>0.83016849999999998</v>
      </c>
      <c r="AAA24">
        <v>49449</v>
      </c>
      <c r="AAB24">
        <v>1.01923E-2</v>
      </c>
      <c r="AAC24">
        <v>49449</v>
      </c>
      <c r="AAD24">
        <v>5.9374299999999998E-2</v>
      </c>
      <c r="AAE24">
        <v>49449</v>
      </c>
      <c r="AAF24">
        <v>4.1295100000000001E-2</v>
      </c>
      <c r="AAG24">
        <v>49449</v>
      </c>
      <c r="AAH24">
        <v>1.8969E-2</v>
      </c>
      <c r="AAI24">
        <v>49449</v>
      </c>
      <c r="AAJ24">
        <v>4.0000800000000003E-2</v>
      </c>
      <c r="AAK24">
        <v>75581</v>
      </c>
      <c r="AAL24">
        <v>0.2594303</v>
      </c>
      <c r="AAM24">
        <v>19608</v>
      </c>
      <c r="AAN24">
        <v>0.51448389999999999</v>
      </c>
      <c r="AAO24">
        <v>19608</v>
      </c>
      <c r="AAP24">
        <v>2.7947799999999998E-2</v>
      </c>
      <c r="AAQ24">
        <v>19608</v>
      </c>
      <c r="AAR24">
        <v>8.8892299999999994E-2</v>
      </c>
      <c r="AAS24">
        <v>19608</v>
      </c>
      <c r="AAT24">
        <v>0.1484598</v>
      </c>
      <c r="AAU24">
        <v>19608</v>
      </c>
      <c r="AAV24">
        <v>0.1107201</v>
      </c>
      <c r="AAW24">
        <v>19608</v>
      </c>
      <c r="AAX24">
        <v>0.1094961</v>
      </c>
      <c r="AAY24">
        <v>75581</v>
      </c>
      <c r="AAZ24">
        <v>8.6318000000000006E-2</v>
      </c>
      <c r="ABA24">
        <v>6524</v>
      </c>
      <c r="ABB24">
        <v>0.27115270000000002</v>
      </c>
      <c r="ABC24">
        <v>6524</v>
      </c>
      <c r="ABD24">
        <v>3.1269199999999997E-2</v>
      </c>
      <c r="ABE24">
        <v>6524</v>
      </c>
      <c r="ABF24">
        <v>0.14132430000000001</v>
      </c>
      <c r="ABG24">
        <v>6524</v>
      </c>
      <c r="ABH24">
        <v>0.1011649</v>
      </c>
      <c r="ABI24">
        <v>6524</v>
      </c>
      <c r="ABJ24">
        <v>0.15481300000000001</v>
      </c>
      <c r="ABK24">
        <v>6524</v>
      </c>
      <c r="ABL24">
        <v>0.30027589999999998</v>
      </c>
      <c r="ABM24">
        <v>109064</v>
      </c>
      <c r="ABN24">
        <v>0.75285150000000001</v>
      </c>
      <c r="ABO24">
        <v>82109</v>
      </c>
      <c r="ABP24">
        <v>0.81541609999999998</v>
      </c>
      <c r="ABQ24">
        <v>82109</v>
      </c>
      <c r="ABR24">
        <v>0.1845839</v>
      </c>
      <c r="ABS24">
        <v>15156</v>
      </c>
      <c r="ABT24">
        <v>0.36737920000000002</v>
      </c>
      <c r="ABU24">
        <v>15156</v>
      </c>
      <c r="ABV24">
        <v>0.63262079999999998</v>
      </c>
      <c r="ABW24">
        <v>109064</v>
      </c>
      <c r="ABX24">
        <v>0.24714849999999999</v>
      </c>
      <c r="ABY24">
        <v>26955</v>
      </c>
      <c r="ABZ24">
        <v>0.83220179999999999</v>
      </c>
      <c r="ACA24">
        <v>26955</v>
      </c>
      <c r="ACB24">
        <v>0.16779820000000001</v>
      </c>
      <c r="ACC24">
        <v>240501</v>
      </c>
      <c r="ACD24">
        <v>0.49591479999999999</v>
      </c>
      <c r="ACE24">
        <v>119268</v>
      </c>
      <c r="ACF24">
        <v>0.28544960000000003</v>
      </c>
      <c r="ACG24">
        <v>34045</v>
      </c>
      <c r="ACH24">
        <v>0.2388603</v>
      </c>
      <c r="ACI24">
        <v>34045</v>
      </c>
      <c r="ACJ24">
        <v>0.1226906</v>
      </c>
      <c r="ACK24">
        <v>34045</v>
      </c>
      <c r="ACL24">
        <v>0.21239540000000001</v>
      </c>
      <c r="ACM24">
        <v>34045</v>
      </c>
      <c r="ACN24">
        <v>0.1487443</v>
      </c>
      <c r="ACO24">
        <v>34045</v>
      </c>
      <c r="ACP24">
        <v>8.30959E-2</v>
      </c>
      <c r="ACQ24">
        <v>34045</v>
      </c>
      <c r="ACR24">
        <v>4.8435899999999997E-2</v>
      </c>
      <c r="ACS24">
        <v>34045</v>
      </c>
      <c r="ACT24">
        <v>6.2299899999999998E-2</v>
      </c>
      <c r="ACU24">
        <v>34045</v>
      </c>
      <c r="ACV24">
        <v>3.6863E-2</v>
      </c>
      <c r="ACW24">
        <v>34045</v>
      </c>
      <c r="ACX24">
        <v>1.6096300000000001E-2</v>
      </c>
      <c r="ACY24">
        <v>34045</v>
      </c>
      <c r="ACZ24">
        <v>1.63313E-2</v>
      </c>
      <c r="ADA24">
        <v>34045</v>
      </c>
      <c r="ADB24">
        <v>8.1656999999999997E-3</v>
      </c>
      <c r="ADC24">
        <v>34045</v>
      </c>
      <c r="ADD24">
        <v>6.0213999999999997E-3</v>
      </c>
      <c r="ADE24">
        <v>34045</v>
      </c>
      <c r="ADF24">
        <v>0</v>
      </c>
      <c r="ADG24">
        <v>34045</v>
      </c>
      <c r="ADH24">
        <v>0</v>
      </c>
      <c r="ADI24">
        <v>119268</v>
      </c>
      <c r="ADJ24">
        <v>0.60660029999999998</v>
      </c>
      <c r="ADK24">
        <v>72348</v>
      </c>
      <c r="ADL24">
        <v>0.94122850000000002</v>
      </c>
      <c r="ADM24">
        <v>68096</v>
      </c>
      <c r="ADN24">
        <v>0</v>
      </c>
      <c r="ADO24">
        <v>68096</v>
      </c>
      <c r="ADP24">
        <v>0</v>
      </c>
      <c r="ADQ24">
        <v>68096</v>
      </c>
      <c r="ADR24">
        <v>7.0489000000000003E-3</v>
      </c>
      <c r="ADS24">
        <v>68096</v>
      </c>
      <c r="ADT24">
        <v>4.1030299999999999E-2</v>
      </c>
      <c r="ADU24">
        <v>68096</v>
      </c>
      <c r="ADV24">
        <v>6.9754499999999997E-2</v>
      </c>
      <c r="ADW24">
        <v>68096</v>
      </c>
      <c r="ADX24">
        <v>0.1069666</v>
      </c>
      <c r="ADY24">
        <v>68096</v>
      </c>
      <c r="ADZ24">
        <v>0.1452802</v>
      </c>
      <c r="AEA24">
        <v>68096</v>
      </c>
      <c r="AEB24">
        <v>0.14482500000000001</v>
      </c>
      <c r="AEC24">
        <v>68096</v>
      </c>
      <c r="AED24">
        <v>0.13351740000000001</v>
      </c>
      <c r="AEE24">
        <v>68096</v>
      </c>
      <c r="AEF24">
        <v>0.1029429</v>
      </c>
      <c r="AEG24">
        <v>68096</v>
      </c>
      <c r="AEH24">
        <v>9.3397599999999997E-2</v>
      </c>
      <c r="AEI24">
        <v>68096</v>
      </c>
      <c r="AEJ24">
        <v>0.10568900000000001</v>
      </c>
      <c r="AEK24">
        <v>68096</v>
      </c>
      <c r="AEL24">
        <v>4.3468E-2</v>
      </c>
      <c r="AEM24">
        <v>68096</v>
      </c>
      <c r="AEN24">
        <v>6.0797000000000004E-3</v>
      </c>
      <c r="AEO24">
        <v>72348</v>
      </c>
      <c r="AEP24">
        <v>5.8771499999999997E-2</v>
      </c>
      <c r="AEQ24">
        <v>4252</v>
      </c>
      <c r="AER24">
        <v>0.33090310000000001</v>
      </c>
      <c r="AES24">
        <v>1407</v>
      </c>
      <c r="AET24">
        <v>0</v>
      </c>
      <c r="AEU24">
        <v>1407</v>
      </c>
      <c r="AEV24">
        <v>0</v>
      </c>
      <c r="AEW24">
        <v>1407</v>
      </c>
      <c r="AEX24">
        <v>7.0362499999999994E-2</v>
      </c>
      <c r="AEY24">
        <v>1407</v>
      </c>
      <c r="AEZ24">
        <v>8.1734200000000007E-2</v>
      </c>
      <c r="AFA24">
        <v>1407</v>
      </c>
      <c r="AFB24">
        <v>0.30063970000000001</v>
      </c>
      <c r="AFC24">
        <v>1407</v>
      </c>
      <c r="AFD24">
        <v>0</v>
      </c>
      <c r="AFE24">
        <v>1407</v>
      </c>
      <c r="AFF24">
        <v>0.2622601</v>
      </c>
      <c r="AFG24">
        <v>1407</v>
      </c>
      <c r="AFH24">
        <v>0.1350391</v>
      </c>
      <c r="AFI24">
        <v>1407</v>
      </c>
      <c r="AFJ24">
        <v>0.13219620000000001</v>
      </c>
      <c r="AFK24">
        <v>1407</v>
      </c>
      <c r="AFL24">
        <v>0</v>
      </c>
      <c r="AFM24">
        <v>1407</v>
      </c>
      <c r="AFN24">
        <v>0</v>
      </c>
      <c r="AFO24">
        <v>1407</v>
      </c>
      <c r="AFP24">
        <v>0</v>
      </c>
      <c r="AFQ24">
        <v>1407</v>
      </c>
      <c r="AFR24">
        <v>1.7768300000000001E-2</v>
      </c>
      <c r="AFS24">
        <v>1407</v>
      </c>
      <c r="AFT24">
        <v>0</v>
      </c>
      <c r="AFU24">
        <v>4252</v>
      </c>
      <c r="AFV24">
        <v>0.66909689999999999</v>
      </c>
      <c r="AFW24">
        <v>2845</v>
      </c>
      <c r="AFX24">
        <v>2.95255E-2</v>
      </c>
      <c r="AFY24">
        <v>2845</v>
      </c>
      <c r="AFZ24">
        <v>2.53076E-2</v>
      </c>
      <c r="AGA24">
        <v>2845</v>
      </c>
      <c r="AGB24">
        <v>9.4903000000000001E-3</v>
      </c>
      <c r="AGC24">
        <v>2845</v>
      </c>
      <c r="AGD24">
        <v>5.8347999999999997E-2</v>
      </c>
      <c r="AGE24">
        <v>2845</v>
      </c>
      <c r="AGF24">
        <v>0.15325130000000001</v>
      </c>
      <c r="AGG24">
        <v>2845</v>
      </c>
      <c r="AGH24">
        <v>0.1441125</v>
      </c>
      <c r="AGI24">
        <v>2845</v>
      </c>
      <c r="AGJ24">
        <v>2.53076E-2</v>
      </c>
      <c r="AGK24">
        <v>2845</v>
      </c>
      <c r="AGL24">
        <v>0.12759229999999999</v>
      </c>
      <c r="AGM24">
        <v>2845</v>
      </c>
      <c r="AGN24">
        <v>9.3848899999999999E-2</v>
      </c>
      <c r="AGO24">
        <v>2845</v>
      </c>
      <c r="AGP24">
        <v>2.9173999999999999E-2</v>
      </c>
      <c r="AGQ24">
        <v>2845</v>
      </c>
      <c r="AGR24">
        <v>0.2186292</v>
      </c>
      <c r="AGS24">
        <v>2845</v>
      </c>
      <c r="AGT24">
        <v>5.41301E-2</v>
      </c>
      <c r="AGU24">
        <v>2845</v>
      </c>
      <c r="AGV24">
        <v>1.6168700000000001E-2</v>
      </c>
      <c r="AGW24">
        <v>2845</v>
      </c>
      <c r="AGX24">
        <v>1.51142E-2</v>
      </c>
      <c r="AGY24">
        <v>119268</v>
      </c>
      <c r="AGZ24">
        <v>1.98125E-2</v>
      </c>
      <c r="AHA24">
        <v>2363</v>
      </c>
      <c r="AHB24">
        <v>0</v>
      </c>
      <c r="AHC24">
        <v>2363</v>
      </c>
      <c r="AHD24">
        <v>0</v>
      </c>
      <c r="AHE24">
        <v>2363</v>
      </c>
      <c r="AHF24">
        <v>0</v>
      </c>
      <c r="AHG24">
        <v>2363</v>
      </c>
      <c r="AHH24">
        <v>0</v>
      </c>
      <c r="AHI24">
        <v>2363</v>
      </c>
      <c r="AHJ24">
        <v>0</v>
      </c>
      <c r="AHK24">
        <v>2363</v>
      </c>
      <c r="AHL24">
        <v>0</v>
      </c>
      <c r="AHM24">
        <v>2363</v>
      </c>
      <c r="AHN24">
        <v>5.1629300000000003E-2</v>
      </c>
      <c r="AHO24">
        <v>2363</v>
      </c>
      <c r="AHP24">
        <v>7.9136700000000004E-2</v>
      </c>
      <c r="AHQ24">
        <v>2363</v>
      </c>
      <c r="AHR24">
        <v>5.2898899999999999E-2</v>
      </c>
      <c r="AHS24">
        <v>2363</v>
      </c>
      <c r="AHT24">
        <v>0.1925518</v>
      </c>
      <c r="AHU24">
        <v>2363</v>
      </c>
      <c r="AHV24">
        <v>8.8870099999999994E-2</v>
      </c>
      <c r="AHW24">
        <v>2363</v>
      </c>
      <c r="AHX24">
        <v>0.101989</v>
      </c>
      <c r="AHY24">
        <v>2363</v>
      </c>
      <c r="AHZ24">
        <v>0.30554379999999998</v>
      </c>
      <c r="AIA24">
        <v>2363</v>
      </c>
      <c r="AIB24">
        <v>0.1273804</v>
      </c>
      <c r="AIC24">
        <v>119268</v>
      </c>
      <c r="AID24">
        <v>8.8137599999999997E-2</v>
      </c>
      <c r="AIE24">
        <v>10512</v>
      </c>
      <c r="AIF24">
        <v>0</v>
      </c>
      <c r="AIG24">
        <v>10512</v>
      </c>
      <c r="AIH24">
        <v>0</v>
      </c>
      <c r="AII24">
        <v>10512</v>
      </c>
      <c r="AIJ24">
        <v>1.6647599999999999E-2</v>
      </c>
      <c r="AIK24">
        <v>10512</v>
      </c>
      <c r="AIL24">
        <v>1.5315799999999999E-2</v>
      </c>
      <c r="AIM24">
        <v>10512</v>
      </c>
      <c r="AIN24">
        <v>5.3652999999999999E-2</v>
      </c>
      <c r="AIO24">
        <v>10512</v>
      </c>
      <c r="AIP24">
        <v>6.3165899999999997E-2</v>
      </c>
      <c r="AIQ24">
        <v>10512</v>
      </c>
      <c r="AIR24">
        <v>0.1101598</v>
      </c>
      <c r="AIS24">
        <v>10512</v>
      </c>
      <c r="AIT24">
        <v>0.18331430000000001</v>
      </c>
      <c r="AIU24">
        <v>10512</v>
      </c>
      <c r="AIV24">
        <v>0.21470700000000001</v>
      </c>
      <c r="AIW24">
        <v>10512</v>
      </c>
      <c r="AIX24">
        <v>0.1085426</v>
      </c>
      <c r="AIY24">
        <v>10512</v>
      </c>
      <c r="AIZ24">
        <v>8.0764799999999998E-2</v>
      </c>
      <c r="AJA24">
        <v>10512</v>
      </c>
      <c r="AJB24">
        <v>0.111777</v>
      </c>
      <c r="AJC24">
        <v>10512</v>
      </c>
      <c r="AJD24">
        <v>3.62443E-2</v>
      </c>
      <c r="AJE24">
        <v>10512</v>
      </c>
      <c r="AJF24">
        <v>5.7077999999999999E-3</v>
      </c>
      <c r="AJG24">
        <v>240501</v>
      </c>
      <c r="AJH24">
        <v>0.50408520000000001</v>
      </c>
      <c r="AJI24">
        <v>121233</v>
      </c>
      <c r="AJJ24">
        <v>0.22304160000000001</v>
      </c>
      <c r="AJK24">
        <v>27040</v>
      </c>
      <c r="AJL24">
        <v>0.2699704</v>
      </c>
      <c r="AJM24">
        <v>27040</v>
      </c>
      <c r="AJN24">
        <v>0.1258136</v>
      </c>
      <c r="AJO24">
        <v>27040</v>
      </c>
      <c r="AJP24">
        <v>0.2298077</v>
      </c>
      <c r="AJQ24">
        <v>27040</v>
      </c>
      <c r="AJR24">
        <v>0.13113910000000001</v>
      </c>
      <c r="AJS24">
        <v>27040</v>
      </c>
      <c r="AJT24">
        <v>6.9378700000000001E-2</v>
      </c>
      <c r="AJU24">
        <v>27040</v>
      </c>
      <c r="AJV24">
        <v>5.6175999999999997E-2</v>
      </c>
      <c r="AJW24">
        <v>27040</v>
      </c>
      <c r="AJX24">
        <v>2.8069500000000001E-2</v>
      </c>
      <c r="AJY24">
        <v>27040</v>
      </c>
      <c r="AJZ24">
        <v>1.7048799999999999E-2</v>
      </c>
      <c r="AKA24">
        <v>27040</v>
      </c>
      <c r="AKB24">
        <v>2.52959E-2</v>
      </c>
      <c r="AKC24">
        <v>27040</v>
      </c>
      <c r="AKD24">
        <v>2.5037E-2</v>
      </c>
      <c r="AKE24">
        <v>27040</v>
      </c>
      <c r="AKF24">
        <v>8.5429000000000008E-3</v>
      </c>
      <c r="AKG24">
        <v>27040</v>
      </c>
      <c r="AKH24">
        <v>9.3935000000000008E-3</v>
      </c>
      <c r="AKI24">
        <v>27040</v>
      </c>
      <c r="AKJ24">
        <v>0</v>
      </c>
      <c r="AKK24">
        <v>27040</v>
      </c>
      <c r="AKL24">
        <v>4.3268999999999998E-3</v>
      </c>
      <c r="AKM24">
        <v>121233</v>
      </c>
      <c r="AKN24">
        <v>0.58846189999999998</v>
      </c>
      <c r="AKO24">
        <v>71341</v>
      </c>
      <c r="AKP24">
        <v>0.95398159999999999</v>
      </c>
      <c r="AKQ24">
        <v>68058</v>
      </c>
      <c r="AKR24">
        <v>0</v>
      </c>
      <c r="AKS24">
        <v>68058</v>
      </c>
      <c r="AKT24">
        <v>0</v>
      </c>
      <c r="AKU24">
        <v>68058</v>
      </c>
      <c r="AKV24">
        <v>1.34003E-2</v>
      </c>
      <c r="AKW24">
        <v>68058</v>
      </c>
      <c r="AKX24">
        <v>4.67102E-2</v>
      </c>
      <c r="AKY24">
        <v>68058</v>
      </c>
      <c r="AKZ24">
        <v>9.6094499999999999E-2</v>
      </c>
      <c r="ALA24">
        <v>68058</v>
      </c>
      <c r="ALB24">
        <v>0.12517259999999999</v>
      </c>
      <c r="ALC24">
        <v>68058</v>
      </c>
      <c r="ALD24">
        <v>0.1569837</v>
      </c>
      <c r="ALE24">
        <v>68058</v>
      </c>
      <c r="ALF24">
        <v>0.15006320000000001</v>
      </c>
      <c r="ALG24">
        <v>68058</v>
      </c>
      <c r="ALH24">
        <v>0.1197655</v>
      </c>
      <c r="ALI24">
        <v>68058</v>
      </c>
      <c r="ALJ24">
        <v>9.6711599999999995E-2</v>
      </c>
      <c r="ALK24">
        <v>68058</v>
      </c>
      <c r="ALL24">
        <v>7.9770199999999999E-2</v>
      </c>
      <c r="ALM24">
        <v>68058</v>
      </c>
      <c r="ALN24">
        <v>8.7807499999999997E-2</v>
      </c>
      <c r="ALO24">
        <v>68058</v>
      </c>
      <c r="ALP24">
        <v>2.44938E-2</v>
      </c>
      <c r="ALQ24">
        <v>68058</v>
      </c>
      <c r="ALR24">
        <v>3.0268000000000001E-3</v>
      </c>
      <c r="ALS24">
        <v>71341</v>
      </c>
      <c r="ALT24">
        <v>4.6018400000000001E-2</v>
      </c>
      <c r="ALU24">
        <v>3283</v>
      </c>
      <c r="ALV24">
        <v>0.56899180000000005</v>
      </c>
      <c r="ALW24">
        <v>1868</v>
      </c>
      <c r="ALX24">
        <v>0</v>
      </c>
      <c r="ALY24">
        <v>1868</v>
      </c>
      <c r="ALZ24">
        <v>0</v>
      </c>
      <c r="AMA24">
        <v>1868</v>
      </c>
      <c r="AMB24">
        <v>3.64026E-2</v>
      </c>
      <c r="AMC24">
        <v>1868</v>
      </c>
      <c r="AMD24">
        <v>0.13329759999999999</v>
      </c>
      <c r="AME24">
        <v>1868</v>
      </c>
      <c r="AMF24">
        <v>5.5139199999999999E-2</v>
      </c>
      <c r="AMG24">
        <v>1868</v>
      </c>
      <c r="AMH24">
        <v>0.1038544</v>
      </c>
      <c r="AMI24">
        <v>1868</v>
      </c>
      <c r="AMJ24">
        <v>0.1413276</v>
      </c>
      <c r="AMK24">
        <v>1868</v>
      </c>
      <c r="AML24">
        <v>5.7280499999999998E-2</v>
      </c>
      <c r="AMM24">
        <v>1868</v>
      </c>
      <c r="AMN24">
        <v>0.2173448</v>
      </c>
      <c r="AMO24">
        <v>1868</v>
      </c>
      <c r="AMP24">
        <v>0</v>
      </c>
      <c r="AMQ24">
        <v>1868</v>
      </c>
      <c r="AMR24">
        <v>0</v>
      </c>
      <c r="AMS24">
        <v>1868</v>
      </c>
      <c r="AMT24">
        <v>0.16167019999999999</v>
      </c>
      <c r="AMU24">
        <v>1868</v>
      </c>
      <c r="AMV24">
        <v>9.3683100000000005E-2</v>
      </c>
      <c r="AMW24">
        <v>1868</v>
      </c>
      <c r="AMX24">
        <v>0</v>
      </c>
      <c r="AMY24">
        <v>3283</v>
      </c>
      <c r="AMZ24">
        <v>0.43100820000000001</v>
      </c>
      <c r="ANA24">
        <v>1415</v>
      </c>
      <c r="ANB24">
        <v>0</v>
      </c>
      <c r="ANC24">
        <v>1415</v>
      </c>
      <c r="AND24">
        <v>0.1547703</v>
      </c>
      <c r="ANE24">
        <v>1415</v>
      </c>
      <c r="ANF24">
        <v>7.13781E-2</v>
      </c>
      <c r="ANG24">
        <v>1415</v>
      </c>
      <c r="ANH24">
        <v>0</v>
      </c>
      <c r="ANI24">
        <v>1415</v>
      </c>
      <c r="ANJ24">
        <v>0</v>
      </c>
      <c r="ANK24">
        <v>1415</v>
      </c>
      <c r="ANL24">
        <v>5.9364E-2</v>
      </c>
      <c r="ANM24">
        <v>1415</v>
      </c>
      <c r="ANN24">
        <v>5.37102E-2</v>
      </c>
      <c r="ANO24">
        <v>1415</v>
      </c>
      <c r="ANP24">
        <v>7.0671399999999995E-2</v>
      </c>
      <c r="ANQ24">
        <v>1415</v>
      </c>
      <c r="ANR24">
        <v>9.6819799999999998E-2</v>
      </c>
      <c r="ANS24">
        <v>1415</v>
      </c>
      <c r="ANT24">
        <v>0.18798590000000001</v>
      </c>
      <c r="ANU24">
        <v>1415</v>
      </c>
      <c r="ANV24">
        <v>6.9258E-2</v>
      </c>
      <c r="ANW24">
        <v>1415</v>
      </c>
      <c r="ANX24">
        <v>0.17950530000000001</v>
      </c>
      <c r="ANY24">
        <v>1415</v>
      </c>
      <c r="ANZ24">
        <v>5.65371E-2</v>
      </c>
      <c r="AOA24">
        <v>1415</v>
      </c>
      <c r="AOB24">
        <v>0</v>
      </c>
      <c r="AOC24">
        <v>121233</v>
      </c>
      <c r="AOD24">
        <v>6.8966399999999997E-2</v>
      </c>
      <c r="AOE24">
        <v>8361</v>
      </c>
      <c r="AOF24">
        <v>0</v>
      </c>
      <c r="AOG24">
        <v>8361</v>
      </c>
      <c r="AOH24">
        <v>0</v>
      </c>
      <c r="AOI24">
        <v>8361</v>
      </c>
      <c r="AOJ24">
        <v>0</v>
      </c>
      <c r="AOK24">
        <v>8361</v>
      </c>
      <c r="AOL24">
        <v>0</v>
      </c>
      <c r="AOM24">
        <v>8361</v>
      </c>
      <c r="AON24">
        <v>7.0565999999999997E-3</v>
      </c>
      <c r="AOO24">
        <v>8361</v>
      </c>
      <c r="AOP24">
        <v>7.535E-3</v>
      </c>
      <c r="AOQ24">
        <v>8361</v>
      </c>
      <c r="AOR24">
        <v>6.339E-3</v>
      </c>
      <c r="AOS24">
        <v>8361</v>
      </c>
      <c r="AOT24">
        <v>1.9135999999999999E-3</v>
      </c>
      <c r="AOU24">
        <v>8361</v>
      </c>
      <c r="AOV24">
        <v>3.9827799999999997E-2</v>
      </c>
      <c r="AOW24">
        <v>8361</v>
      </c>
      <c r="AOX24">
        <v>2.24853E-2</v>
      </c>
      <c r="AOY24">
        <v>8361</v>
      </c>
      <c r="AOZ24">
        <v>0.11302479999999999</v>
      </c>
      <c r="APA24">
        <v>8361</v>
      </c>
      <c r="APB24">
        <v>0.22999639999999999</v>
      </c>
      <c r="APC24">
        <v>8361</v>
      </c>
      <c r="APD24">
        <v>0.3304629</v>
      </c>
      <c r="APE24">
        <v>8361</v>
      </c>
      <c r="APF24">
        <v>0.24135870000000001</v>
      </c>
      <c r="APG24">
        <v>121233</v>
      </c>
      <c r="APH24">
        <v>0.1195302</v>
      </c>
      <c r="API24">
        <v>14491</v>
      </c>
      <c r="APJ24">
        <v>0</v>
      </c>
      <c r="APK24">
        <v>14491</v>
      </c>
      <c r="APL24">
        <v>0</v>
      </c>
      <c r="APM24">
        <v>14491</v>
      </c>
      <c r="APN24">
        <v>9.5232000000000008E-3</v>
      </c>
      <c r="APO24">
        <v>14491</v>
      </c>
      <c r="APP24">
        <v>5.8450099999999998E-2</v>
      </c>
      <c r="APQ24">
        <v>14491</v>
      </c>
      <c r="APR24">
        <v>6.1831499999999998E-2</v>
      </c>
      <c r="APS24">
        <v>14491</v>
      </c>
      <c r="APT24">
        <v>2.8569500000000001E-2</v>
      </c>
      <c r="APU24">
        <v>14491</v>
      </c>
      <c r="APV24">
        <v>0.14036299999999999</v>
      </c>
      <c r="APW24">
        <v>14491</v>
      </c>
      <c r="APX24">
        <v>0.1854944</v>
      </c>
      <c r="APY24">
        <v>14491</v>
      </c>
      <c r="APZ24">
        <v>0.1624456</v>
      </c>
      <c r="AQA24">
        <v>14491</v>
      </c>
      <c r="AQB24">
        <v>0.107377</v>
      </c>
      <c r="AQC24">
        <v>14491</v>
      </c>
      <c r="AQD24">
        <v>0.1191774</v>
      </c>
      <c r="AQE24">
        <v>14491</v>
      </c>
      <c r="AQF24">
        <v>8.9848899999999995E-2</v>
      </c>
      <c r="AQG24">
        <v>14491</v>
      </c>
      <c r="AQH24">
        <v>2.7396299999999998E-2</v>
      </c>
      <c r="AQI24">
        <v>14491</v>
      </c>
      <c r="AQJ24">
        <v>9.5232000000000008E-3</v>
      </c>
      <c r="AQK24">
        <v>43455</v>
      </c>
      <c r="AQL24">
        <v>0.14265330000000001</v>
      </c>
      <c r="AQM24">
        <v>109064</v>
      </c>
      <c r="AQN24">
        <v>0.82856850000000004</v>
      </c>
      <c r="AQO24">
        <v>90367</v>
      </c>
      <c r="AQP24">
        <v>0.78211079999999999</v>
      </c>
      <c r="AQQ24">
        <v>70677</v>
      </c>
      <c r="AQR24">
        <v>0.87155649999999996</v>
      </c>
      <c r="AQS24">
        <v>61599</v>
      </c>
      <c r="AQT24">
        <v>0.49460219999999999</v>
      </c>
      <c r="AQU24">
        <v>61599</v>
      </c>
      <c r="AQV24">
        <v>0.50539780000000001</v>
      </c>
      <c r="AQW24">
        <v>70677</v>
      </c>
      <c r="AQX24">
        <v>0.12844349999999999</v>
      </c>
      <c r="AQY24">
        <v>9078</v>
      </c>
      <c r="AQZ24">
        <v>0.37232870000000001</v>
      </c>
      <c r="ARA24">
        <v>3380</v>
      </c>
      <c r="ARB24">
        <v>0.53964500000000004</v>
      </c>
      <c r="ARC24">
        <v>3380</v>
      </c>
      <c r="ARD24">
        <v>0.46035500000000001</v>
      </c>
      <c r="ARE24">
        <v>9078</v>
      </c>
      <c r="ARF24">
        <v>0.62767130000000004</v>
      </c>
      <c r="ARG24">
        <v>5698</v>
      </c>
      <c r="ARH24">
        <v>0.58862760000000003</v>
      </c>
      <c r="ARI24">
        <v>5698</v>
      </c>
      <c r="ARJ24">
        <v>0.41137240000000003</v>
      </c>
      <c r="ARK24">
        <v>90367</v>
      </c>
      <c r="ARL24">
        <v>0.21788930000000001</v>
      </c>
      <c r="ARM24">
        <v>109064</v>
      </c>
      <c r="ARN24">
        <v>0.17143149999999999</v>
      </c>
      <c r="ARO24">
        <v>18697</v>
      </c>
      <c r="ARP24">
        <v>0.61143499999999995</v>
      </c>
      <c r="ARQ24">
        <v>11432</v>
      </c>
      <c r="ARR24">
        <v>0.46833449999999999</v>
      </c>
      <c r="ARS24">
        <v>5354</v>
      </c>
      <c r="ART24">
        <v>0.66660439999999999</v>
      </c>
      <c r="ARU24">
        <v>5354</v>
      </c>
      <c r="ARV24">
        <v>0.33339560000000001</v>
      </c>
      <c r="ARW24">
        <v>11432</v>
      </c>
      <c r="ARX24">
        <v>0.53166550000000001</v>
      </c>
      <c r="ARY24">
        <v>6078</v>
      </c>
      <c r="ARZ24">
        <v>0.3599868</v>
      </c>
      <c r="ASA24">
        <v>2188</v>
      </c>
      <c r="ASB24">
        <v>0.63802559999999997</v>
      </c>
      <c r="ASC24">
        <v>2188</v>
      </c>
      <c r="ASD24">
        <v>0.36197439999999997</v>
      </c>
      <c r="ASE24">
        <v>6078</v>
      </c>
      <c r="ASF24">
        <v>0.64001319999999995</v>
      </c>
      <c r="ASG24">
        <v>3890</v>
      </c>
      <c r="ASH24">
        <v>0.73136250000000003</v>
      </c>
      <c r="ASI24">
        <v>3890</v>
      </c>
      <c r="ASJ24">
        <v>0.26863749999999997</v>
      </c>
      <c r="ASK24">
        <v>18697</v>
      </c>
      <c r="ASL24">
        <v>0.38856499999999999</v>
      </c>
      <c r="ASM24">
        <v>98770</v>
      </c>
      <c r="ASN24">
        <v>0.57755389999999995</v>
      </c>
      <c r="ASO24">
        <v>57045</v>
      </c>
      <c r="ASP24">
        <v>0.43647999999999998</v>
      </c>
      <c r="ASQ24">
        <v>24899</v>
      </c>
      <c r="ASR24">
        <v>0.60918110000000003</v>
      </c>
      <c r="ASS24">
        <v>15168</v>
      </c>
      <c r="AST24">
        <v>0.72257380000000004</v>
      </c>
      <c r="ASU24">
        <v>15168</v>
      </c>
      <c r="ASV24">
        <v>0.27742620000000001</v>
      </c>
      <c r="ASW24">
        <v>24899</v>
      </c>
      <c r="ASX24">
        <v>0.20796020000000001</v>
      </c>
      <c r="ASY24">
        <v>5178</v>
      </c>
      <c r="ASZ24">
        <v>0.4725763</v>
      </c>
      <c r="ATA24">
        <v>5178</v>
      </c>
      <c r="ATB24">
        <v>0.4723832</v>
      </c>
      <c r="ATC24">
        <v>5178</v>
      </c>
      <c r="ATD24">
        <v>5.5040600000000002E-2</v>
      </c>
      <c r="ATE24">
        <v>24899</v>
      </c>
      <c r="ATF24">
        <v>0.1373549</v>
      </c>
      <c r="ATG24">
        <v>3420</v>
      </c>
      <c r="ATH24">
        <v>9.00585E-2</v>
      </c>
      <c r="ATI24">
        <v>3420</v>
      </c>
      <c r="ATJ24">
        <v>0.1584795</v>
      </c>
      <c r="ATK24">
        <v>3420</v>
      </c>
      <c r="ATL24">
        <v>0.245614</v>
      </c>
      <c r="ATM24">
        <v>3420</v>
      </c>
      <c r="ATN24">
        <v>0.50584790000000002</v>
      </c>
      <c r="ATO24">
        <v>24899</v>
      </c>
      <c r="ATP24">
        <v>4.5503799999999997E-2</v>
      </c>
      <c r="ATQ24">
        <v>1133</v>
      </c>
      <c r="ATR24">
        <v>0.76257719999999996</v>
      </c>
      <c r="ATS24">
        <v>1133</v>
      </c>
      <c r="ATT24">
        <v>0.23742279999999999</v>
      </c>
      <c r="ATU24">
        <v>57045</v>
      </c>
      <c r="ATV24">
        <v>8.8316199999999997E-2</v>
      </c>
      <c r="ATW24">
        <v>5038</v>
      </c>
      <c r="ATX24">
        <v>3.31481E-2</v>
      </c>
      <c r="ATY24">
        <v>5038</v>
      </c>
      <c r="ATZ24">
        <v>0.35926960000000002</v>
      </c>
      <c r="AUA24">
        <v>1810</v>
      </c>
      <c r="AUB24">
        <v>0.45027630000000002</v>
      </c>
      <c r="AUC24">
        <v>1810</v>
      </c>
      <c r="AUD24">
        <v>0.54972370000000004</v>
      </c>
      <c r="AUE24">
        <v>5038</v>
      </c>
      <c r="AUF24">
        <v>0.2238984</v>
      </c>
      <c r="AUG24">
        <v>5038</v>
      </c>
      <c r="AUH24">
        <v>0.2705439</v>
      </c>
      <c r="AUI24">
        <v>5038</v>
      </c>
      <c r="AUJ24">
        <v>0.11314009999999999</v>
      </c>
      <c r="AUK24">
        <v>57045</v>
      </c>
      <c r="AUL24">
        <v>0.2055921</v>
      </c>
      <c r="AUM24">
        <v>11728</v>
      </c>
      <c r="AUN24">
        <v>0.75784439999999997</v>
      </c>
      <c r="AUO24">
        <v>11728</v>
      </c>
      <c r="AUP24">
        <v>0.2421555</v>
      </c>
      <c r="AUQ24">
        <v>57045</v>
      </c>
      <c r="AUR24">
        <v>0.10672280000000001</v>
      </c>
      <c r="AUS24">
        <v>6088</v>
      </c>
      <c r="AUT24">
        <v>1.9053899999999999E-2</v>
      </c>
      <c r="AUU24">
        <v>6088</v>
      </c>
      <c r="AUV24">
        <v>0.47141919999999998</v>
      </c>
      <c r="AUW24">
        <v>6088</v>
      </c>
      <c r="AUX24">
        <v>0.50952699999999995</v>
      </c>
      <c r="AUY24">
        <v>57045</v>
      </c>
      <c r="AUZ24">
        <v>0.1628889</v>
      </c>
      <c r="AVA24">
        <v>9292</v>
      </c>
      <c r="AVB24">
        <v>0.54885919999999999</v>
      </c>
      <c r="AVC24">
        <v>9292</v>
      </c>
      <c r="AVD24">
        <v>0.27798109999999998</v>
      </c>
      <c r="AVE24">
        <v>9292</v>
      </c>
      <c r="AVF24">
        <v>0.1731597</v>
      </c>
      <c r="AVG24">
        <v>98770</v>
      </c>
      <c r="AVH24">
        <v>0.42244609999999999</v>
      </c>
      <c r="AVI24">
        <v>41725</v>
      </c>
      <c r="AVJ24">
        <v>0.45699220000000002</v>
      </c>
      <c r="AVK24">
        <v>19068</v>
      </c>
      <c r="AVL24">
        <v>0.445301</v>
      </c>
      <c r="AVM24">
        <v>8491</v>
      </c>
      <c r="AVN24">
        <v>0.65021790000000002</v>
      </c>
      <c r="AVO24">
        <v>8491</v>
      </c>
      <c r="AVP24">
        <v>0.34978209999999998</v>
      </c>
      <c r="AVQ24">
        <v>19068</v>
      </c>
      <c r="AVR24">
        <v>9.2510999999999996E-2</v>
      </c>
      <c r="AVS24">
        <v>1764</v>
      </c>
      <c r="AVT24">
        <v>0.79421770000000003</v>
      </c>
      <c r="AVU24">
        <v>1764</v>
      </c>
      <c r="AVV24">
        <v>0.12811790000000001</v>
      </c>
      <c r="AVW24">
        <v>1764</v>
      </c>
      <c r="AVX24">
        <v>7.7664399999999995E-2</v>
      </c>
      <c r="AVY24">
        <v>19068</v>
      </c>
      <c r="AVZ24">
        <v>0.28036499999999998</v>
      </c>
      <c r="AWA24">
        <v>5346</v>
      </c>
      <c r="AWB24">
        <v>6.1728400000000003E-2</v>
      </c>
      <c r="AWC24">
        <v>5346</v>
      </c>
      <c r="AWD24">
        <v>7.4448200000000006E-2</v>
      </c>
      <c r="AWE24">
        <v>5346</v>
      </c>
      <c r="AWF24">
        <v>0.77927420000000003</v>
      </c>
      <c r="AWG24">
        <v>5346</v>
      </c>
      <c r="AWH24">
        <v>8.4549200000000005E-2</v>
      </c>
      <c r="AWI24">
        <v>19068</v>
      </c>
      <c r="AWJ24">
        <v>0.18182300000000001</v>
      </c>
      <c r="AWK24">
        <v>3467</v>
      </c>
      <c r="AWL24">
        <v>0.73291030000000001</v>
      </c>
      <c r="AWM24">
        <v>3467</v>
      </c>
      <c r="AWN24">
        <v>0.26708969999999999</v>
      </c>
      <c r="AWO24">
        <v>41725</v>
      </c>
      <c r="AWP24">
        <v>9.0976600000000005E-2</v>
      </c>
      <c r="AWQ24">
        <v>3796</v>
      </c>
      <c r="AWR24">
        <v>0.31506849999999997</v>
      </c>
      <c r="AWS24">
        <v>3796</v>
      </c>
      <c r="AWT24">
        <v>6.0063199999999997E-2</v>
      </c>
      <c r="AWU24">
        <v>228</v>
      </c>
      <c r="AWV24">
        <v>0</v>
      </c>
      <c r="AWW24">
        <v>228</v>
      </c>
      <c r="AWX24">
        <v>1</v>
      </c>
      <c r="AWY24">
        <v>3796</v>
      </c>
      <c r="AWZ24">
        <v>0.3364067</v>
      </c>
      <c r="AXA24">
        <v>3796</v>
      </c>
      <c r="AXB24">
        <v>2.9241300000000001E-2</v>
      </c>
      <c r="AXC24">
        <v>3796</v>
      </c>
      <c r="AXD24">
        <v>0.25922020000000001</v>
      </c>
      <c r="AXE24">
        <v>41725</v>
      </c>
      <c r="AXF24">
        <v>0.35717199999999999</v>
      </c>
      <c r="AXG24">
        <v>14903</v>
      </c>
      <c r="AXH24">
        <v>0.30530770000000002</v>
      </c>
      <c r="AXI24">
        <v>14903</v>
      </c>
      <c r="AXJ24">
        <v>0.69469239999999999</v>
      </c>
      <c r="AXK24">
        <v>41725</v>
      </c>
      <c r="AXL24">
        <v>6.4708999999999999E-3</v>
      </c>
      <c r="AXM24">
        <v>270</v>
      </c>
      <c r="AXN24">
        <v>0</v>
      </c>
      <c r="AXO24">
        <v>270</v>
      </c>
      <c r="AXP24">
        <v>0.61111110000000002</v>
      </c>
      <c r="AXQ24">
        <v>270</v>
      </c>
      <c r="AXR24">
        <v>0.38888889999999998</v>
      </c>
      <c r="AXS24">
        <v>41725</v>
      </c>
      <c r="AXT24">
        <v>8.8388300000000003E-2</v>
      </c>
      <c r="AXU24">
        <v>3688</v>
      </c>
      <c r="AXV24">
        <v>0.78633399999999998</v>
      </c>
      <c r="AXW24">
        <v>3688</v>
      </c>
      <c r="AXX24">
        <v>0.12391539999999999</v>
      </c>
      <c r="AXY24">
        <v>3688</v>
      </c>
      <c r="AXZ24">
        <v>8.9750499999999997E-2</v>
      </c>
      <c r="AYA24">
        <v>12261</v>
      </c>
      <c r="AYB24">
        <v>4.6489000000000001E-3</v>
      </c>
      <c r="AYC24">
        <v>12261</v>
      </c>
      <c r="AYD24">
        <v>0.1581437</v>
      </c>
      <c r="AYE24">
        <v>12261</v>
      </c>
      <c r="AYF24">
        <v>0.33667730000000001</v>
      </c>
      <c r="AYG24">
        <v>12261</v>
      </c>
      <c r="AYH24">
        <v>0.39287169999999999</v>
      </c>
      <c r="AYI24">
        <v>12261</v>
      </c>
      <c r="AYJ24">
        <v>4.2655600000000002E-2</v>
      </c>
      <c r="AYK24">
        <v>12261</v>
      </c>
      <c r="AYL24">
        <v>5.9783099999999999E-2</v>
      </c>
      <c r="AYM24">
        <v>12261</v>
      </c>
      <c r="AYN24">
        <v>5.2198000000000001E-3</v>
      </c>
      <c r="AYO24">
        <v>17302</v>
      </c>
      <c r="AYP24">
        <v>2.1847200000000001E-2</v>
      </c>
      <c r="AYQ24">
        <v>17302</v>
      </c>
      <c r="AYR24">
        <v>9.5769300000000002E-2</v>
      </c>
      <c r="AYS24">
        <v>17302</v>
      </c>
      <c r="AYT24">
        <v>0.28690329999999997</v>
      </c>
      <c r="AYU24">
        <v>17302</v>
      </c>
      <c r="AYV24">
        <v>0.26563399999999998</v>
      </c>
      <c r="AYW24">
        <v>17302</v>
      </c>
      <c r="AYX24">
        <v>8.1320100000000006E-2</v>
      </c>
      <c r="AYY24">
        <v>17302</v>
      </c>
      <c r="AYZ24">
        <v>0.20604549999999999</v>
      </c>
      <c r="AZA24">
        <v>17302</v>
      </c>
      <c r="AZB24">
        <v>4.24806E-2</v>
      </c>
      <c r="AZC24">
        <v>23742</v>
      </c>
      <c r="AZD24">
        <v>3.4790700000000001E-2</v>
      </c>
      <c r="AZE24">
        <v>23742</v>
      </c>
      <c r="AZF24">
        <v>3.1673800000000002E-2</v>
      </c>
      <c r="AZG24">
        <v>23742</v>
      </c>
      <c r="AZH24">
        <v>0.22988800000000001</v>
      </c>
      <c r="AZI24">
        <v>23742</v>
      </c>
      <c r="AZJ24">
        <v>0.2300143</v>
      </c>
      <c r="AZK24">
        <v>23742</v>
      </c>
      <c r="AZL24">
        <v>9.5821799999999999E-2</v>
      </c>
      <c r="AZM24">
        <v>23742</v>
      </c>
      <c r="AZN24">
        <v>0.29639460000000001</v>
      </c>
      <c r="AZO24">
        <v>23742</v>
      </c>
      <c r="AZP24">
        <v>8.14169E-2</v>
      </c>
      <c r="AZQ24">
        <v>43823</v>
      </c>
      <c r="AZR24">
        <v>1.5790800000000001E-2</v>
      </c>
      <c r="AZS24">
        <v>43823</v>
      </c>
      <c r="AZT24">
        <v>4.95402E-2</v>
      </c>
      <c r="AZU24">
        <v>43823</v>
      </c>
      <c r="AZV24">
        <v>0.25602989999999998</v>
      </c>
      <c r="AZW24">
        <v>43823</v>
      </c>
      <c r="AZX24">
        <v>0.27652149999999998</v>
      </c>
      <c r="AZY24">
        <v>43823</v>
      </c>
      <c r="AZZ24">
        <v>7.7698900000000001E-2</v>
      </c>
      <c r="BAA24">
        <v>43823</v>
      </c>
      <c r="BAB24">
        <v>0.2284873</v>
      </c>
      <c r="BAC24">
        <v>43823</v>
      </c>
      <c r="BAD24">
        <v>9.59314E-2</v>
      </c>
      <c r="BAE24">
        <v>13924</v>
      </c>
      <c r="BAF24">
        <v>6.27693E-2</v>
      </c>
      <c r="BAG24">
        <v>13924</v>
      </c>
      <c r="BAH24">
        <v>8.0221200000000006E-2</v>
      </c>
      <c r="BAI24">
        <v>13924</v>
      </c>
      <c r="BAJ24">
        <v>0.3270612</v>
      </c>
      <c r="BAK24">
        <v>13924</v>
      </c>
      <c r="BAL24">
        <v>0.19886529999999999</v>
      </c>
      <c r="BAM24">
        <v>13924</v>
      </c>
      <c r="BAN24">
        <v>2.30537E-2</v>
      </c>
      <c r="BAO24">
        <v>13924</v>
      </c>
      <c r="BAP24">
        <v>0.2189026</v>
      </c>
      <c r="BAQ24">
        <v>13924</v>
      </c>
      <c r="BAR24">
        <v>8.9126700000000003E-2</v>
      </c>
      <c r="BAS24">
        <v>11054</v>
      </c>
      <c r="BAT24">
        <v>3.4377000000000001E-3</v>
      </c>
      <c r="BAU24">
        <v>11054</v>
      </c>
      <c r="BAV24">
        <v>9.90592E-2</v>
      </c>
      <c r="BAW24">
        <v>11054</v>
      </c>
      <c r="BAX24">
        <v>0.33689160000000001</v>
      </c>
      <c r="BAY24">
        <v>11054</v>
      </c>
      <c r="BAZ24">
        <v>0.3614076</v>
      </c>
      <c r="BBA24">
        <v>11054</v>
      </c>
      <c r="BBB24">
        <v>4.80369E-2</v>
      </c>
      <c r="BBC24">
        <v>11054</v>
      </c>
      <c r="BBD24">
        <v>0.14184910000000001</v>
      </c>
      <c r="BBE24">
        <v>11054</v>
      </c>
      <c r="BBF24">
        <v>9.3179000000000005E-3</v>
      </c>
      <c r="BBG24">
        <v>17295</v>
      </c>
      <c r="BBH24">
        <v>1.5727100000000001E-2</v>
      </c>
      <c r="BBI24">
        <v>17295</v>
      </c>
      <c r="BBJ24">
        <v>7.0309300000000005E-2</v>
      </c>
      <c r="BBK24">
        <v>17295</v>
      </c>
      <c r="BBL24">
        <v>0.18785779999999999</v>
      </c>
      <c r="BBM24">
        <v>17295</v>
      </c>
      <c r="BBN24">
        <v>0.26180979999999998</v>
      </c>
      <c r="BBO24">
        <v>17295</v>
      </c>
      <c r="BBP24">
        <v>9.4420400000000002E-2</v>
      </c>
      <c r="BBQ24">
        <v>17295</v>
      </c>
      <c r="BBR24">
        <v>0.25718410000000003</v>
      </c>
      <c r="BBS24">
        <v>17295</v>
      </c>
      <c r="BBT24">
        <v>0.1126915</v>
      </c>
      <c r="BBU24">
        <v>24663</v>
      </c>
      <c r="BBV24">
        <v>2.8869200000000001E-2</v>
      </c>
      <c r="BBW24">
        <v>24663</v>
      </c>
      <c r="BBX24">
        <v>2.5787600000000001E-2</v>
      </c>
      <c r="BBY24">
        <v>24663</v>
      </c>
      <c r="BBZ24">
        <v>0.21935689999999999</v>
      </c>
      <c r="BCA24">
        <v>24663</v>
      </c>
      <c r="BCB24">
        <v>0.2466042</v>
      </c>
      <c r="BCC24">
        <v>24663</v>
      </c>
      <c r="BCD24">
        <v>0.1077322</v>
      </c>
      <c r="BCE24">
        <v>24663</v>
      </c>
      <c r="BCF24">
        <v>0.26111990000000002</v>
      </c>
      <c r="BCG24">
        <v>24663</v>
      </c>
      <c r="BCH24">
        <v>0.1105299</v>
      </c>
      <c r="BCI24">
        <v>43349</v>
      </c>
      <c r="BCJ24">
        <v>1.11191E-2</v>
      </c>
      <c r="BCK24">
        <v>43349</v>
      </c>
      <c r="BCL24">
        <v>4.0208500000000001E-2</v>
      </c>
      <c r="BCM24">
        <v>43349</v>
      </c>
      <c r="BCN24">
        <v>0.28570440000000003</v>
      </c>
      <c r="BCO24">
        <v>43349</v>
      </c>
      <c r="BCP24">
        <v>0.26369700000000001</v>
      </c>
      <c r="BCQ24">
        <v>43349</v>
      </c>
      <c r="BCR24">
        <v>9.2874100000000001E-2</v>
      </c>
      <c r="BCS24">
        <v>43349</v>
      </c>
      <c r="BCT24">
        <v>0.21160809999999999</v>
      </c>
      <c r="BCU24">
        <v>43349</v>
      </c>
      <c r="BCV24">
        <v>9.4788800000000006E-2</v>
      </c>
      <c r="BCW24">
        <v>17572</v>
      </c>
      <c r="BCX24">
        <v>6.8973400000000004E-2</v>
      </c>
      <c r="BCY24">
        <v>17572</v>
      </c>
      <c r="BCZ24">
        <v>0.1045413</v>
      </c>
      <c r="BDA24">
        <v>17572</v>
      </c>
      <c r="BDB24">
        <v>0.45748919999999998</v>
      </c>
      <c r="BDC24">
        <v>17572</v>
      </c>
      <c r="BDD24">
        <v>0.20054630000000001</v>
      </c>
      <c r="BDE24">
        <v>17572</v>
      </c>
      <c r="BDF24">
        <v>4.0518999999999999E-2</v>
      </c>
      <c r="BDG24">
        <v>17572</v>
      </c>
      <c r="BDH24">
        <v>6.3282500000000005E-2</v>
      </c>
      <c r="BDI24">
        <v>17572</v>
      </c>
      <c r="BDJ24">
        <v>6.4648300000000006E-2</v>
      </c>
      <c r="BDK24">
        <v>74804</v>
      </c>
      <c r="BDL24">
        <v>5.1173700000000003E-2</v>
      </c>
      <c r="BDM24">
        <v>3828</v>
      </c>
      <c r="BDN24">
        <v>0.68390799999999996</v>
      </c>
      <c r="BDO24">
        <v>2618</v>
      </c>
      <c r="BDP24">
        <v>0.58938120000000005</v>
      </c>
      <c r="BDQ24">
        <v>2618</v>
      </c>
      <c r="BDR24">
        <v>0.41061880000000001</v>
      </c>
      <c r="BDS24">
        <v>3828</v>
      </c>
      <c r="BDT24">
        <v>0.31609199999999998</v>
      </c>
      <c r="BDU24">
        <v>1210</v>
      </c>
      <c r="BDV24">
        <v>0.64214870000000002</v>
      </c>
      <c r="BDW24">
        <v>1210</v>
      </c>
      <c r="BDX24">
        <v>0.35785119999999998</v>
      </c>
      <c r="BDY24">
        <v>74804</v>
      </c>
      <c r="BDZ24">
        <v>0.94882630000000001</v>
      </c>
      <c r="BEA24">
        <v>70976</v>
      </c>
      <c r="BEB24">
        <v>0.58118239999999999</v>
      </c>
      <c r="BEC24">
        <v>41250</v>
      </c>
      <c r="BED24">
        <v>0.75202420000000003</v>
      </c>
      <c r="BEE24">
        <v>41250</v>
      </c>
      <c r="BEF24">
        <v>0.2479758</v>
      </c>
      <c r="BEG24">
        <v>70976</v>
      </c>
      <c r="BEH24">
        <v>0.41881760000000001</v>
      </c>
      <c r="BEI24">
        <v>29726</v>
      </c>
      <c r="BEJ24">
        <v>0.7637758</v>
      </c>
      <c r="BEK24">
        <v>29726</v>
      </c>
      <c r="BEL24">
        <v>0.2362242</v>
      </c>
      <c r="BEM24">
        <v>149929</v>
      </c>
      <c r="BEN24">
        <v>0.53878170000000003</v>
      </c>
      <c r="BEO24">
        <v>80779</v>
      </c>
      <c r="BEP24">
        <v>0.79287929999999995</v>
      </c>
      <c r="BEQ24">
        <v>64048</v>
      </c>
      <c r="BER24">
        <v>0.2267362</v>
      </c>
      <c r="BES24">
        <v>64048</v>
      </c>
      <c r="BET24">
        <v>0.77326379999999995</v>
      </c>
      <c r="BEU24">
        <v>80779</v>
      </c>
      <c r="BEV24">
        <v>0.20712069999999999</v>
      </c>
      <c r="BEW24">
        <v>149929</v>
      </c>
      <c r="BEX24">
        <v>0.46121830000000003</v>
      </c>
      <c r="BEY24">
        <v>69150</v>
      </c>
      <c r="BEZ24">
        <v>0.80652210000000002</v>
      </c>
      <c r="BFA24">
        <v>55771</v>
      </c>
      <c r="BFB24">
        <v>0.25488159999999999</v>
      </c>
      <c r="BFC24">
        <v>55771</v>
      </c>
      <c r="BFD24">
        <v>0.74511839999999996</v>
      </c>
      <c r="BFE24">
        <v>69150</v>
      </c>
      <c r="BFF24">
        <v>0.19347790000000001</v>
      </c>
      <c r="BFG24">
        <v>154569</v>
      </c>
      <c r="BFH24">
        <v>0.2815377</v>
      </c>
      <c r="BFI24">
        <v>43517</v>
      </c>
      <c r="BFJ24">
        <v>0.9804214</v>
      </c>
      <c r="BFK24">
        <v>43517</v>
      </c>
      <c r="BFL24">
        <v>1.9578600000000002E-2</v>
      </c>
      <c r="BFM24">
        <v>852</v>
      </c>
      <c r="BFN24">
        <v>8.4506999999999999E-2</v>
      </c>
      <c r="BFO24">
        <v>852</v>
      </c>
      <c r="BFP24">
        <v>0.915493</v>
      </c>
      <c r="BFQ24">
        <v>154569</v>
      </c>
      <c r="BFR24">
        <v>0.7184623</v>
      </c>
      <c r="BFS24">
        <v>111052</v>
      </c>
      <c r="BFT24">
        <v>0.87613010000000002</v>
      </c>
      <c r="BFU24">
        <v>111052</v>
      </c>
      <c r="BFV24">
        <v>0.12386990000000001</v>
      </c>
      <c r="BFW24">
        <v>13756</v>
      </c>
      <c r="BFX24">
        <v>0.46161679999999999</v>
      </c>
      <c r="BFY24">
        <v>13756</v>
      </c>
      <c r="BFZ24">
        <v>0.53838319999999995</v>
      </c>
      <c r="BGA24">
        <v>154623</v>
      </c>
      <c r="BGB24">
        <v>0.26315620000000001</v>
      </c>
      <c r="BGC24">
        <v>40690</v>
      </c>
      <c r="BGD24">
        <v>0.97726710000000006</v>
      </c>
      <c r="BGE24">
        <v>40690</v>
      </c>
      <c r="BGF24">
        <v>2.27329E-2</v>
      </c>
      <c r="BGG24">
        <v>925</v>
      </c>
      <c r="BGH24">
        <v>0.36108109999999999</v>
      </c>
      <c r="BGI24">
        <v>925</v>
      </c>
      <c r="BGJ24">
        <v>0.63891889999999996</v>
      </c>
      <c r="BGK24">
        <v>154623</v>
      </c>
      <c r="BGL24">
        <v>0.73684380000000005</v>
      </c>
      <c r="BGM24">
        <v>113933</v>
      </c>
      <c r="BGN24">
        <v>0.87784050000000002</v>
      </c>
      <c r="BGO24">
        <v>113933</v>
      </c>
      <c r="BGP24">
        <v>0.1221595</v>
      </c>
      <c r="BGQ24">
        <v>13918</v>
      </c>
      <c r="BGR24">
        <v>0.46673369999999997</v>
      </c>
      <c r="BGS24">
        <v>13918</v>
      </c>
      <c r="BGT24">
        <v>0.53326620000000002</v>
      </c>
    </row>
    <row r="25" spans="1:1554" x14ac:dyDescent="0.25">
      <c r="A25" t="s">
        <v>132</v>
      </c>
      <c r="B25">
        <v>2011</v>
      </c>
      <c r="C25">
        <v>1</v>
      </c>
      <c r="D25" t="s">
        <v>557</v>
      </c>
      <c r="E25">
        <v>28226</v>
      </c>
      <c r="F25">
        <v>0.47675899999999999</v>
      </c>
      <c r="G25">
        <v>13457</v>
      </c>
      <c r="H25">
        <v>9.6826899999999994E-2</v>
      </c>
      <c r="I25">
        <v>13457</v>
      </c>
      <c r="J25">
        <v>1.6497000000000001E-2</v>
      </c>
      <c r="K25">
        <v>13457</v>
      </c>
      <c r="L25">
        <v>0.15493799999999999</v>
      </c>
      <c r="M25">
        <v>13457</v>
      </c>
      <c r="N25">
        <v>5.4767000000000003E-2</v>
      </c>
      <c r="O25">
        <v>13457</v>
      </c>
      <c r="P25">
        <v>2.4299600000000001E-2</v>
      </c>
      <c r="Q25">
        <v>13457</v>
      </c>
      <c r="R25">
        <v>5.6922E-2</v>
      </c>
      <c r="S25">
        <v>13457</v>
      </c>
      <c r="T25">
        <v>0.128409</v>
      </c>
      <c r="U25">
        <v>13457</v>
      </c>
      <c r="V25">
        <v>9.5638000000000001E-2</v>
      </c>
      <c r="W25">
        <v>13457</v>
      </c>
      <c r="X25">
        <v>0.15776180000000001</v>
      </c>
      <c r="Y25">
        <v>13457</v>
      </c>
      <c r="Z25">
        <v>8.4640000000000007E-2</v>
      </c>
      <c r="AA25">
        <v>13457</v>
      </c>
      <c r="AB25">
        <v>7.0000699999999999E-2</v>
      </c>
      <c r="AC25">
        <v>13457</v>
      </c>
      <c r="AD25">
        <v>3.4405900000000003E-2</v>
      </c>
      <c r="AE25">
        <v>13457</v>
      </c>
      <c r="AF25">
        <v>2.4894099999999999E-2</v>
      </c>
      <c r="AG25">
        <v>28226</v>
      </c>
      <c r="AH25">
        <v>0.52324099999999996</v>
      </c>
      <c r="AI25">
        <v>14769</v>
      </c>
      <c r="AJ25">
        <v>0.1155122</v>
      </c>
      <c r="AK25">
        <v>14769</v>
      </c>
      <c r="AL25">
        <v>6.5001E-3</v>
      </c>
      <c r="AM25">
        <v>14769</v>
      </c>
      <c r="AN25">
        <v>9.4589999999999994E-2</v>
      </c>
      <c r="AO25">
        <v>14769</v>
      </c>
      <c r="AP25">
        <v>6.9402099999999994E-2</v>
      </c>
      <c r="AQ25">
        <v>14769</v>
      </c>
      <c r="AR25">
        <v>2.4781600000000001E-2</v>
      </c>
      <c r="AS25">
        <v>14769</v>
      </c>
      <c r="AT25">
        <v>2.4104500000000001E-2</v>
      </c>
      <c r="AU25">
        <v>14769</v>
      </c>
      <c r="AV25">
        <v>0.10522040000000001</v>
      </c>
      <c r="AW25">
        <v>14769</v>
      </c>
      <c r="AX25">
        <v>0.1226894</v>
      </c>
      <c r="AY25">
        <v>14769</v>
      </c>
      <c r="AZ25">
        <v>0.12560089999999999</v>
      </c>
      <c r="BA25">
        <v>14769</v>
      </c>
      <c r="BB25">
        <v>0.13975219999999999</v>
      </c>
      <c r="BC25">
        <v>14769</v>
      </c>
      <c r="BD25">
        <v>0.10725170000000001</v>
      </c>
      <c r="BE25">
        <v>14769</v>
      </c>
      <c r="BF25">
        <v>1.99066E-2</v>
      </c>
      <c r="BG25">
        <v>14769</v>
      </c>
      <c r="BH25">
        <v>4.4688199999999997E-2</v>
      </c>
      <c r="BI25">
        <v>278879</v>
      </c>
      <c r="BJ25">
        <v>0.50270550000000003</v>
      </c>
      <c r="BK25">
        <v>140194</v>
      </c>
      <c r="BL25">
        <v>5.9175100000000001E-2</v>
      </c>
      <c r="BM25">
        <v>140194</v>
      </c>
      <c r="BN25">
        <v>1.8545699999999998E-2</v>
      </c>
      <c r="BO25">
        <v>140194</v>
      </c>
      <c r="BP25">
        <v>9.09026E-2</v>
      </c>
      <c r="BQ25">
        <v>140194</v>
      </c>
      <c r="BR25">
        <v>4.51089E-2</v>
      </c>
      <c r="BS25">
        <v>140194</v>
      </c>
      <c r="BT25">
        <v>1.75114E-2</v>
      </c>
      <c r="BU25">
        <v>140194</v>
      </c>
      <c r="BV25">
        <v>3.15135E-2</v>
      </c>
      <c r="BW25">
        <v>140194</v>
      </c>
      <c r="BX25">
        <v>7.8405600000000006E-2</v>
      </c>
      <c r="BY25">
        <v>140194</v>
      </c>
      <c r="BZ25">
        <v>0.1132502</v>
      </c>
      <c r="CA25">
        <v>140194</v>
      </c>
      <c r="CB25">
        <v>0.1426809</v>
      </c>
      <c r="CC25">
        <v>140194</v>
      </c>
      <c r="CD25">
        <v>0.18094930000000001</v>
      </c>
      <c r="CE25">
        <v>140194</v>
      </c>
      <c r="CF25">
        <v>0.12223779999999999</v>
      </c>
      <c r="CG25">
        <v>140194</v>
      </c>
      <c r="CH25">
        <v>6.3483499999999998E-2</v>
      </c>
      <c r="CI25">
        <v>140194</v>
      </c>
      <c r="CJ25">
        <v>3.6235499999999997E-2</v>
      </c>
      <c r="CK25">
        <v>278879</v>
      </c>
      <c r="CL25">
        <v>0.49729449999999997</v>
      </c>
      <c r="CM25">
        <v>138685</v>
      </c>
      <c r="CN25">
        <v>5.0632700000000003E-2</v>
      </c>
      <c r="CO25">
        <v>138685</v>
      </c>
      <c r="CP25">
        <v>1.8632200000000002E-2</v>
      </c>
      <c r="CQ25">
        <v>138685</v>
      </c>
      <c r="CR25">
        <v>9.4999500000000001E-2</v>
      </c>
      <c r="CS25">
        <v>138685</v>
      </c>
      <c r="CT25">
        <v>3.7725799999999997E-2</v>
      </c>
      <c r="CU25">
        <v>138685</v>
      </c>
      <c r="CV25">
        <v>1.34261E-2</v>
      </c>
      <c r="CW25">
        <v>138685</v>
      </c>
      <c r="CX25">
        <v>3.3997899999999998E-2</v>
      </c>
      <c r="CY25">
        <v>138685</v>
      </c>
      <c r="CZ25">
        <v>7.0822399999999994E-2</v>
      </c>
      <c r="DA25">
        <v>138685</v>
      </c>
      <c r="DB25">
        <v>0.10844719999999999</v>
      </c>
      <c r="DC25">
        <v>138685</v>
      </c>
      <c r="DD25">
        <v>0.1544363</v>
      </c>
      <c r="DE25">
        <v>138685</v>
      </c>
      <c r="DF25">
        <v>0.1776616</v>
      </c>
      <c r="DG25">
        <v>138685</v>
      </c>
      <c r="DH25">
        <v>0.1225511</v>
      </c>
      <c r="DI25">
        <v>138685</v>
      </c>
      <c r="DJ25">
        <v>7.0526699999999998E-2</v>
      </c>
      <c r="DK25">
        <v>138685</v>
      </c>
      <c r="DL25">
        <v>4.6140500000000001E-2</v>
      </c>
      <c r="DM25">
        <v>201196</v>
      </c>
      <c r="DN25">
        <v>7.2357299999999999E-2</v>
      </c>
      <c r="DO25">
        <v>14558</v>
      </c>
      <c r="DP25">
        <v>0.4319962</v>
      </c>
      <c r="DQ25">
        <v>98654</v>
      </c>
      <c r="DR25">
        <v>6.3747999999999999E-2</v>
      </c>
      <c r="DS25">
        <v>6289</v>
      </c>
      <c r="DT25">
        <v>0.28192080000000003</v>
      </c>
      <c r="DU25">
        <v>9640</v>
      </c>
      <c r="DV25">
        <v>0.18392120000000001</v>
      </c>
      <c r="DW25">
        <v>6289</v>
      </c>
      <c r="DX25">
        <v>0.43456830000000002</v>
      </c>
      <c r="DY25">
        <v>24464</v>
      </c>
      <c r="DZ25">
        <v>0.1117152</v>
      </c>
      <c r="EA25">
        <v>6289</v>
      </c>
      <c r="EB25">
        <v>0.15503259999999999</v>
      </c>
      <c r="EC25">
        <v>33244</v>
      </c>
      <c r="ED25">
        <v>2.93286E-2</v>
      </c>
      <c r="EE25">
        <v>6289</v>
      </c>
      <c r="EF25">
        <v>0.12847829999999999</v>
      </c>
      <c r="EG25">
        <v>31306</v>
      </c>
      <c r="EH25">
        <v>2.5809700000000001E-2</v>
      </c>
      <c r="EI25">
        <v>14558</v>
      </c>
      <c r="EJ25">
        <v>0.56800379999999995</v>
      </c>
      <c r="EK25">
        <v>102542</v>
      </c>
      <c r="EL25">
        <v>8.0640100000000006E-2</v>
      </c>
      <c r="EM25">
        <v>8269</v>
      </c>
      <c r="EN25">
        <v>0.2197364</v>
      </c>
      <c r="EO25">
        <v>8091</v>
      </c>
      <c r="EP25">
        <v>0.22457050000000001</v>
      </c>
      <c r="EQ25">
        <v>8269</v>
      </c>
      <c r="ER25">
        <v>0.40706249999999999</v>
      </c>
      <c r="ES25">
        <v>28640</v>
      </c>
      <c r="ET25">
        <v>0.1175279</v>
      </c>
      <c r="EU25">
        <v>8269</v>
      </c>
      <c r="EV25">
        <v>0.25976539999999998</v>
      </c>
      <c r="EW25">
        <v>36337</v>
      </c>
      <c r="EX25">
        <v>5.9113300000000001E-2</v>
      </c>
      <c r="EY25">
        <v>8269</v>
      </c>
      <c r="EZ25">
        <v>0.1134357</v>
      </c>
      <c r="FA25">
        <v>29474</v>
      </c>
      <c r="FB25">
        <v>3.1824699999999997E-2</v>
      </c>
      <c r="FC25">
        <v>201196</v>
      </c>
      <c r="FD25">
        <v>0.92764270000000004</v>
      </c>
      <c r="FE25">
        <v>186638</v>
      </c>
      <c r="FF25">
        <v>0.49488850000000001</v>
      </c>
      <c r="FG25">
        <v>98654</v>
      </c>
      <c r="FH25">
        <v>0.93625190000000003</v>
      </c>
      <c r="FI25">
        <v>92365</v>
      </c>
      <c r="FJ25">
        <v>8.5172999999999999E-2</v>
      </c>
      <c r="FK25">
        <v>9640</v>
      </c>
      <c r="FL25">
        <v>0.81607879999999999</v>
      </c>
      <c r="FM25">
        <v>92365</v>
      </c>
      <c r="FN25">
        <v>0.23527310000000001</v>
      </c>
      <c r="FO25">
        <v>24464</v>
      </c>
      <c r="FP25">
        <v>0.88828479999999999</v>
      </c>
      <c r="FQ25">
        <v>92365</v>
      </c>
      <c r="FR25">
        <v>0.3493639</v>
      </c>
      <c r="FS25">
        <v>33244</v>
      </c>
      <c r="FT25">
        <v>0.97067139999999996</v>
      </c>
      <c r="FU25">
        <v>92365</v>
      </c>
      <c r="FV25">
        <v>0.33018999999999998</v>
      </c>
      <c r="FW25">
        <v>31306</v>
      </c>
      <c r="FX25">
        <v>0.97419020000000001</v>
      </c>
      <c r="FY25">
        <v>186638</v>
      </c>
      <c r="FZ25">
        <v>0.50511150000000005</v>
      </c>
      <c r="GA25">
        <v>102542</v>
      </c>
      <c r="GB25">
        <v>0.91935990000000001</v>
      </c>
      <c r="GC25">
        <v>94273</v>
      </c>
      <c r="GD25">
        <v>6.6551399999999997E-2</v>
      </c>
      <c r="GE25">
        <v>8091</v>
      </c>
      <c r="GF25">
        <v>0.77542949999999999</v>
      </c>
      <c r="GG25">
        <v>94273</v>
      </c>
      <c r="GH25">
        <v>0.26809369999999999</v>
      </c>
      <c r="GI25">
        <v>28640</v>
      </c>
      <c r="GJ25">
        <v>0.88247200000000003</v>
      </c>
      <c r="GK25">
        <v>94273</v>
      </c>
      <c r="GL25">
        <v>0.36265950000000002</v>
      </c>
      <c r="GM25">
        <v>36337</v>
      </c>
      <c r="GN25">
        <v>0.94088669999999996</v>
      </c>
      <c r="GO25">
        <v>94273</v>
      </c>
      <c r="GP25">
        <v>0.3026954</v>
      </c>
      <c r="GQ25">
        <v>29474</v>
      </c>
      <c r="GR25">
        <v>0.96817540000000002</v>
      </c>
      <c r="GS25">
        <v>235547</v>
      </c>
      <c r="GT25">
        <v>8.0502000000000004E-2</v>
      </c>
      <c r="GU25">
        <v>18962</v>
      </c>
      <c r="GV25">
        <v>0.46318949999999998</v>
      </c>
      <c r="GW25">
        <v>8783</v>
      </c>
      <c r="GX25">
        <v>7.0590899999999998E-2</v>
      </c>
      <c r="GY25">
        <v>8783</v>
      </c>
      <c r="GZ25">
        <v>0.48161219999999999</v>
      </c>
      <c r="HA25">
        <v>8783</v>
      </c>
      <c r="HB25">
        <v>0.4477969</v>
      </c>
      <c r="HC25">
        <v>8783</v>
      </c>
      <c r="HD25">
        <v>0.69896389999999997</v>
      </c>
      <c r="HE25">
        <v>8783</v>
      </c>
      <c r="HF25">
        <v>0.30103609999999997</v>
      </c>
      <c r="HG25">
        <v>6139</v>
      </c>
      <c r="HH25">
        <v>0.5324972</v>
      </c>
      <c r="HI25">
        <v>6139</v>
      </c>
      <c r="HJ25">
        <v>0.4675029</v>
      </c>
      <c r="HK25">
        <v>18962</v>
      </c>
      <c r="HL25">
        <v>0.53681049999999997</v>
      </c>
      <c r="HM25">
        <v>10179</v>
      </c>
      <c r="HN25">
        <v>8.1442200000000006E-2</v>
      </c>
      <c r="HO25">
        <v>10179</v>
      </c>
      <c r="HP25">
        <v>0.3647706</v>
      </c>
      <c r="HQ25">
        <v>10179</v>
      </c>
      <c r="HR25">
        <v>0.55378720000000003</v>
      </c>
      <c r="HS25">
        <v>10179</v>
      </c>
      <c r="HT25">
        <v>0.51940269999999999</v>
      </c>
      <c r="HU25">
        <v>10179</v>
      </c>
      <c r="HV25">
        <v>0.48059730000000001</v>
      </c>
      <c r="HW25">
        <v>5287</v>
      </c>
      <c r="HX25">
        <v>0.58785699999999996</v>
      </c>
      <c r="HY25">
        <v>5287</v>
      </c>
      <c r="HZ25">
        <v>0.41214299999999998</v>
      </c>
      <c r="IA25">
        <v>235547</v>
      </c>
      <c r="IB25">
        <v>0.91949800000000004</v>
      </c>
      <c r="IC25">
        <v>216585</v>
      </c>
      <c r="ID25">
        <v>0.49761060000000001</v>
      </c>
      <c r="IE25">
        <v>107775</v>
      </c>
      <c r="IF25">
        <v>0.57605200000000001</v>
      </c>
      <c r="IG25">
        <v>107775</v>
      </c>
      <c r="IH25">
        <v>0.22449549999999999</v>
      </c>
      <c r="II25">
        <v>107775</v>
      </c>
      <c r="IJ25">
        <v>0.19945260000000001</v>
      </c>
      <c r="IK25">
        <v>107478</v>
      </c>
      <c r="IL25">
        <v>0.80874219999999997</v>
      </c>
      <c r="IM25">
        <v>107478</v>
      </c>
      <c r="IN25">
        <v>0.1912577</v>
      </c>
      <c r="IO25">
        <v>86922</v>
      </c>
      <c r="IP25">
        <v>0.90458110000000003</v>
      </c>
      <c r="IQ25">
        <v>86922</v>
      </c>
      <c r="IR25">
        <v>9.5418900000000001E-2</v>
      </c>
      <c r="IS25">
        <v>216585</v>
      </c>
      <c r="IT25">
        <v>0.50238939999999999</v>
      </c>
      <c r="IU25">
        <v>108810</v>
      </c>
      <c r="IV25">
        <v>0.3967099</v>
      </c>
      <c r="IW25">
        <v>108810</v>
      </c>
      <c r="IX25">
        <v>0.25787149999999998</v>
      </c>
      <c r="IY25">
        <v>108810</v>
      </c>
      <c r="IZ25">
        <v>0.34541860000000002</v>
      </c>
      <c r="JA25">
        <v>108810</v>
      </c>
      <c r="JB25">
        <v>0.6623656</v>
      </c>
      <c r="JC25">
        <v>108810</v>
      </c>
      <c r="JD25">
        <v>0.3376344</v>
      </c>
      <c r="JE25">
        <v>72072</v>
      </c>
      <c r="JF25">
        <v>0.90053000000000005</v>
      </c>
      <c r="JG25">
        <v>72072</v>
      </c>
      <c r="JH25">
        <v>9.9470000000000003E-2</v>
      </c>
      <c r="JI25">
        <v>81722</v>
      </c>
      <c r="JJ25">
        <v>9.6522399999999994E-2</v>
      </c>
      <c r="JK25">
        <v>7888</v>
      </c>
      <c r="JL25">
        <v>0.53486310000000004</v>
      </c>
      <c r="JM25">
        <v>4219</v>
      </c>
      <c r="JN25">
        <v>0.7404598</v>
      </c>
      <c r="JO25">
        <v>4219</v>
      </c>
      <c r="JP25">
        <v>0.7404598</v>
      </c>
      <c r="JQ25">
        <v>4219</v>
      </c>
      <c r="JR25">
        <v>0.7404598</v>
      </c>
      <c r="JS25">
        <v>4219</v>
      </c>
      <c r="JT25">
        <v>0.7404598</v>
      </c>
      <c r="JU25">
        <v>4219</v>
      </c>
      <c r="JV25">
        <v>0.2595402</v>
      </c>
      <c r="JW25">
        <v>7888</v>
      </c>
      <c r="JX25">
        <v>0.46513690000000002</v>
      </c>
      <c r="JY25">
        <v>3669</v>
      </c>
      <c r="JZ25">
        <v>0.24066499999999999</v>
      </c>
      <c r="KA25">
        <v>883</v>
      </c>
      <c r="KB25">
        <v>0.90600230000000004</v>
      </c>
      <c r="KC25">
        <v>800</v>
      </c>
      <c r="KD25">
        <v>0</v>
      </c>
      <c r="KE25">
        <v>800</v>
      </c>
      <c r="KF25">
        <v>0.375</v>
      </c>
      <c r="KG25">
        <v>800</v>
      </c>
      <c r="KH25">
        <v>0.625</v>
      </c>
      <c r="KI25">
        <v>883</v>
      </c>
      <c r="KJ25">
        <v>9.3997700000000003E-2</v>
      </c>
      <c r="KK25">
        <v>3669</v>
      </c>
      <c r="KL25">
        <v>0.75933499999999998</v>
      </c>
      <c r="KM25">
        <v>2786</v>
      </c>
      <c r="KN25">
        <v>0.81765969999999999</v>
      </c>
      <c r="KO25">
        <v>2278</v>
      </c>
      <c r="KP25">
        <v>0.2923617</v>
      </c>
      <c r="KQ25">
        <v>2278</v>
      </c>
      <c r="KR25">
        <v>0.1922739</v>
      </c>
      <c r="KS25">
        <v>2278</v>
      </c>
      <c r="KT25">
        <v>0.5153643</v>
      </c>
      <c r="KU25">
        <v>2786</v>
      </c>
      <c r="KV25">
        <v>0.18234030000000001</v>
      </c>
      <c r="KW25">
        <v>81722</v>
      </c>
      <c r="KX25">
        <v>1.5785199999999999E-2</v>
      </c>
      <c r="KY25">
        <v>1290</v>
      </c>
      <c r="KZ25">
        <v>0.55658909999999995</v>
      </c>
      <c r="LA25">
        <v>718</v>
      </c>
      <c r="LB25">
        <v>0.68245120000000004</v>
      </c>
      <c r="LC25">
        <v>718</v>
      </c>
      <c r="LD25">
        <v>0.68245120000000004</v>
      </c>
      <c r="LE25">
        <v>718</v>
      </c>
      <c r="LF25">
        <v>0.68245120000000004</v>
      </c>
      <c r="LG25">
        <v>718</v>
      </c>
      <c r="LH25">
        <v>0.68245120000000004</v>
      </c>
      <c r="LI25">
        <v>718</v>
      </c>
      <c r="LJ25">
        <v>0.31754880000000002</v>
      </c>
      <c r="LK25">
        <v>1290</v>
      </c>
      <c r="LL25">
        <v>0.44341079999999999</v>
      </c>
      <c r="LM25">
        <v>572</v>
      </c>
      <c r="LN25">
        <v>0</v>
      </c>
      <c r="LO25">
        <v>0</v>
      </c>
      <c r="LP25"/>
      <c r="LQ25">
        <v>0</v>
      </c>
      <c r="LR25"/>
      <c r="LS25">
        <v>0</v>
      </c>
      <c r="LT25"/>
      <c r="LU25">
        <v>0</v>
      </c>
      <c r="LV25"/>
      <c r="LW25">
        <v>0</v>
      </c>
      <c r="LX25"/>
      <c r="LY25">
        <v>572</v>
      </c>
      <c r="LZ25">
        <v>1</v>
      </c>
      <c r="MA25">
        <v>572</v>
      </c>
      <c r="MB25">
        <v>0.73426570000000002</v>
      </c>
      <c r="MC25">
        <v>420</v>
      </c>
      <c r="MD25">
        <v>0</v>
      </c>
      <c r="ME25">
        <v>420</v>
      </c>
      <c r="MF25">
        <v>0.26428570000000001</v>
      </c>
      <c r="MG25">
        <v>420</v>
      </c>
      <c r="MH25">
        <v>0.73571430000000004</v>
      </c>
      <c r="MI25">
        <v>572</v>
      </c>
      <c r="MJ25">
        <v>0.26573429999999998</v>
      </c>
      <c r="MK25">
        <v>81722</v>
      </c>
      <c r="ML25">
        <v>3.6085800000000001E-2</v>
      </c>
      <c r="MM25">
        <v>2949</v>
      </c>
      <c r="MN25">
        <v>0.6378433</v>
      </c>
      <c r="MO25">
        <v>1881</v>
      </c>
      <c r="MP25">
        <v>0.45667200000000002</v>
      </c>
      <c r="MQ25">
        <v>1881</v>
      </c>
      <c r="MR25">
        <v>0.45667200000000002</v>
      </c>
      <c r="MS25">
        <v>1881</v>
      </c>
      <c r="MT25">
        <v>0.45667200000000002</v>
      </c>
      <c r="MU25">
        <v>1881</v>
      </c>
      <c r="MV25">
        <v>0.45667200000000002</v>
      </c>
      <c r="MW25">
        <v>1881</v>
      </c>
      <c r="MX25">
        <v>0.54332800000000003</v>
      </c>
      <c r="MY25">
        <v>2949</v>
      </c>
      <c r="MZ25">
        <v>0.3621567</v>
      </c>
      <c r="NA25">
        <v>1068</v>
      </c>
      <c r="NB25">
        <v>0.1638577</v>
      </c>
      <c r="NC25">
        <v>175</v>
      </c>
      <c r="ND25">
        <v>0.73142859999999998</v>
      </c>
      <c r="NE25">
        <v>128</v>
      </c>
      <c r="NF25">
        <v>0.375</v>
      </c>
      <c r="NG25">
        <v>128</v>
      </c>
      <c r="NH25">
        <v>0</v>
      </c>
      <c r="NI25">
        <v>128</v>
      </c>
      <c r="NJ25">
        <v>0.625</v>
      </c>
      <c r="NK25">
        <v>175</v>
      </c>
      <c r="NL25">
        <v>0.26857140000000002</v>
      </c>
      <c r="NM25">
        <v>1068</v>
      </c>
      <c r="NN25">
        <v>0.8361423</v>
      </c>
      <c r="NO25">
        <v>893</v>
      </c>
      <c r="NP25">
        <v>0.88353870000000001</v>
      </c>
      <c r="NQ25">
        <v>789</v>
      </c>
      <c r="NR25">
        <v>6.5906199999999998E-2</v>
      </c>
      <c r="NS25">
        <v>789</v>
      </c>
      <c r="NT25">
        <v>9.8859299999999997E-2</v>
      </c>
      <c r="NU25">
        <v>789</v>
      </c>
      <c r="NV25">
        <v>0.83523449999999999</v>
      </c>
      <c r="NW25">
        <v>893</v>
      </c>
      <c r="NX25">
        <v>0.11646140000000001</v>
      </c>
      <c r="NY25">
        <v>81722</v>
      </c>
      <c r="NZ25">
        <v>0.85160670000000005</v>
      </c>
      <c r="OA25">
        <v>69595</v>
      </c>
      <c r="OB25">
        <v>0.85579430000000001</v>
      </c>
      <c r="OC25">
        <v>59559</v>
      </c>
      <c r="OD25">
        <v>0.47989389999999998</v>
      </c>
      <c r="OE25">
        <v>59559</v>
      </c>
      <c r="OF25">
        <v>0.47989389999999998</v>
      </c>
      <c r="OG25">
        <v>59559</v>
      </c>
      <c r="OH25">
        <v>0.47989389999999998</v>
      </c>
      <c r="OI25">
        <v>59559</v>
      </c>
      <c r="OJ25">
        <v>0.47989389999999998</v>
      </c>
      <c r="OK25">
        <v>59559</v>
      </c>
      <c r="OL25">
        <v>0.52010610000000002</v>
      </c>
      <c r="OM25">
        <v>69595</v>
      </c>
      <c r="ON25">
        <v>0.1442058</v>
      </c>
      <c r="OO25">
        <v>10036</v>
      </c>
      <c r="OP25">
        <v>0.27172180000000001</v>
      </c>
      <c r="OQ25">
        <v>2727</v>
      </c>
      <c r="OR25">
        <v>0.64906489999999994</v>
      </c>
      <c r="OS25">
        <v>1770</v>
      </c>
      <c r="OT25">
        <v>0.1</v>
      </c>
      <c r="OU25">
        <v>1770</v>
      </c>
      <c r="OV25">
        <v>6.1581900000000002E-2</v>
      </c>
      <c r="OW25">
        <v>1770</v>
      </c>
      <c r="OX25">
        <v>0.83841810000000005</v>
      </c>
      <c r="OY25">
        <v>2727</v>
      </c>
      <c r="OZ25">
        <v>0.3509351</v>
      </c>
      <c r="PA25">
        <v>10036</v>
      </c>
      <c r="PB25">
        <v>0.72827819999999999</v>
      </c>
      <c r="PC25">
        <v>7309</v>
      </c>
      <c r="PD25">
        <v>0.48378710000000003</v>
      </c>
      <c r="PE25">
        <v>3536</v>
      </c>
      <c r="PF25">
        <v>2.14932E-2</v>
      </c>
      <c r="PG25">
        <v>3536</v>
      </c>
      <c r="PH25">
        <v>8.1448000000000007E-2</v>
      </c>
      <c r="PI25">
        <v>3536</v>
      </c>
      <c r="PJ25">
        <v>0.89705880000000005</v>
      </c>
      <c r="PK25">
        <v>7309</v>
      </c>
      <c r="PL25">
        <v>0.51621289999999997</v>
      </c>
      <c r="PM25">
        <v>308944</v>
      </c>
      <c r="PN25">
        <v>0.49895129999999999</v>
      </c>
      <c r="PO25">
        <v>154148</v>
      </c>
      <c r="PP25">
        <v>6.2589199999999998E-2</v>
      </c>
      <c r="PQ25">
        <v>154148</v>
      </c>
      <c r="PR25">
        <v>8.0208600000000005E-2</v>
      </c>
      <c r="PS25">
        <v>154148</v>
      </c>
      <c r="PT25">
        <v>8.0902799999999997E-2</v>
      </c>
      <c r="PU25">
        <v>154148</v>
      </c>
      <c r="PV25">
        <v>5.1677599999999997E-2</v>
      </c>
      <c r="PW25">
        <v>154148</v>
      </c>
      <c r="PX25">
        <v>2.63772E-2</v>
      </c>
      <c r="PY25">
        <v>154148</v>
      </c>
      <c r="PZ25">
        <v>8.8745999999999998E-3</v>
      </c>
      <c r="QA25">
        <v>154148</v>
      </c>
      <c r="QB25">
        <v>1.35324E-2</v>
      </c>
      <c r="QC25">
        <v>154148</v>
      </c>
      <c r="QD25">
        <v>3.3947900000000003E-2</v>
      </c>
      <c r="QE25">
        <v>154148</v>
      </c>
      <c r="QF25">
        <v>5.2696100000000003E-2</v>
      </c>
      <c r="QG25">
        <v>154148</v>
      </c>
      <c r="QH25">
        <v>5.9747799999999997E-2</v>
      </c>
      <c r="QI25">
        <v>154148</v>
      </c>
      <c r="QJ25">
        <v>7.0834499999999995E-2</v>
      </c>
      <c r="QK25">
        <v>154148</v>
      </c>
      <c r="QL25">
        <v>7.3345099999999996E-2</v>
      </c>
      <c r="QM25">
        <v>154148</v>
      </c>
      <c r="QN25">
        <v>8.8473399999999994E-2</v>
      </c>
      <c r="QO25">
        <v>154148</v>
      </c>
      <c r="QP25">
        <v>8.3484699999999995E-2</v>
      </c>
      <c r="QQ25">
        <v>154148</v>
      </c>
      <c r="QR25">
        <v>6.3075699999999998E-2</v>
      </c>
      <c r="QS25">
        <v>154148</v>
      </c>
      <c r="QT25">
        <v>2.1433899999999999E-2</v>
      </c>
      <c r="QU25">
        <v>154148</v>
      </c>
      <c r="QV25">
        <v>3.2806099999999998E-2</v>
      </c>
      <c r="QW25">
        <v>154148</v>
      </c>
      <c r="QX25">
        <v>1.5537E-2</v>
      </c>
      <c r="QY25">
        <v>154148</v>
      </c>
      <c r="QZ25">
        <v>2.3976999999999998E-2</v>
      </c>
      <c r="RA25">
        <v>154148</v>
      </c>
      <c r="RB25">
        <v>2.1226399999999999E-2</v>
      </c>
      <c r="RC25">
        <v>154148</v>
      </c>
      <c r="RD25">
        <v>1.0561299999999999E-2</v>
      </c>
      <c r="RE25">
        <v>154148</v>
      </c>
      <c r="RF25">
        <v>1.4596400000000001E-2</v>
      </c>
      <c r="RG25">
        <v>154148</v>
      </c>
      <c r="RH25">
        <v>1.0094199999999999E-2</v>
      </c>
      <c r="RI25">
        <v>308944</v>
      </c>
      <c r="RJ25">
        <v>0.50104870000000001</v>
      </c>
      <c r="RK25">
        <v>154796</v>
      </c>
      <c r="RL25">
        <v>5.8069999999999997E-2</v>
      </c>
      <c r="RM25">
        <v>154796</v>
      </c>
      <c r="RN25">
        <v>8.6416999999999994E-2</v>
      </c>
      <c r="RO25">
        <v>154796</v>
      </c>
      <c r="RP25">
        <v>6.6933300000000001E-2</v>
      </c>
      <c r="RQ25">
        <v>154796</v>
      </c>
      <c r="RR25">
        <v>4.7152399999999997E-2</v>
      </c>
      <c r="RS25">
        <v>154796</v>
      </c>
      <c r="RT25">
        <v>2.35988E-2</v>
      </c>
      <c r="RU25">
        <v>154796</v>
      </c>
      <c r="RV25">
        <v>1.3114000000000001E-2</v>
      </c>
      <c r="RW25">
        <v>154796</v>
      </c>
      <c r="RX25">
        <v>1.0491199999999999E-2</v>
      </c>
      <c r="RY25">
        <v>154796</v>
      </c>
      <c r="RZ25">
        <v>2.6286199999999999E-2</v>
      </c>
      <c r="SA25">
        <v>154796</v>
      </c>
      <c r="SB25">
        <v>4.9232499999999998E-2</v>
      </c>
      <c r="SC25">
        <v>154796</v>
      </c>
      <c r="SD25">
        <v>5.9846499999999997E-2</v>
      </c>
      <c r="SE25">
        <v>154796</v>
      </c>
      <c r="SF25">
        <v>6.67653E-2</v>
      </c>
      <c r="SG25">
        <v>154796</v>
      </c>
      <c r="SH25">
        <v>8.3581000000000003E-2</v>
      </c>
      <c r="SI25">
        <v>154796</v>
      </c>
      <c r="SJ25">
        <v>8.7379499999999999E-2</v>
      </c>
      <c r="SK25">
        <v>154796</v>
      </c>
      <c r="SL25">
        <v>8.5124900000000003E-2</v>
      </c>
      <c r="SM25">
        <v>154796</v>
      </c>
      <c r="SN25">
        <v>6.6222600000000006E-2</v>
      </c>
      <c r="SO25">
        <v>154796</v>
      </c>
      <c r="SP25">
        <v>1.80108E-2</v>
      </c>
      <c r="SQ25">
        <v>154796</v>
      </c>
      <c r="SR25">
        <v>3.5795500000000001E-2</v>
      </c>
      <c r="SS25">
        <v>154796</v>
      </c>
      <c r="ST25">
        <v>1.1977099999999999E-2</v>
      </c>
      <c r="SU25">
        <v>154796</v>
      </c>
      <c r="SV25">
        <v>2.4335300000000001E-2</v>
      </c>
      <c r="SW25">
        <v>154796</v>
      </c>
      <c r="SX25">
        <v>2.91674E-2</v>
      </c>
      <c r="SY25">
        <v>154796</v>
      </c>
      <c r="SZ25">
        <v>1.52394E-2</v>
      </c>
      <c r="TA25">
        <v>154796</v>
      </c>
      <c r="TB25">
        <v>1.4205799999999999E-2</v>
      </c>
      <c r="TC25">
        <v>154796</v>
      </c>
      <c r="TD25">
        <v>2.1053499999999999E-2</v>
      </c>
      <c r="TE25">
        <v>273284</v>
      </c>
      <c r="TF25">
        <v>0.49606270000000002</v>
      </c>
      <c r="TG25"/>
      <c r="TH25"/>
      <c r="TI25"/>
      <c r="TJ25"/>
      <c r="TK25"/>
      <c r="TL25"/>
      <c r="TM25"/>
      <c r="TN25"/>
      <c r="TO25">
        <v>17902</v>
      </c>
      <c r="TP25">
        <v>0.56016089999999996</v>
      </c>
      <c r="TQ25"/>
      <c r="TR25"/>
      <c r="TS25">
        <v>256827</v>
      </c>
      <c r="TT25">
        <v>0.49583959999999999</v>
      </c>
      <c r="TU25">
        <v>36266</v>
      </c>
      <c r="TV25">
        <v>0.52385150000000003</v>
      </c>
      <c r="TW25">
        <v>273284</v>
      </c>
      <c r="TX25">
        <v>0.50393730000000003</v>
      </c>
      <c r="TY25"/>
      <c r="TZ25"/>
      <c r="UA25"/>
      <c r="UB25"/>
      <c r="UC25"/>
      <c r="UD25"/>
      <c r="UE25"/>
      <c r="UF25"/>
      <c r="UG25">
        <v>17902</v>
      </c>
      <c r="UH25">
        <v>0.43983909999999998</v>
      </c>
      <c r="UI25"/>
      <c r="UJ25"/>
      <c r="UK25">
        <v>256827</v>
      </c>
      <c r="UL25">
        <v>0.50416039999999995</v>
      </c>
      <c r="UM25">
        <v>36266</v>
      </c>
      <c r="UN25">
        <v>0.47614849999999997</v>
      </c>
      <c r="UO25">
        <v>76445</v>
      </c>
      <c r="UP25">
        <v>76445</v>
      </c>
      <c r="UQ25">
        <v>76445</v>
      </c>
      <c r="UR25">
        <v>62631</v>
      </c>
      <c r="US25">
        <v>62631</v>
      </c>
      <c r="UT25">
        <v>62631</v>
      </c>
      <c r="UU25">
        <v>3.8850999999999998E-3</v>
      </c>
      <c r="UV25">
        <v>0.89409380000000005</v>
      </c>
      <c r="UW25">
        <v>0.1020211</v>
      </c>
      <c r="UX25">
        <v>0</v>
      </c>
      <c r="UY25">
        <v>0.89439729999999995</v>
      </c>
      <c r="UZ25">
        <v>0.10560269999999999</v>
      </c>
      <c r="VA25">
        <v>4502</v>
      </c>
      <c r="VB25">
        <v>0</v>
      </c>
      <c r="VC25">
        <v>4502</v>
      </c>
      <c r="VD25">
        <v>0.69835630000000004</v>
      </c>
      <c r="VE25">
        <v>4502</v>
      </c>
      <c r="VF25">
        <v>0.30164370000000001</v>
      </c>
      <c r="VG25">
        <v>7964</v>
      </c>
      <c r="VH25">
        <v>0</v>
      </c>
      <c r="VI25">
        <v>7964</v>
      </c>
      <c r="VJ25">
        <v>0.83262179999999997</v>
      </c>
      <c r="VK25">
        <v>7964</v>
      </c>
      <c r="VL25">
        <v>0.1673782</v>
      </c>
      <c r="VM25">
        <v>9029</v>
      </c>
      <c r="VN25">
        <v>0</v>
      </c>
      <c r="VO25">
        <v>9029</v>
      </c>
      <c r="VP25">
        <v>0.89467269999999999</v>
      </c>
      <c r="VQ25">
        <v>9029</v>
      </c>
      <c r="VR25">
        <v>0.1053273</v>
      </c>
      <c r="VS25">
        <v>21609</v>
      </c>
      <c r="VT25">
        <v>1.3744299999999999E-2</v>
      </c>
      <c r="VU25">
        <v>21609</v>
      </c>
      <c r="VV25">
        <v>0.89384059999999999</v>
      </c>
      <c r="VW25">
        <v>21609</v>
      </c>
      <c r="VX25">
        <v>9.2415200000000003E-2</v>
      </c>
      <c r="VY25">
        <v>25335</v>
      </c>
      <c r="VZ25">
        <v>0</v>
      </c>
      <c r="WA25">
        <v>25335</v>
      </c>
      <c r="WB25">
        <v>0.9322281</v>
      </c>
      <c r="WC25">
        <v>25335</v>
      </c>
      <c r="WD25">
        <v>6.7771899999999996E-2</v>
      </c>
      <c r="WE25">
        <v>8006</v>
      </c>
      <c r="WF25">
        <v>0</v>
      </c>
      <c r="WG25">
        <v>8006</v>
      </c>
      <c r="WH25">
        <v>0.94466649999999996</v>
      </c>
      <c r="WI25">
        <v>8006</v>
      </c>
      <c r="WJ25">
        <v>5.5333500000000001E-2</v>
      </c>
      <c r="WK25">
        <v>3488</v>
      </c>
      <c r="WL25">
        <v>0</v>
      </c>
      <c r="WM25">
        <v>3488</v>
      </c>
      <c r="WN25">
        <v>0.76576829999999996</v>
      </c>
      <c r="WO25">
        <v>3488</v>
      </c>
      <c r="WP25">
        <v>0.23423169999999999</v>
      </c>
      <c r="WQ25">
        <v>6452</v>
      </c>
      <c r="WR25">
        <v>0</v>
      </c>
      <c r="WS25">
        <v>6452</v>
      </c>
      <c r="WT25">
        <v>0.90669560000000005</v>
      </c>
      <c r="WU25">
        <v>6452</v>
      </c>
      <c r="WV25">
        <v>9.3304399999999996E-2</v>
      </c>
      <c r="WW25">
        <v>7475</v>
      </c>
      <c r="WX25">
        <v>0</v>
      </c>
      <c r="WY25">
        <v>7475</v>
      </c>
      <c r="WZ25">
        <v>0.94809370000000004</v>
      </c>
      <c r="XA25">
        <v>7475</v>
      </c>
      <c r="XB25">
        <v>5.1906399999999998E-2</v>
      </c>
      <c r="XC25">
        <v>16738</v>
      </c>
      <c r="XD25">
        <v>0</v>
      </c>
      <c r="XE25">
        <v>16738</v>
      </c>
      <c r="XF25">
        <v>0.90703789999999995</v>
      </c>
      <c r="XG25">
        <v>16738</v>
      </c>
      <c r="XH25">
        <v>9.2962100000000006E-2</v>
      </c>
      <c r="XI25">
        <v>20200</v>
      </c>
      <c r="XJ25">
        <v>0</v>
      </c>
      <c r="XK25">
        <v>20200</v>
      </c>
      <c r="XL25">
        <v>0.91128710000000002</v>
      </c>
      <c r="XM25">
        <v>20200</v>
      </c>
      <c r="XN25">
        <v>8.8712899999999997E-2</v>
      </c>
      <c r="XO25">
        <v>8278</v>
      </c>
      <c r="XP25">
        <v>0</v>
      </c>
      <c r="XQ25">
        <v>8278</v>
      </c>
      <c r="XR25">
        <v>0.82374970000000003</v>
      </c>
      <c r="XS25">
        <v>8278</v>
      </c>
      <c r="XT25">
        <v>0.1762503</v>
      </c>
      <c r="XU25">
        <v>203974</v>
      </c>
      <c r="XV25">
        <v>0.50048539999999997</v>
      </c>
      <c r="XW25">
        <v>102086</v>
      </c>
      <c r="XX25">
        <v>0.85333930000000002</v>
      </c>
      <c r="XY25">
        <v>102086</v>
      </c>
      <c r="XZ25">
        <v>0.1466607</v>
      </c>
      <c r="YA25">
        <v>87114</v>
      </c>
      <c r="YB25">
        <v>0.84116210000000002</v>
      </c>
      <c r="YC25">
        <v>73277</v>
      </c>
      <c r="YD25">
        <v>0.83143409999999995</v>
      </c>
      <c r="YE25">
        <v>73277</v>
      </c>
      <c r="YF25">
        <v>1.0794700000000001E-2</v>
      </c>
      <c r="YG25">
        <v>73277</v>
      </c>
      <c r="YH25">
        <v>4.9183200000000003E-2</v>
      </c>
      <c r="YI25">
        <v>73277</v>
      </c>
      <c r="YJ25">
        <v>5.7139299999999997E-2</v>
      </c>
      <c r="YK25">
        <v>73277</v>
      </c>
      <c r="YL25">
        <v>3.3298300000000003E-2</v>
      </c>
      <c r="YM25">
        <v>73277</v>
      </c>
      <c r="YN25">
        <v>1.8150300000000001E-2</v>
      </c>
      <c r="YO25">
        <v>87114</v>
      </c>
      <c r="YP25">
        <v>0.11860320000000001</v>
      </c>
      <c r="YQ25">
        <v>10332</v>
      </c>
      <c r="YR25">
        <v>0.37979089999999999</v>
      </c>
      <c r="YS25">
        <v>10332</v>
      </c>
      <c r="YT25">
        <v>1.4905099999999999E-2</v>
      </c>
      <c r="YU25">
        <v>10332</v>
      </c>
      <c r="YV25">
        <v>8.8075899999999999E-2</v>
      </c>
      <c r="YW25">
        <v>10332</v>
      </c>
      <c r="YX25">
        <v>0.14450250000000001</v>
      </c>
      <c r="YY25">
        <v>10332</v>
      </c>
      <c r="YZ25">
        <v>8.0720100000000003E-2</v>
      </c>
      <c r="ZA25">
        <v>10332</v>
      </c>
      <c r="ZB25">
        <v>0.29200540000000003</v>
      </c>
      <c r="ZC25">
        <v>87114</v>
      </c>
      <c r="ZD25">
        <v>4.0234600000000002E-2</v>
      </c>
      <c r="ZE25">
        <v>3505</v>
      </c>
      <c r="ZF25">
        <v>0.22253919999999999</v>
      </c>
      <c r="ZG25">
        <v>3505</v>
      </c>
      <c r="ZH25">
        <v>1.8259600000000001E-2</v>
      </c>
      <c r="ZI25">
        <v>3505</v>
      </c>
      <c r="ZJ25">
        <v>1.7689E-2</v>
      </c>
      <c r="ZK25">
        <v>3505</v>
      </c>
      <c r="ZL25">
        <v>0.246505</v>
      </c>
      <c r="ZM25">
        <v>3505</v>
      </c>
      <c r="ZN25">
        <v>5.9629099999999997E-2</v>
      </c>
      <c r="ZO25">
        <v>3505</v>
      </c>
      <c r="ZP25">
        <v>0.43537799999999999</v>
      </c>
      <c r="ZQ25">
        <v>203974</v>
      </c>
      <c r="ZR25">
        <v>0.49951459999999998</v>
      </c>
      <c r="ZS25">
        <v>101888</v>
      </c>
      <c r="ZT25">
        <v>0.71480449999999995</v>
      </c>
      <c r="ZU25">
        <v>101888</v>
      </c>
      <c r="ZV25">
        <v>0.28519549999999999</v>
      </c>
      <c r="ZW25">
        <v>72830</v>
      </c>
      <c r="ZX25">
        <v>0.67366470000000001</v>
      </c>
      <c r="ZY25">
        <v>49063</v>
      </c>
      <c r="ZZ25">
        <v>0.86535680000000004</v>
      </c>
      <c r="AAA25">
        <v>49063</v>
      </c>
      <c r="AAB25">
        <v>8.2547000000000002E-3</v>
      </c>
      <c r="AAC25">
        <v>49063</v>
      </c>
      <c r="AAD25">
        <v>4.4167699999999997E-2</v>
      </c>
      <c r="AAE25">
        <v>49063</v>
      </c>
      <c r="AAF25">
        <v>3.27538E-2</v>
      </c>
      <c r="AAG25">
        <v>49063</v>
      </c>
      <c r="AAH25">
        <v>2.0361600000000001E-2</v>
      </c>
      <c r="AAI25">
        <v>49063</v>
      </c>
      <c r="AAJ25">
        <v>2.91054E-2</v>
      </c>
      <c r="AAK25">
        <v>72830</v>
      </c>
      <c r="AAL25">
        <v>0.25658379999999997</v>
      </c>
      <c r="AAM25">
        <v>18687</v>
      </c>
      <c r="AAN25">
        <v>0.51650879999999999</v>
      </c>
      <c r="AAO25">
        <v>18687</v>
      </c>
      <c r="AAP25">
        <v>5.4904500000000002E-2</v>
      </c>
      <c r="AAQ25">
        <v>18687</v>
      </c>
      <c r="AAR25">
        <v>9.3701499999999993E-2</v>
      </c>
      <c r="AAS25">
        <v>18687</v>
      </c>
      <c r="AAT25">
        <v>0.17675389999999999</v>
      </c>
      <c r="AAU25">
        <v>18687</v>
      </c>
      <c r="AAV25">
        <v>9.4129599999999994E-2</v>
      </c>
      <c r="AAW25">
        <v>18687</v>
      </c>
      <c r="AAX25">
        <v>6.4001699999999995E-2</v>
      </c>
      <c r="AAY25">
        <v>72830</v>
      </c>
      <c r="AAZ25">
        <v>6.9751499999999994E-2</v>
      </c>
      <c r="ABA25">
        <v>5080</v>
      </c>
      <c r="ABB25">
        <v>0.34389760000000003</v>
      </c>
      <c r="ABC25">
        <v>5080</v>
      </c>
      <c r="ABD25">
        <v>3.5433100000000002E-2</v>
      </c>
      <c r="ABE25">
        <v>5080</v>
      </c>
      <c r="ABF25">
        <v>6.43701E-2</v>
      </c>
      <c r="ABG25">
        <v>5080</v>
      </c>
      <c r="ABH25">
        <v>0.12795280000000001</v>
      </c>
      <c r="ABI25">
        <v>5080</v>
      </c>
      <c r="ABJ25">
        <v>0.10688979999999999</v>
      </c>
      <c r="ABK25">
        <v>5080</v>
      </c>
      <c r="ABL25">
        <v>0.32145669999999998</v>
      </c>
      <c r="ABM25">
        <v>108186</v>
      </c>
      <c r="ABN25">
        <v>0.75538430000000001</v>
      </c>
      <c r="ABO25">
        <v>81722</v>
      </c>
      <c r="ABP25">
        <v>0.81222930000000004</v>
      </c>
      <c r="ABQ25">
        <v>81722</v>
      </c>
      <c r="ABR25">
        <v>0.18777070000000001</v>
      </c>
      <c r="ABS25">
        <v>15345</v>
      </c>
      <c r="ABT25">
        <v>0.24666009999999999</v>
      </c>
      <c r="ABU25">
        <v>15345</v>
      </c>
      <c r="ABV25">
        <v>0.7533398</v>
      </c>
      <c r="ABW25">
        <v>108186</v>
      </c>
      <c r="ABX25">
        <v>0.24461569999999999</v>
      </c>
      <c r="ABY25">
        <v>26464</v>
      </c>
      <c r="ABZ25">
        <v>0.80482920000000002</v>
      </c>
      <c r="ACA25">
        <v>26464</v>
      </c>
      <c r="ACB25">
        <v>0.19517080000000001</v>
      </c>
      <c r="ACC25"/>
      <c r="ACD25"/>
      <c r="ACE25"/>
      <c r="ACF25"/>
      <c r="ACG25"/>
      <c r="ACH25"/>
      <c r="ACI25"/>
      <c r="ACJ25"/>
      <c r="ACK25"/>
      <c r="ACL25"/>
      <c r="ACM25"/>
      <c r="ACN25"/>
      <c r="ACO25"/>
      <c r="ACP25"/>
      <c r="ACQ25"/>
      <c r="ACR25"/>
      <c r="ACS25"/>
      <c r="ACT25"/>
      <c r="ACU25"/>
      <c r="ACV25"/>
      <c r="ACW25"/>
      <c r="ACX25"/>
      <c r="ACY25"/>
      <c r="ACZ25"/>
      <c r="ADA25"/>
      <c r="ADB25"/>
      <c r="ADC25"/>
      <c r="ADD25"/>
      <c r="ADE25"/>
      <c r="ADF25"/>
      <c r="ADG25"/>
      <c r="ADH25"/>
      <c r="ADI25"/>
      <c r="ADJ25"/>
      <c r="ADK25"/>
      <c r="ADL25"/>
      <c r="ADM25"/>
      <c r="ADN25"/>
      <c r="ADO25"/>
      <c r="ADP25"/>
      <c r="ADQ25"/>
      <c r="ADR25"/>
      <c r="ADS25"/>
      <c r="ADT25"/>
      <c r="ADU25"/>
      <c r="ADV25"/>
      <c r="ADW25"/>
      <c r="ADX25"/>
      <c r="ADY25"/>
      <c r="ADZ25"/>
      <c r="AEA25"/>
      <c r="AEB25"/>
      <c r="AEC25"/>
      <c r="AED25"/>
      <c r="AEE25"/>
      <c r="AEF25"/>
      <c r="AEG25"/>
      <c r="AEH25"/>
      <c r="AEI25"/>
      <c r="AEJ25"/>
      <c r="AEK25"/>
      <c r="AEL25"/>
      <c r="AEM25"/>
      <c r="AEN25"/>
      <c r="AEO25"/>
      <c r="AEP25"/>
      <c r="AEQ25"/>
      <c r="AER25"/>
      <c r="AES25"/>
      <c r="AET25"/>
      <c r="AEU25"/>
      <c r="AEV25"/>
      <c r="AEW25"/>
      <c r="AEX25"/>
      <c r="AEY25"/>
      <c r="AEZ25"/>
      <c r="AFA25"/>
      <c r="AFB25"/>
      <c r="AFC25"/>
      <c r="AFD25"/>
      <c r="AFE25"/>
      <c r="AFF25"/>
      <c r="AFG25"/>
      <c r="AFH25"/>
      <c r="AFI25"/>
      <c r="AFJ25"/>
      <c r="AFK25"/>
      <c r="AFL25"/>
      <c r="AFM25"/>
      <c r="AFN25"/>
      <c r="AFO25"/>
      <c r="AFP25"/>
      <c r="AFQ25"/>
      <c r="AFR25"/>
      <c r="AFS25"/>
      <c r="AFT25"/>
      <c r="AFU25"/>
      <c r="AFV25"/>
      <c r="AFW25"/>
      <c r="AFX25"/>
      <c r="AFY25"/>
      <c r="AFZ25"/>
      <c r="AGA25"/>
      <c r="AGB25"/>
      <c r="AGC25"/>
      <c r="AGD25"/>
      <c r="AGE25"/>
      <c r="AGF25"/>
      <c r="AGG25"/>
      <c r="AGH25"/>
      <c r="AGI25"/>
      <c r="AGJ25"/>
      <c r="AGK25"/>
      <c r="AGL25"/>
      <c r="AGM25"/>
      <c r="AGN25"/>
      <c r="AGO25"/>
      <c r="AGP25"/>
      <c r="AGQ25"/>
      <c r="AGR25"/>
      <c r="AGS25"/>
      <c r="AGT25"/>
      <c r="AGU25"/>
      <c r="AGV25"/>
      <c r="AGW25"/>
      <c r="AGX25"/>
      <c r="AGY25"/>
      <c r="AGZ25"/>
      <c r="AHA25"/>
      <c r="AHB25"/>
      <c r="AHC25"/>
      <c r="AHD25"/>
      <c r="AHE25"/>
      <c r="AHF25"/>
      <c r="AHG25"/>
      <c r="AHH25"/>
      <c r="AHI25"/>
      <c r="AHJ25"/>
      <c r="AHK25"/>
      <c r="AHL25"/>
      <c r="AHM25"/>
      <c r="AHN25"/>
      <c r="AHO25"/>
      <c r="AHP25"/>
      <c r="AHQ25"/>
      <c r="AHR25"/>
      <c r="AHS25"/>
      <c r="AHT25"/>
      <c r="AHU25"/>
      <c r="AHV25"/>
      <c r="AHW25"/>
      <c r="AHX25"/>
      <c r="AHY25"/>
      <c r="AHZ25"/>
      <c r="AIA25"/>
      <c r="AIB25"/>
      <c r="AIC25"/>
      <c r="AID25"/>
      <c r="AIE25"/>
      <c r="AIF25"/>
      <c r="AIG25"/>
      <c r="AIH25"/>
      <c r="AII25"/>
      <c r="AIJ25"/>
      <c r="AIK25"/>
      <c r="AIL25"/>
      <c r="AIM25"/>
      <c r="AIN25"/>
      <c r="AIO25"/>
      <c r="AIP25"/>
      <c r="AIQ25"/>
      <c r="AIR25"/>
      <c r="AIS25"/>
      <c r="AIT25"/>
      <c r="AIU25"/>
      <c r="AIV25"/>
      <c r="AIW25"/>
      <c r="AIX25"/>
      <c r="AIY25"/>
      <c r="AIZ25"/>
      <c r="AJA25"/>
      <c r="AJB25"/>
      <c r="AJC25"/>
      <c r="AJD25"/>
      <c r="AJE25"/>
      <c r="AJF25"/>
      <c r="AJG25"/>
      <c r="AJH25"/>
      <c r="AJI25"/>
      <c r="AJJ25"/>
      <c r="AJK25"/>
      <c r="AJL25"/>
      <c r="AJM25"/>
      <c r="AJN25"/>
      <c r="AJO25"/>
      <c r="AJP25"/>
      <c r="AJQ25"/>
      <c r="AJR25"/>
      <c r="AJS25"/>
      <c r="AJT25"/>
      <c r="AJU25"/>
      <c r="AJV25"/>
      <c r="AJW25"/>
      <c r="AJX25"/>
      <c r="AJY25"/>
      <c r="AJZ25"/>
      <c r="AKA25"/>
      <c r="AKB25"/>
      <c r="AKC25"/>
      <c r="AKD25"/>
      <c r="AKE25"/>
      <c r="AKF25"/>
      <c r="AKG25"/>
      <c r="AKH25"/>
      <c r="AKI25"/>
      <c r="AKJ25"/>
      <c r="AKK25"/>
      <c r="AKL25"/>
      <c r="AKM25"/>
      <c r="AKN25"/>
      <c r="AKO25"/>
      <c r="AKP25"/>
      <c r="AKQ25"/>
      <c r="AKR25"/>
      <c r="AKS25"/>
      <c r="AKT25"/>
      <c r="AKU25"/>
      <c r="AKV25"/>
      <c r="AKW25"/>
      <c r="AKX25"/>
      <c r="AKY25"/>
      <c r="AKZ25"/>
      <c r="ALA25"/>
      <c r="ALB25"/>
      <c r="ALC25"/>
      <c r="ALD25"/>
      <c r="ALE25"/>
      <c r="ALF25"/>
      <c r="ALG25"/>
      <c r="ALH25"/>
      <c r="ALI25"/>
      <c r="ALJ25"/>
      <c r="ALK25"/>
      <c r="ALL25"/>
      <c r="ALM25"/>
      <c r="ALN25"/>
      <c r="ALO25"/>
      <c r="ALP25"/>
      <c r="ALQ25"/>
      <c r="ALR25"/>
      <c r="ALS25"/>
      <c r="ALT25"/>
      <c r="ALU25"/>
      <c r="ALV25"/>
      <c r="ALW25"/>
      <c r="ALX25"/>
      <c r="ALY25"/>
      <c r="ALZ25"/>
      <c r="AMA25"/>
      <c r="AMB25"/>
      <c r="AMC25"/>
      <c r="AMD25"/>
      <c r="AME25"/>
      <c r="AMF25"/>
      <c r="AMG25"/>
      <c r="AMH25"/>
      <c r="AMI25"/>
      <c r="AMJ25"/>
      <c r="AMK25"/>
      <c r="AML25"/>
      <c r="AMM25"/>
      <c r="AMN25"/>
      <c r="AMO25"/>
      <c r="AMP25"/>
      <c r="AMQ25"/>
      <c r="AMR25"/>
      <c r="AMS25"/>
      <c r="AMT25"/>
      <c r="AMU25"/>
      <c r="AMV25"/>
      <c r="AMW25"/>
      <c r="AMX25"/>
      <c r="AMY25"/>
      <c r="AMZ25"/>
      <c r="ANA25"/>
      <c r="ANB25"/>
      <c r="ANC25"/>
      <c r="AND25"/>
      <c r="ANE25"/>
      <c r="ANF25"/>
      <c r="ANG25"/>
      <c r="ANH25"/>
      <c r="ANI25"/>
      <c r="ANJ25"/>
      <c r="ANK25"/>
      <c r="ANL25"/>
      <c r="ANM25"/>
      <c r="ANN25"/>
      <c r="ANO25"/>
      <c r="ANP25"/>
      <c r="ANQ25"/>
      <c r="ANR25"/>
      <c r="ANS25"/>
      <c r="ANT25"/>
      <c r="ANU25"/>
      <c r="ANV25"/>
      <c r="ANW25"/>
      <c r="ANX25"/>
      <c r="ANY25"/>
      <c r="ANZ25"/>
      <c r="AOA25"/>
      <c r="AOB25"/>
      <c r="AOC25"/>
      <c r="AOD25"/>
      <c r="AOE25"/>
      <c r="AOF25"/>
      <c r="AOG25"/>
      <c r="AOH25"/>
      <c r="AOI25"/>
      <c r="AOJ25"/>
      <c r="AOK25"/>
      <c r="AOL25"/>
      <c r="AOM25"/>
      <c r="AON25"/>
      <c r="AOO25"/>
      <c r="AOP25"/>
      <c r="AOQ25"/>
      <c r="AOR25"/>
      <c r="AOS25"/>
      <c r="AOT25"/>
      <c r="AOU25"/>
      <c r="AOV25"/>
      <c r="AOW25"/>
      <c r="AOX25"/>
      <c r="AOY25"/>
      <c r="AOZ25"/>
      <c r="APA25"/>
      <c r="APB25"/>
      <c r="APC25"/>
      <c r="APD25"/>
      <c r="APE25"/>
      <c r="APF25"/>
      <c r="APG25"/>
      <c r="APH25"/>
      <c r="API25"/>
      <c r="APJ25"/>
      <c r="APK25"/>
      <c r="APL25"/>
      <c r="APM25"/>
      <c r="APN25"/>
      <c r="APO25"/>
      <c r="APP25"/>
      <c r="APQ25"/>
      <c r="APR25"/>
      <c r="APS25"/>
      <c r="APT25"/>
      <c r="APU25"/>
      <c r="APV25"/>
      <c r="APW25"/>
      <c r="APX25"/>
      <c r="APY25"/>
      <c r="APZ25"/>
      <c r="AQA25"/>
      <c r="AQB25"/>
      <c r="AQC25"/>
      <c r="AQD25"/>
      <c r="AQE25"/>
      <c r="AQF25"/>
      <c r="AQG25"/>
      <c r="AQH25"/>
      <c r="AQI25"/>
      <c r="AQJ25"/>
      <c r="AQK25">
        <v>40598</v>
      </c>
      <c r="AQL25">
        <v>0.1534066</v>
      </c>
      <c r="AQM25">
        <v>108186</v>
      </c>
      <c r="AQN25">
        <v>0.8436304</v>
      </c>
      <c r="AQO25">
        <v>91269</v>
      </c>
      <c r="AQP25">
        <v>0.78614870000000003</v>
      </c>
      <c r="AQQ25">
        <v>71751</v>
      </c>
      <c r="AQR25">
        <v>0.86984150000000005</v>
      </c>
      <c r="AQS25">
        <v>62412</v>
      </c>
      <c r="AQT25">
        <v>0.47026210000000002</v>
      </c>
      <c r="AQU25">
        <v>62412</v>
      </c>
      <c r="AQV25">
        <v>0.52973789999999998</v>
      </c>
      <c r="AQW25">
        <v>71751</v>
      </c>
      <c r="AQX25">
        <v>0.13015850000000001</v>
      </c>
      <c r="AQY25">
        <v>9339</v>
      </c>
      <c r="AQZ25">
        <v>0.2862191</v>
      </c>
      <c r="ARA25">
        <v>2673</v>
      </c>
      <c r="ARB25">
        <v>0.62850729999999999</v>
      </c>
      <c r="ARC25">
        <v>2673</v>
      </c>
      <c r="ARD25">
        <v>0.37149270000000001</v>
      </c>
      <c r="ARE25">
        <v>9339</v>
      </c>
      <c r="ARF25">
        <v>0.71378090000000005</v>
      </c>
      <c r="ARG25">
        <v>6666</v>
      </c>
      <c r="ARH25">
        <v>0.50180020000000003</v>
      </c>
      <c r="ARI25">
        <v>6666</v>
      </c>
      <c r="ARJ25">
        <v>0.49819980000000003</v>
      </c>
      <c r="ARK25">
        <v>91269</v>
      </c>
      <c r="ARL25">
        <v>0.2138514</v>
      </c>
      <c r="ARM25">
        <v>108186</v>
      </c>
      <c r="ARN25">
        <v>0.1563696</v>
      </c>
      <c r="ARO25">
        <v>16917</v>
      </c>
      <c r="ARP25">
        <v>0.58940709999999996</v>
      </c>
      <c r="ARQ25">
        <v>9971</v>
      </c>
      <c r="ARR25">
        <v>0.39765319999999998</v>
      </c>
      <c r="ARS25">
        <v>3965</v>
      </c>
      <c r="ART25">
        <v>0.61134929999999998</v>
      </c>
      <c r="ARU25">
        <v>3965</v>
      </c>
      <c r="ARV25">
        <v>0.38865070000000002</v>
      </c>
      <c r="ARW25">
        <v>9971</v>
      </c>
      <c r="ARX25">
        <v>0.60234679999999996</v>
      </c>
      <c r="ARY25">
        <v>6006</v>
      </c>
      <c r="ARZ25">
        <v>0.18514820000000001</v>
      </c>
      <c r="ASA25">
        <v>1112</v>
      </c>
      <c r="ASB25">
        <v>0.82374099999999995</v>
      </c>
      <c r="ASC25">
        <v>1112</v>
      </c>
      <c r="ASD25">
        <v>0.176259</v>
      </c>
      <c r="ASE25">
        <v>6006</v>
      </c>
      <c r="ASF25">
        <v>0.81485180000000001</v>
      </c>
      <c r="ASG25">
        <v>4894</v>
      </c>
      <c r="ASH25">
        <v>0.58908870000000002</v>
      </c>
      <c r="ASI25">
        <v>4894</v>
      </c>
      <c r="ASJ25">
        <v>0.41091129999999998</v>
      </c>
      <c r="ASK25">
        <v>16917</v>
      </c>
      <c r="ASL25">
        <v>0.41059289999999998</v>
      </c>
      <c r="ASM25">
        <v>106156</v>
      </c>
      <c r="ASN25">
        <v>0.58734319999999995</v>
      </c>
      <c r="ASO25">
        <v>62350</v>
      </c>
      <c r="ASP25">
        <v>0.3875381</v>
      </c>
      <c r="ASQ25">
        <v>24163</v>
      </c>
      <c r="ASR25">
        <v>0.59806320000000002</v>
      </c>
      <c r="ASS25">
        <v>14451</v>
      </c>
      <c r="AST25">
        <v>0.80520380000000003</v>
      </c>
      <c r="ASU25">
        <v>14451</v>
      </c>
      <c r="ASV25">
        <v>0.1947962</v>
      </c>
      <c r="ASW25">
        <v>24163</v>
      </c>
      <c r="ASX25">
        <v>0.2475272</v>
      </c>
      <c r="ASY25">
        <v>5981</v>
      </c>
      <c r="ASZ25">
        <v>0.42718610000000001</v>
      </c>
      <c r="ATA25">
        <v>5981</v>
      </c>
      <c r="ATB25">
        <v>0.45226549999999999</v>
      </c>
      <c r="ATC25">
        <v>5981</v>
      </c>
      <c r="ATD25">
        <v>0.1205484</v>
      </c>
      <c r="ATE25">
        <v>24163</v>
      </c>
      <c r="ATF25">
        <v>0.10942350000000001</v>
      </c>
      <c r="ATG25">
        <v>2644</v>
      </c>
      <c r="ATH25">
        <v>0.1902421</v>
      </c>
      <c r="ATI25">
        <v>2644</v>
      </c>
      <c r="ATJ25">
        <v>0.1187595</v>
      </c>
      <c r="ATK25">
        <v>2644</v>
      </c>
      <c r="ATL25">
        <v>0.52571860000000004</v>
      </c>
      <c r="ATM25">
        <v>2644</v>
      </c>
      <c r="ATN25">
        <v>0.16527990000000001</v>
      </c>
      <c r="ATO25">
        <v>24163</v>
      </c>
      <c r="ATP25">
        <v>4.4986100000000001E-2</v>
      </c>
      <c r="ATQ25">
        <v>1087</v>
      </c>
      <c r="ATR25">
        <v>0.77552900000000002</v>
      </c>
      <c r="ATS25">
        <v>1087</v>
      </c>
      <c r="ATT25">
        <v>0.224471</v>
      </c>
      <c r="ATU25">
        <v>62350</v>
      </c>
      <c r="ATV25">
        <v>8.5276699999999997E-2</v>
      </c>
      <c r="ATW25">
        <v>5317</v>
      </c>
      <c r="ATX25">
        <v>1.80553E-2</v>
      </c>
      <c r="ATY25">
        <v>5317</v>
      </c>
      <c r="ATZ25">
        <v>0.40699639999999998</v>
      </c>
      <c r="AUA25">
        <v>2164</v>
      </c>
      <c r="AUB25">
        <v>0.3927911</v>
      </c>
      <c r="AUC25">
        <v>2164</v>
      </c>
      <c r="AUD25">
        <v>0.60720879999999999</v>
      </c>
      <c r="AUE25">
        <v>5317</v>
      </c>
      <c r="AUF25">
        <v>0.24750800000000001</v>
      </c>
      <c r="AUG25">
        <v>5317</v>
      </c>
      <c r="AUH25">
        <v>0.29753619999999997</v>
      </c>
      <c r="AUI25">
        <v>5317</v>
      </c>
      <c r="AUJ25">
        <v>2.9904099999999999E-2</v>
      </c>
      <c r="AUK25">
        <v>62350</v>
      </c>
      <c r="AUL25">
        <v>0.2173216</v>
      </c>
      <c r="AUM25">
        <v>13550</v>
      </c>
      <c r="AUN25">
        <v>0.71025830000000001</v>
      </c>
      <c r="AUO25">
        <v>13550</v>
      </c>
      <c r="AUP25">
        <v>0.28974169999999999</v>
      </c>
      <c r="AUQ25">
        <v>62350</v>
      </c>
      <c r="AUR25">
        <v>0.1199519</v>
      </c>
      <c r="AUS25">
        <v>7479</v>
      </c>
      <c r="AUT25">
        <v>1.9922499999999999E-2</v>
      </c>
      <c r="AUU25">
        <v>7479</v>
      </c>
      <c r="AUV25">
        <v>0.43856129999999999</v>
      </c>
      <c r="AUW25">
        <v>7479</v>
      </c>
      <c r="AUX25">
        <v>0.5415162</v>
      </c>
      <c r="AUY25">
        <v>62350</v>
      </c>
      <c r="AUZ25">
        <v>0.18991179999999999</v>
      </c>
      <c r="AVA25">
        <v>11841</v>
      </c>
      <c r="AVB25">
        <v>0.62055570000000004</v>
      </c>
      <c r="AVC25">
        <v>11841</v>
      </c>
      <c r="AVD25">
        <v>0.31171349999999998</v>
      </c>
      <c r="AVE25">
        <v>11841</v>
      </c>
      <c r="AVF25">
        <v>6.7730799999999994E-2</v>
      </c>
      <c r="AVG25">
        <v>106156</v>
      </c>
      <c r="AVH25">
        <v>0.41265679999999999</v>
      </c>
      <c r="AVI25">
        <v>43806</v>
      </c>
      <c r="AVJ25">
        <v>0.45557690000000001</v>
      </c>
      <c r="AVK25">
        <v>19957</v>
      </c>
      <c r="AVL25">
        <v>0.42776969999999997</v>
      </c>
      <c r="AVM25">
        <v>8537</v>
      </c>
      <c r="AVN25">
        <v>0.56635820000000003</v>
      </c>
      <c r="AVO25">
        <v>8537</v>
      </c>
      <c r="AVP25">
        <v>0.43364180000000002</v>
      </c>
      <c r="AVQ25">
        <v>19957</v>
      </c>
      <c r="AVR25">
        <v>5.7774199999999998E-2</v>
      </c>
      <c r="AVS25">
        <v>1153</v>
      </c>
      <c r="AVT25">
        <v>0.56634870000000004</v>
      </c>
      <c r="AVU25">
        <v>1153</v>
      </c>
      <c r="AVV25">
        <v>0.2541197</v>
      </c>
      <c r="AVW25">
        <v>1153</v>
      </c>
      <c r="AVX25">
        <v>0.17953169999999999</v>
      </c>
      <c r="AVY25">
        <v>19957</v>
      </c>
      <c r="AVZ25">
        <v>0.32745400000000002</v>
      </c>
      <c r="AWA25">
        <v>6535</v>
      </c>
      <c r="AWB25">
        <v>0.1190513</v>
      </c>
      <c r="AWC25">
        <v>6535</v>
      </c>
      <c r="AWD25">
        <v>5.7842400000000002E-2</v>
      </c>
      <c r="AWE25">
        <v>6535</v>
      </c>
      <c r="AWF25">
        <v>0.77398619999999996</v>
      </c>
      <c r="AWG25">
        <v>6535</v>
      </c>
      <c r="AWH25">
        <v>4.91201E-2</v>
      </c>
      <c r="AWI25">
        <v>19957</v>
      </c>
      <c r="AWJ25">
        <v>0.187002</v>
      </c>
      <c r="AWK25">
        <v>3732</v>
      </c>
      <c r="AWL25">
        <v>0.77491960000000004</v>
      </c>
      <c r="AWM25">
        <v>3732</v>
      </c>
      <c r="AWN25">
        <v>0.22508040000000001</v>
      </c>
      <c r="AWO25">
        <v>43806</v>
      </c>
      <c r="AWP25">
        <v>0.1144136</v>
      </c>
      <c r="AWQ25">
        <v>5012</v>
      </c>
      <c r="AWR25">
        <v>0.30885879999999999</v>
      </c>
      <c r="AWS25">
        <v>5012</v>
      </c>
      <c r="AWT25">
        <v>3.6113300000000001E-2</v>
      </c>
      <c r="AWU25">
        <v>181</v>
      </c>
      <c r="AWV25">
        <v>0.28176800000000002</v>
      </c>
      <c r="AWW25">
        <v>181</v>
      </c>
      <c r="AWX25">
        <v>0.71823199999999998</v>
      </c>
      <c r="AWY25">
        <v>5012</v>
      </c>
      <c r="AWZ25">
        <v>0.31484440000000002</v>
      </c>
      <c r="AXA25">
        <v>5012</v>
      </c>
      <c r="AXB25">
        <v>2.2346399999999999E-2</v>
      </c>
      <c r="AXC25">
        <v>5012</v>
      </c>
      <c r="AXD25">
        <v>0.31783719999999999</v>
      </c>
      <c r="AXE25">
        <v>43806</v>
      </c>
      <c r="AXF25">
        <v>0.3403872</v>
      </c>
      <c r="AXG25">
        <v>14911</v>
      </c>
      <c r="AXH25">
        <v>0.28824359999999999</v>
      </c>
      <c r="AXI25">
        <v>14911</v>
      </c>
      <c r="AXJ25">
        <v>0.71175639999999996</v>
      </c>
      <c r="AXK25">
        <v>43806</v>
      </c>
      <c r="AXL25">
        <v>2.5111000000000001E-3</v>
      </c>
      <c r="AXM25">
        <v>110</v>
      </c>
      <c r="AXN25">
        <v>0</v>
      </c>
      <c r="AXO25">
        <v>110</v>
      </c>
      <c r="AXP25">
        <v>0</v>
      </c>
      <c r="AXQ25">
        <v>110</v>
      </c>
      <c r="AXR25">
        <v>1</v>
      </c>
      <c r="AXS25">
        <v>43806</v>
      </c>
      <c r="AXT25">
        <v>8.7111400000000005E-2</v>
      </c>
      <c r="AXU25">
        <v>3816</v>
      </c>
      <c r="AXV25">
        <v>0.84355349999999996</v>
      </c>
      <c r="AXW25">
        <v>3816</v>
      </c>
      <c r="AXX25">
        <v>0.13312370000000001</v>
      </c>
      <c r="AXY25">
        <v>3816</v>
      </c>
      <c r="AXZ25">
        <v>2.3322900000000001E-2</v>
      </c>
      <c r="AYA25">
        <v>12753</v>
      </c>
      <c r="AYB25">
        <v>1.3095000000000001E-2</v>
      </c>
      <c r="AYC25">
        <v>12753</v>
      </c>
      <c r="AYD25">
        <v>0.16505919999999999</v>
      </c>
      <c r="AYE25">
        <v>12753</v>
      </c>
      <c r="AYF25">
        <v>0.35936639999999997</v>
      </c>
      <c r="AYG25">
        <v>12753</v>
      </c>
      <c r="AYH25">
        <v>0.35944480000000001</v>
      </c>
      <c r="AYI25">
        <v>12753</v>
      </c>
      <c r="AYJ25">
        <v>5.4026499999999998E-2</v>
      </c>
      <c r="AYK25">
        <v>12753</v>
      </c>
      <c r="AYL25">
        <v>4.5949999999999998E-2</v>
      </c>
      <c r="AYM25">
        <v>12753</v>
      </c>
      <c r="AYN25">
        <v>3.0580999999999998E-3</v>
      </c>
      <c r="AYO25">
        <v>17333</v>
      </c>
      <c r="AYP25">
        <v>3.9750800000000003E-2</v>
      </c>
      <c r="AYQ25">
        <v>17333</v>
      </c>
      <c r="AYR25">
        <v>6.4558900000000002E-2</v>
      </c>
      <c r="AYS25">
        <v>17333</v>
      </c>
      <c r="AYT25">
        <v>0.19356139999999999</v>
      </c>
      <c r="AYU25">
        <v>17333</v>
      </c>
      <c r="AYV25">
        <v>0.29048639999999998</v>
      </c>
      <c r="AYW25">
        <v>17333</v>
      </c>
      <c r="AYX25">
        <v>0.1350026</v>
      </c>
      <c r="AYY25">
        <v>17333</v>
      </c>
      <c r="AYZ25">
        <v>0.2446778</v>
      </c>
      <c r="AZA25">
        <v>17333</v>
      </c>
      <c r="AZB25">
        <v>3.1962200000000003E-2</v>
      </c>
      <c r="AZC25">
        <v>22225</v>
      </c>
      <c r="AZD25">
        <v>4.2024699999999998E-2</v>
      </c>
      <c r="AZE25">
        <v>22225</v>
      </c>
      <c r="AZF25">
        <v>3.8020199999999997E-2</v>
      </c>
      <c r="AZG25">
        <v>22225</v>
      </c>
      <c r="AZH25">
        <v>0.2314061</v>
      </c>
      <c r="AZI25">
        <v>22225</v>
      </c>
      <c r="AZJ25">
        <v>0.24751409999999999</v>
      </c>
      <c r="AZK25">
        <v>22225</v>
      </c>
      <c r="AZL25">
        <v>7.2170999999999999E-2</v>
      </c>
      <c r="AZM25">
        <v>22225</v>
      </c>
      <c r="AZN25">
        <v>0.2422947</v>
      </c>
      <c r="AZO25">
        <v>22225</v>
      </c>
      <c r="AZP25">
        <v>0.12656919999999999</v>
      </c>
      <c r="AZQ25">
        <v>44591</v>
      </c>
      <c r="AZR25">
        <v>2.4601399999999999E-2</v>
      </c>
      <c r="AZS25">
        <v>44591</v>
      </c>
      <c r="AZT25">
        <v>6.7659399999999995E-2</v>
      </c>
      <c r="AZU25">
        <v>44591</v>
      </c>
      <c r="AZV25">
        <v>0.2467538</v>
      </c>
      <c r="AZW25">
        <v>44591</v>
      </c>
      <c r="AZX25">
        <v>0.25841540000000002</v>
      </c>
      <c r="AZY25">
        <v>44591</v>
      </c>
      <c r="AZZ25">
        <v>8.43444E-2</v>
      </c>
      <c r="BAA25">
        <v>44591</v>
      </c>
      <c r="BAB25">
        <v>0.21665809999999999</v>
      </c>
      <c r="BAC25">
        <v>44591</v>
      </c>
      <c r="BAD25">
        <v>0.10156759999999999</v>
      </c>
      <c r="BAE25">
        <v>14797</v>
      </c>
      <c r="BAF25">
        <v>5.2510599999999998E-2</v>
      </c>
      <c r="BAG25">
        <v>14797</v>
      </c>
      <c r="BAH25">
        <v>8.3057400000000003E-2</v>
      </c>
      <c r="BAI25">
        <v>14797</v>
      </c>
      <c r="BAJ25">
        <v>0.34351559999999998</v>
      </c>
      <c r="BAK25">
        <v>14797</v>
      </c>
      <c r="BAL25">
        <v>0.21186730000000001</v>
      </c>
      <c r="BAM25">
        <v>14797</v>
      </c>
      <c r="BAN25">
        <v>3.04116E-2</v>
      </c>
      <c r="BAO25">
        <v>14797</v>
      </c>
      <c r="BAP25">
        <v>0.14252889999999999</v>
      </c>
      <c r="BAQ25">
        <v>14797</v>
      </c>
      <c r="BAR25">
        <v>0.1361087</v>
      </c>
      <c r="BAS25">
        <v>11376</v>
      </c>
      <c r="BAT25">
        <v>3.9908600000000002E-2</v>
      </c>
      <c r="BAU25">
        <v>11376</v>
      </c>
      <c r="BAV25">
        <v>0.1213959</v>
      </c>
      <c r="BAW25">
        <v>11376</v>
      </c>
      <c r="BAX25">
        <v>0.26169130000000002</v>
      </c>
      <c r="BAY25">
        <v>11376</v>
      </c>
      <c r="BAZ25">
        <v>0.45508090000000001</v>
      </c>
      <c r="BBA25">
        <v>11376</v>
      </c>
      <c r="BBB25">
        <v>4.7204599999999999E-2</v>
      </c>
      <c r="BBC25">
        <v>11376</v>
      </c>
      <c r="BBD25">
        <v>6.9971900000000004E-2</v>
      </c>
      <c r="BBE25">
        <v>11376</v>
      </c>
      <c r="BBF25">
        <v>4.7467999999999998E-3</v>
      </c>
      <c r="BBG25">
        <v>16885</v>
      </c>
      <c r="BBH25">
        <v>2.2623600000000001E-2</v>
      </c>
      <c r="BBI25">
        <v>16885</v>
      </c>
      <c r="BBJ25">
        <v>4.1279200000000002E-2</v>
      </c>
      <c r="BBK25">
        <v>16885</v>
      </c>
      <c r="BBL25">
        <v>0.17453360000000001</v>
      </c>
      <c r="BBM25">
        <v>16885</v>
      </c>
      <c r="BBN25">
        <v>0.279005</v>
      </c>
      <c r="BBO25">
        <v>16885</v>
      </c>
      <c r="BBP25">
        <v>8.2203100000000001E-2</v>
      </c>
      <c r="BBQ25">
        <v>16885</v>
      </c>
      <c r="BBR25">
        <v>0.28551969999999999</v>
      </c>
      <c r="BBS25">
        <v>16885</v>
      </c>
      <c r="BBT25">
        <v>0.1148356</v>
      </c>
      <c r="BBU25">
        <v>23273</v>
      </c>
      <c r="BBV25">
        <v>5.7147799999999999E-2</v>
      </c>
      <c r="BBW25">
        <v>23273</v>
      </c>
      <c r="BBX25">
        <v>2.0237999999999999E-2</v>
      </c>
      <c r="BBY25">
        <v>23273</v>
      </c>
      <c r="BBZ25">
        <v>0.1903493</v>
      </c>
      <c r="BCA25">
        <v>23273</v>
      </c>
      <c r="BCB25">
        <v>0.26369609999999999</v>
      </c>
      <c r="BCC25">
        <v>23273</v>
      </c>
      <c r="BCD25">
        <v>0.1436858</v>
      </c>
      <c r="BCE25">
        <v>23273</v>
      </c>
      <c r="BCF25">
        <v>0.21853649999999999</v>
      </c>
      <c r="BCG25">
        <v>23273</v>
      </c>
      <c r="BCH25">
        <v>0.10634639999999999</v>
      </c>
      <c r="BCI25">
        <v>45283</v>
      </c>
      <c r="BCJ25">
        <v>1.8284999999999999E-2</v>
      </c>
      <c r="BCK25">
        <v>45283</v>
      </c>
      <c r="BCL25">
        <v>4.00813E-2</v>
      </c>
      <c r="BCM25">
        <v>45283</v>
      </c>
      <c r="BCN25">
        <v>0.29640260000000002</v>
      </c>
      <c r="BCO25">
        <v>45283</v>
      </c>
      <c r="BCP25">
        <v>0.25718259999999998</v>
      </c>
      <c r="BCQ25">
        <v>45283</v>
      </c>
      <c r="BCR25">
        <v>9.6482100000000001E-2</v>
      </c>
      <c r="BCS25">
        <v>45283</v>
      </c>
      <c r="BCT25">
        <v>0.2046684</v>
      </c>
      <c r="BCU25">
        <v>45283</v>
      </c>
      <c r="BCV25">
        <v>8.6898000000000003E-2</v>
      </c>
      <c r="BCW25">
        <v>17953</v>
      </c>
      <c r="BCX25">
        <v>7.8705499999999998E-2</v>
      </c>
      <c r="BCY25">
        <v>17953</v>
      </c>
      <c r="BCZ25">
        <v>8.1880499999999995E-2</v>
      </c>
      <c r="BDA25">
        <v>17953</v>
      </c>
      <c r="BDB25">
        <v>0.4574723</v>
      </c>
      <c r="BDC25">
        <v>17953</v>
      </c>
      <c r="BDD25">
        <v>0.19913110000000001</v>
      </c>
      <c r="BDE25">
        <v>17953</v>
      </c>
      <c r="BDF25">
        <v>6.5003099999999994E-2</v>
      </c>
      <c r="BDG25">
        <v>17953</v>
      </c>
      <c r="BDH25">
        <v>7.7758599999999997E-2</v>
      </c>
      <c r="BDI25">
        <v>17953</v>
      </c>
      <c r="BDJ25">
        <v>4.0049000000000001E-2</v>
      </c>
      <c r="BDK25">
        <v>72861</v>
      </c>
      <c r="BDL25">
        <v>5.6573499999999999E-2</v>
      </c>
      <c r="BDM25">
        <v>4122</v>
      </c>
      <c r="BDN25">
        <v>0.75861230000000002</v>
      </c>
      <c r="BDO25">
        <v>3127</v>
      </c>
      <c r="BDP25">
        <v>0.56443880000000002</v>
      </c>
      <c r="BDQ25">
        <v>3127</v>
      </c>
      <c r="BDR25">
        <v>0.43556119999999998</v>
      </c>
      <c r="BDS25">
        <v>4122</v>
      </c>
      <c r="BDT25">
        <v>0.24138770000000001</v>
      </c>
      <c r="BDU25">
        <v>995</v>
      </c>
      <c r="BDV25">
        <v>0.52562810000000004</v>
      </c>
      <c r="BDW25">
        <v>995</v>
      </c>
      <c r="BDX25">
        <v>0.47437190000000001</v>
      </c>
      <c r="BDY25">
        <v>72861</v>
      </c>
      <c r="BDZ25">
        <v>0.94342649999999995</v>
      </c>
      <c r="BEA25">
        <v>68739</v>
      </c>
      <c r="BEB25">
        <v>0.56410479999999996</v>
      </c>
      <c r="BEC25">
        <v>38776</v>
      </c>
      <c r="BED25">
        <v>0.72062619999999999</v>
      </c>
      <c r="BEE25">
        <v>38776</v>
      </c>
      <c r="BEF25">
        <v>0.27937380000000001</v>
      </c>
      <c r="BEG25">
        <v>68739</v>
      </c>
      <c r="BEH25">
        <v>0.43589519999999998</v>
      </c>
      <c r="BEI25">
        <v>29963</v>
      </c>
      <c r="BEJ25">
        <v>0.78510170000000001</v>
      </c>
      <c r="BEK25">
        <v>29963</v>
      </c>
      <c r="BEL25">
        <v>0.21489839999999999</v>
      </c>
      <c r="BEM25">
        <v>147104</v>
      </c>
      <c r="BEN25">
        <v>0.55078720000000003</v>
      </c>
      <c r="BEO25">
        <v>81023</v>
      </c>
      <c r="BEP25">
        <v>0.79187390000000002</v>
      </c>
      <c r="BEQ25">
        <v>64160</v>
      </c>
      <c r="BER25">
        <v>0.19283040000000001</v>
      </c>
      <c r="BES25">
        <v>64160</v>
      </c>
      <c r="BET25">
        <v>0.80716960000000004</v>
      </c>
      <c r="BEU25">
        <v>81023</v>
      </c>
      <c r="BEV25">
        <v>0.20812610000000001</v>
      </c>
      <c r="BEW25">
        <v>147104</v>
      </c>
      <c r="BEX25">
        <v>0.44921280000000002</v>
      </c>
      <c r="BEY25">
        <v>66081</v>
      </c>
      <c r="BEZ25">
        <v>0.81059610000000004</v>
      </c>
      <c r="BFA25">
        <v>53565</v>
      </c>
      <c r="BFB25">
        <v>0.2159432</v>
      </c>
      <c r="BFC25">
        <v>53565</v>
      </c>
      <c r="BFD25">
        <v>0.7840568</v>
      </c>
      <c r="BFE25">
        <v>66081</v>
      </c>
      <c r="BFF25">
        <v>0.18940389999999999</v>
      </c>
      <c r="BFG25">
        <v>154148</v>
      </c>
      <c r="BFH25">
        <v>0.27537820000000002</v>
      </c>
      <c r="BFI25">
        <v>42449</v>
      </c>
      <c r="BFJ25">
        <v>0.95959859999999997</v>
      </c>
      <c r="BFK25">
        <v>42449</v>
      </c>
      <c r="BFL25">
        <v>4.0401399999999997E-2</v>
      </c>
      <c r="BFM25">
        <v>1715</v>
      </c>
      <c r="BFN25">
        <v>0.39300289999999999</v>
      </c>
      <c r="BFO25">
        <v>1715</v>
      </c>
      <c r="BFP25">
        <v>0.60699709999999996</v>
      </c>
      <c r="BFQ25">
        <v>154148</v>
      </c>
      <c r="BFR25">
        <v>0.72462179999999998</v>
      </c>
      <c r="BFS25">
        <v>111699</v>
      </c>
      <c r="BFT25">
        <v>0.86737569999999997</v>
      </c>
      <c r="BFU25">
        <v>111699</v>
      </c>
      <c r="BFV25">
        <v>0.1326243</v>
      </c>
      <c r="BFW25">
        <v>14814</v>
      </c>
      <c r="BFX25">
        <v>0.49014449999999998</v>
      </c>
      <c r="BFY25">
        <v>14814</v>
      </c>
      <c r="BFZ25">
        <v>0.50985559999999996</v>
      </c>
      <c r="BGA25">
        <v>154796</v>
      </c>
      <c r="BGB25">
        <v>0.25857259999999999</v>
      </c>
      <c r="BGC25">
        <v>40026</v>
      </c>
      <c r="BGD25">
        <v>0.96197469999999996</v>
      </c>
      <c r="BGE25">
        <v>40026</v>
      </c>
      <c r="BGF25">
        <v>3.8025299999999998E-2</v>
      </c>
      <c r="BGG25">
        <v>1522</v>
      </c>
      <c r="BGH25">
        <v>0.24572930000000001</v>
      </c>
      <c r="BGI25">
        <v>1522</v>
      </c>
      <c r="BGJ25">
        <v>0.75427069999999996</v>
      </c>
      <c r="BGK25">
        <v>154796</v>
      </c>
      <c r="BGL25">
        <v>0.74142739999999996</v>
      </c>
      <c r="BGM25">
        <v>114770</v>
      </c>
      <c r="BGN25">
        <v>0.87185670000000004</v>
      </c>
      <c r="BGO25">
        <v>114770</v>
      </c>
      <c r="BGP25">
        <v>0.12814320000000001</v>
      </c>
      <c r="BGQ25">
        <v>14707</v>
      </c>
      <c r="BGR25">
        <v>0.57836399999999999</v>
      </c>
      <c r="BGS25">
        <v>14707</v>
      </c>
      <c r="BGT25">
        <v>0.42163600000000001</v>
      </c>
    </row>
    <row r="26" spans="1:1554" x14ac:dyDescent="0.25">
      <c r="A26" t="s">
        <v>132</v>
      </c>
      <c r="B26">
        <v>2012</v>
      </c>
      <c r="C26">
        <v>1</v>
      </c>
      <c r="D26" t="s">
        <v>563</v>
      </c>
      <c r="E26">
        <v>24232</v>
      </c>
      <c r="F26">
        <v>0.51398969999999999</v>
      </c>
      <c r="G26">
        <v>12455</v>
      </c>
      <c r="H26">
        <v>0.1460458</v>
      </c>
      <c r="I26">
        <v>12455</v>
      </c>
      <c r="J26">
        <v>1.2042999999999999E-3</v>
      </c>
      <c r="K26">
        <v>12455</v>
      </c>
      <c r="L26">
        <v>0.1140104</v>
      </c>
      <c r="M26">
        <v>12455</v>
      </c>
      <c r="N26">
        <v>8.1573699999999999E-2</v>
      </c>
      <c r="O26">
        <v>12455</v>
      </c>
      <c r="P26">
        <v>5.9414000000000003E-3</v>
      </c>
      <c r="Q26">
        <v>12455</v>
      </c>
      <c r="R26">
        <v>6.61582E-2</v>
      </c>
      <c r="S26">
        <v>12455</v>
      </c>
      <c r="T26">
        <v>0.13311919999999999</v>
      </c>
      <c r="U26">
        <v>12455</v>
      </c>
      <c r="V26">
        <v>9.8514699999999997E-2</v>
      </c>
      <c r="W26">
        <v>12455</v>
      </c>
      <c r="X26">
        <v>7.5150499999999995E-2</v>
      </c>
      <c r="Y26">
        <v>12455</v>
      </c>
      <c r="Z26">
        <v>0.16041749999999999</v>
      </c>
      <c r="AA26">
        <v>12455</v>
      </c>
      <c r="AB26">
        <v>7.6114000000000001E-2</v>
      </c>
      <c r="AC26">
        <v>12455</v>
      </c>
      <c r="AD26">
        <v>2.0794900000000002E-2</v>
      </c>
      <c r="AE26">
        <v>12455</v>
      </c>
      <c r="AF26">
        <v>2.0955399999999999E-2</v>
      </c>
      <c r="AG26">
        <v>24232</v>
      </c>
      <c r="AH26">
        <v>0.4860102</v>
      </c>
      <c r="AI26">
        <v>11777</v>
      </c>
      <c r="AJ26">
        <v>8.8562500000000002E-2</v>
      </c>
      <c r="AK26">
        <v>11777</v>
      </c>
      <c r="AL26">
        <v>1.55388E-2</v>
      </c>
      <c r="AM26">
        <v>11777</v>
      </c>
      <c r="AN26">
        <v>7.9137299999999994E-2</v>
      </c>
      <c r="AO26">
        <v>11777</v>
      </c>
      <c r="AP26">
        <v>6.5976099999999996E-2</v>
      </c>
      <c r="AQ26">
        <v>11777</v>
      </c>
      <c r="AR26">
        <v>5.0522200000000003E-2</v>
      </c>
      <c r="AS26">
        <v>11777</v>
      </c>
      <c r="AT26">
        <v>2.2161799999999999E-2</v>
      </c>
      <c r="AU26">
        <v>11777</v>
      </c>
      <c r="AV26">
        <v>0.1513119</v>
      </c>
      <c r="AW26">
        <v>11777</v>
      </c>
      <c r="AX26">
        <v>0.1136113</v>
      </c>
      <c r="AY26">
        <v>11777</v>
      </c>
      <c r="AZ26">
        <v>0.1238006</v>
      </c>
      <c r="BA26">
        <v>11777</v>
      </c>
      <c r="BB26">
        <v>6.8523399999999998E-2</v>
      </c>
      <c r="BC26">
        <v>11777</v>
      </c>
      <c r="BD26">
        <v>0.1046107</v>
      </c>
      <c r="BE26">
        <v>11777</v>
      </c>
      <c r="BF26">
        <v>6.0711599999999998E-2</v>
      </c>
      <c r="BG26">
        <v>11777</v>
      </c>
      <c r="BH26">
        <v>5.5531999999999998E-2</v>
      </c>
      <c r="BI26">
        <v>281958</v>
      </c>
      <c r="BJ26">
        <v>0.4949035</v>
      </c>
      <c r="BK26">
        <v>139542</v>
      </c>
      <c r="BL26">
        <v>5.1912699999999999E-2</v>
      </c>
      <c r="BM26">
        <v>139542</v>
      </c>
      <c r="BN26">
        <v>1.1150800000000001E-2</v>
      </c>
      <c r="BO26">
        <v>139542</v>
      </c>
      <c r="BP26">
        <v>9.2767799999999997E-2</v>
      </c>
      <c r="BQ26">
        <v>139542</v>
      </c>
      <c r="BR26">
        <v>4.8265000000000002E-2</v>
      </c>
      <c r="BS26">
        <v>139542</v>
      </c>
      <c r="BT26">
        <v>1.7657800000000001E-2</v>
      </c>
      <c r="BU26">
        <v>139542</v>
      </c>
      <c r="BV26">
        <v>3.2864699999999997E-2</v>
      </c>
      <c r="BW26">
        <v>139542</v>
      </c>
      <c r="BX26">
        <v>8.0835900000000002E-2</v>
      </c>
      <c r="BY26">
        <v>139542</v>
      </c>
      <c r="BZ26">
        <v>0.11447450000000001</v>
      </c>
      <c r="CA26">
        <v>139542</v>
      </c>
      <c r="CB26">
        <v>0.1436772</v>
      </c>
      <c r="CC26">
        <v>139542</v>
      </c>
      <c r="CD26">
        <v>0.1746858</v>
      </c>
      <c r="CE26">
        <v>139542</v>
      </c>
      <c r="CF26">
        <v>0.1242637</v>
      </c>
      <c r="CG26">
        <v>139542</v>
      </c>
      <c r="CH26">
        <v>7.1949700000000005E-2</v>
      </c>
      <c r="CI26">
        <v>139542</v>
      </c>
      <c r="CJ26">
        <v>3.5494699999999997E-2</v>
      </c>
      <c r="CK26">
        <v>281958</v>
      </c>
      <c r="CL26">
        <v>0.50509649999999995</v>
      </c>
      <c r="CM26">
        <v>142416</v>
      </c>
      <c r="CN26">
        <v>5.2599399999999998E-2</v>
      </c>
      <c r="CO26">
        <v>142416</v>
      </c>
      <c r="CP26">
        <v>1.27514E-2</v>
      </c>
      <c r="CQ26">
        <v>142416</v>
      </c>
      <c r="CR26">
        <v>9.0481400000000003E-2</v>
      </c>
      <c r="CS26">
        <v>142416</v>
      </c>
      <c r="CT26">
        <v>4.0999599999999997E-2</v>
      </c>
      <c r="CU26">
        <v>142416</v>
      </c>
      <c r="CV26">
        <v>1.7231199999999999E-2</v>
      </c>
      <c r="CW26">
        <v>142416</v>
      </c>
      <c r="CX26">
        <v>3.3128299999999999E-2</v>
      </c>
      <c r="CY26">
        <v>142416</v>
      </c>
      <c r="CZ26">
        <v>7.4907299999999996E-2</v>
      </c>
      <c r="DA26">
        <v>142416</v>
      </c>
      <c r="DB26">
        <v>0.1045529</v>
      </c>
      <c r="DC26">
        <v>142416</v>
      </c>
      <c r="DD26">
        <v>0.1485156</v>
      </c>
      <c r="DE26">
        <v>142416</v>
      </c>
      <c r="DF26">
        <v>0.18201609999999999</v>
      </c>
      <c r="DG26">
        <v>142416</v>
      </c>
      <c r="DH26">
        <v>0.12385549999999999</v>
      </c>
      <c r="DI26">
        <v>142416</v>
      </c>
      <c r="DJ26">
        <v>7.1796700000000005E-2</v>
      </c>
      <c r="DK26">
        <v>142416</v>
      </c>
      <c r="DL26">
        <v>4.7164600000000001E-2</v>
      </c>
      <c r="DM26">
        <v>201109</v>
      </c>
      <c r="DN26">
        <v>5.8838700000000001E-2</v>
      </c>
      <c r="DO26">
        <v>11833</v>
      </c>
      <c r="DP26">
        <v>0.4757035</v>
      </c>
      <c r="DQ26">
        <v>98361</v>
      </c>
      <c r="DR26">
        <v>5.7228000000000001E-2</v>
      </c>
      <c r="DS26">
        <v>5629</v>
      </c>
      <c r="DT26">
        <v>0.1888435</v>
      </c>
      <c r="DU26">
        <v>7581</v>
      </c>
      <c r="DV26">
        <v>0.14021900000000001</v>
      </c>
      <c r="DW26">
        <v>5629</v>
      </c>
      <c r="DX26">
        <v>0.46455849999999999</v>
      </c>
      <c r="DY26">
        <v>26759</v>
      </c>
      <c r="DZ26">
        <v>9.7724099999999994E-2</v>
      </c>
      <c r="EA26">
        <v>5629</v>
      </c>
      <c r="EB26">
        <v>0.2130041</v>
      </c>
      <c r="EC26">
        <v>31829</v>
      </c>
      <c r="ED26">
        <v>3.7670000000000002E-2</v>
      </c>
      <c r="EE26">
        <v>5629</v>
      </c>
      <c r="EF26">
        <v>0.13359389999999999</v>
      </c>
      <c r="EG26">
        <v>32192</v>
      </c>
      <c r="EH26">
        <v>2.33598E-2</v>
      </c>
      <c r="EI26">
        <v>11833</v>
      </c>
      <c r="EJ26">
        <v>0.52429650000000005</v>
      </c>
      <c r="EK26">
        <v>102748</v>
      </c>
      <c r="EL26">
        <v>6.0380700000000002E-2</v>
      </c>
      <c r="EM26">
        <v>6204</v>
      </c>
      <c r="EN26">
        <v>0.2453256</v>
      </c>
      <c r="EO26">
        <v>8436</v>
      </c>
      <c r="EP26">
        <v>0.1804173</v>
      </c>
      <c r="EQ26">
        <v>6204</v>
      </c>
      <c r="ER26">
        <v>0.33671820000000002</v>
      </c>
      <c r="ES26">
        <v>27080</v>
      </c>
      <c r="ET26">
        <v>7.7141799999999996E-2</v>
      </c>
      <c r="EU26">
        <v>6204</v>
      </c>
      <c r="EV26">
        <v>0.24210190000000001</v>
      </c>
      <c r="EW26">
        <v>32648</v>
      </c>
      <c r="EX26">
        <v>4.6005900000000002E-2</v>
      </c>
      <c r="EY26">
        <v>6204</v>
      </c>
      <c r="EZ26">
        <v>0.17585429999999999</v>
      </c>
      <c r="FA26">
        <v>34584</v>
      </c>
      <c r="FB26">
        <v>3.1546400000000002E-2</v>
      </c>
      <c r="FC26">
        <v>201109</v>
      </c>
      <c r="FD26">
        <v>0.94116129999999998</v>
      </c>
      <c r="FE26">
        <v>189276</v>
      </c>
      <c r="FF26">
        <v>0.48993009999999998</v>
      </c>
      <c r="FG26">
        <v>98361</v>
      </c>
      <c r="FH26">
        <v>0.94277200000000005</v>
      </c>
      <c r="FI26">
        <v>92732</v>
      </c>
      <c r="FJ26">
        <v>7.0288600000000007E-2</v>
      </c>
      <c r="FK26">
        <v>7581</v>
      </c>
      <c r="FL26">
        <v>0.85978100000000002</v>
      </c>
      <c r="FM26">
        <v>92732</v>
      </c>
      <c r="FN26">
        <v>0.26036320000000002</v>
      </c>
      <c r="FO26">
        <v>26759</v>
      </c>
      <c r="FP26">
        <v>0.90227590000000002</v>
      </c>
      <c r="FQ26">
        <v>92732</v>
      </c>
      <c r="FR26">
        <v>0.33030670000000001</v>
      </c>
      <c r="FS26">
        <v>31829</v>
      </c>
      <c r="FT26">
        <v>0.96232989999999996</v>
      </c>
      <c r="FU26">
        <v>92732</v>
      </c>
      <c r="FV26">
        <v>0.3390415</v>
      </c>
      <c r="FW26">
        <v>32192</v>
      </c>
      <c r="FX26">
        <v>0.97664019999999996</v>
      </c>
      <c r="FY26">
        <v>189276</v>
      </c>
      <c r="FZ26">
        <v>0.51007000000000002</v>
      </c>
      <c r="GA26">
        <v>102748</v>
      </c>
      <c r="GB26">
        <v>0.93961919999999999</v>
      </c>
      <c r="GC26">
        <v>96544</v>
      </c>
      <c r="GD26">
        <v>7.1614999999999998E-2</v>
      </c>
      <c r="GE26">
        <v>8436</v>
      </c>
      <c r="GF26">
        <v>0.81958279999999994</v>
      </c>
      <c r="GG26">
        <v>96544</v>
      </c>
      <c r="GH26">
        <v>0.25885609999999998</v>
      </c>
      <c r="GI26">
        <v>27080</v>
      </c>
      <c r="GJ26">
        <v>0.92285819999999996</v>
      </c>
      <c r="GK26">
        <v>96544</v>
      </c>
      <c r="GL26">
        <v>0.32260939999999999</v>
      </c>
      <c r="GM26">
        <v>32648</v>
      </c>
      <c r="GN26">
        <v>0.95399409999999996</v>
      </c>
      <c r="GO26">
        <v>96544</v>
      </c>
      <c r="GP26">
        <v>0.34691949999999999</v>
      </c>
      <c r="GQ26">
        <v>34584</v>
      </c>
      <c r="GR26">
        <v>0.96845360000000003</v>
      </c>
      <c r="GS26">
        <v>236886</v>
      </c>
      <c r="GT26">
        <v>6.9054299999999999E-2</v>
      </c>
      <c r="GU26">
        <v>16358</v>
      </c>
      <c r="GV26">
        <v>0.49584299999999998</v>
      </c>
      <c r="GW26">
        <v>8111</v>
      </c>
      <c r="GX26">
        <v>0.11798790000000001</v>
      </c>
      <c r="GY26">
        <v>8111</v>
      </c>
      <c r="GZ26">
        <v>0.3961287</v>
      </c>
      <c r="HA26">
        <v>8111</v>
      </c>
      <c r="HB26">
        <v>0.48588340000000002</v>
      </c>
      <c r="HC26">
        <v>8111</v>
      </c>
      <c r="HD26">
        <v>0.65651579999999998</v>
      </c>
      <c r="HE26">
        <v>8111</v>
      </c>
      <c r="HF26">
        <v>0.34348420000000002</v>
      </c>
      <c r="HG26">
        <v>5325</v>
      </c>
      <c r="HH26">
        <v>0.5701408</v>
      </c>
      <c r="HI26">
        <v>5325</v>
      </c>
      <c r="HJ26">
        <v>0.4298592</v>
      </c>
      <c r="HK26">
        <v>16358</v>
      </c>
      <c r="HL26">
        <v>0.50415699999999997</v>
      </c>
      <c r="HM26">
        <v>8247</v>
      </c>
      <c r="HN26">
        <v>7.5300099999999995E-2</v>
      </c>
      <c r="HO26">
        <v>8247</v>
      </c>
      <c r="HP26">
        <v>0.40281309999999998</v>
      </c>
      <c r="HQ26">
        <v>8247</v>
      </c>
      <c r="HR26">
        <v>0.52188679999999998</v>
      </c>
      <c r="HS26">
        <v>8247</v>
      </c>
      <c r="HT26">
        <v>0.50491090000000005</v>
      </c>
      <c r="HU26">
        <v>8247</v>
      </c>
      <c r="HV26">
        <v>0.4950891</v>
      </c>
      <c r="HW26">
        <v>4164</v>
      </c>
      <c r="HX26">
        <v>0.74495679999999997</v>
      </c>
      <c r="HY26">
        <v>4164</v>
      </c>
      <c r="HZ26">
        <v>0.25504320000000003</v>
      </c>
      <c r="IA26">
        <v>236886</v>
      </c>
      <c r="IB26">
        <v>0.93094569999999999</v>
      </c>
      <c r="IC26">
        <v>220528</v>
      </c>
      <c r="ID26">
        <v>0.49244539999999998</v>
      </c>
      <c r="IE26">
        <v>108598</v>
      </c>
      <c r="IF26">
        <v>0.55429200000000001</v>
      </c>
      <c r="IG26">
        <v>108598</v>
      </c>
      <c r="IH26">
        <v>0.2394519</v>
      </c>
      <c r="II26">
        <v>108598</v>
      </c>
      <c r="IJ26">
        <v>0.2062561</v>
      </c>
      <c r="IK26">
        <v>108489</v>
      </c>
      <c r="IL26">
        <v>0.79181299999999999</v>
      </c>
      <c r="IM26">
        <v>108489</v>
      </c>
      <c r="IN26">
        <v>0.20818700000000001</v>
      </c>
      <c r="IO26">
        <v>85903</v>
      </c>
      <c r="IP26">
        <v>0.91429870000000002</v>
      </c>
      <c r="IQ26">
        <v>85903</v>
      </c>
      <c r="IR26">
        <v>8.5701299999999994E-2</v>
      </c>
      <c r="IS26">
        <v>220528</v>
      </c>
      <c r="IT26">
        <v>0.50755459999999997</v>
      </c>
      <c r="IU26">
        <v>111930</v>
      </c>
      <c r="IV26">
        <v>0.39998210000000001</v>
      </c>
      <c r="IW26">
        <v>111930</v>
      </c>
      <c r="IX26">
        <v>0.27694990000000003</v>
      </c>
      <c r="IY26">
        <v>111930</v>
      </c>
      <c r="IZ26">
        <v>0.32306800000000002</v>
      </c>
      <c r="JA26">
        <v>111882</v>
      </c>
      <c r="JB26">
        <v>0.67498789999999997</v>
      </c>
      <c r="JC26">
        <v>111882</v>
      </c>
      <c r="JD26">
        <v>0.32501210000000003</v>
      </c>
      <c r="JE26">
        <v>75519</v>
      </c>
      <c r="JF26">
        <v>0.91922559999999998</v>
      </c>
      <c r="JG26">
        <v>75519</v>
      </c>
      <c r="JH26">
        <v>8.0774399999999996E-2</v>
      </c>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c r="MG26"/>
      <c r="MH26"/>
      <c r="MI26"/>
      <c r="MJ26"/>
      <c r="MK26"/>
      <c r="ML26"/>
      <c r="MM26"/>
      <c r="MN26"/>
      <c r="MO26"/>
      <c r="MP26"/>
      <c r="MQ26"/>
      <c r="MR26"/>
      <c r="MS26"/>
      <c r="MT26"/>
      <c r="MU26"/>
      <c r="MV26"/>
      <c r="MW26"/>
      <c r="MX26"/>
      <c r="MY26"/>
      <c r="MZ26"/>
      <c r="NA26"/>
      <c r="NB26"/>
      <c r="NC26"/>
      <c r="ND26"/>
      <c r="NE26"/>
      <c r="NF26"/>
      <c r="NG26"/>
      <c r="NH26"/>
      <c r="NI26"/>
      <c r="NJ26"/>
      <c r="NK26"/>
      <c r="NL26"/>
      <c r="NM26"/>
      <c r="NN26"/>
      <c r="NO26"/>
      <c r="NP26"/>
      <c r="NQ26"/>
      <c r="NR26"/>
      <c r="NS26"/>
      <c r="NT26"/>
      <c r="NU26"/>
      <c r="NV26"/>
      <c r="NW26"/>
      <c r="NX26"/>
      <c r="NY26"/>
      <c r="NZ26"/>
      <c r="OA26"/>
      <c r="OB26"/>
      <c r="OC26"/>
      <c r="OD26"/>
      <c r="OE26"/>
      <c r="OF26"/>
      <c r="OG26"/>
      <c r="OH26"/>
      <c r="OI26"/>
      <c r="OJ26"/>
      <c r="OK26"/>
      <c r="OL26"/>
      <c r="OM26"/>
      <c r="ON26"/>
      <c r="OO26"/>
      <c r="OP26"/>
      <c r="OQ26"/>
      <c r="OR26"/>
      <c r="OS26"/>
      <c r="OT26"/>
      <c r="OU26"/>
      <c r="OV26"/>
      <c r="OW26"/>
      <c r="OX26"/>
      <c r="OY26"/>
      <c r="OZ26"/>
      <c r="PA26"/>
      <c r="PB26"/>
      <c r="PC26"/>
      <c r="PD26"/>
      <c r="PE26"/>
      <c r="PF26"/>
      <c r="PG26"/>
      <c r="PH26"/>
      <c r="PI26"/>
      <c r="PJ26"/>
      <c r="PK26"/>
      <c r="PL26"/>
      <c r="PM26">
        <v>308145</v>
      </c>
      <c r="PN26">
        <v>0.49581530000000001</v>
      </c>
      <c r="PO26">
        <v>152783</v>
      </c>
      <c r="PP26">
        <v>5.9882299999999999E-2</v>
      </c>
      <c r="PQ26">
        <v>152783</v>
      </c>
      <c r="PR26">
        <v>7.2671700000000006E-2</v>
      </c>
      <c r="PS26">
        <v>152783</v>
      </c>
      <c r="PT26">
        <v>8.3733100000000005E-2</v>
      </c>
      <c r="PU26">
        <v>152783</v>
      </c>
      <c r="PV26">
        <v>5.2021499999999998E-2</v>
      </c>
      <c r="PW26">
        <v>152783</v>
      </c>
      <c r="PX26">
        <v>2.8065900000000001E-2</v>
      </c>
      <c r="PY26">
        <v>152783</v>
      </c>
      <c r="PZ26">
        <v>1.7933899999999999E-2</v>
      </c>
      <c r="QA26">
        <v>152783</v>
      </c>
      <c r="QB26">
        <v>7.1998000000000001E-3</v>
      </c>
      <c r="QC26">
        <v>152783</v>
      </c>
      <c r="QD26">
        <v>3.2038900000000002E-2</v>
      </c>
      <c r="QE26">
        <v>152783</v>
      </c>
      <c r="QF26">
        <v>5.4456299999999999E-2</v>
      </c>
      <c r="QG26">
        <v>152783</v>
      </c>
      <c r="QH26">
        <v>5.8494699999999997E-2</v>
      </c>
      <c r="QI26">
        <v>152783</v>
      </c>
      <c r="QJ26">
        <v>6.5419599999999994E-2</v>
      </c>
      <c r="QK26">
        <v>152783</v>
      </c>
      <c r="QL26">
        <v>7.2671700000000006E-2</v>
      </c>
      <c r="QM26">
        <v>152783</v>
      </c>
      <c r="QN26">
        <v>8.4852399999999994E-2</v>
      </c>
      <c r="QO26">
        <v>152783</v>
      </c>
      <c r="QP26">
        <v>8.79548E-2</v>
      </c>
      <c r="QQ26">
        <v>152783</v>
      </c>
      <c r="QR26">
        <v>6.6695900000000002E-2</v>
      </c>
      <c r="QS26">
        <v>152783</v>
      </c>
      <c r="QT26">
        <v>2.1082199999999999E-2</v>
      </c>
      <c r="QU26">
        <v>152783</v>
      </c>
      <c r="QV26">
        <v>3.1921100000000001E-2</v>
      </c>
      <c r="QW26">
        <v>152783</v>
      </c>
      <c r="QX26">
        <v>1.8863399999999999E-2</v>
      </c>
      <c r="QY26">
        <v>152783</v>
      </c>
      <c r="QZ26">
        <v>2.3150500000000001E-2</v>
      </c>
      <c r="RA26">
        <v>152783</v>
      </c>
      <c r="RB26">
        <v>2.61744E-2</v>
      </c>
      <c r="RC26">
        <v>152783</v>
      </c>
      <c r="RD26">
        <v>1.9845100000000001E-2</v>
      </c>
      <c r="RE26">
        <v>152783</v>
      </c>
      <c r="RF26">
        <v>1.0001100000000001E-2</v>
      </c>
      <c r="RG26">
        <v>152783</v>
      </c>
      <c r="RH26">
        <v>4.8697000000000002E-3</v>
      </c>
      <c r="RI26">
        <v>308145</v>
      </c>
      <c r="RJ26">
        <v>0.50418470000000004</v>
      </c>
      <c r="RK26">
        <v>155362</v>
      </c>
      <c r="RL26">
        <v>5.5412500000000003E-2</v>
      </c>
      <c r="RM26">
        <v>155362</v>
      </c>
      <c r="RN26">
        <v>6.9978499999999999E-2</v>
      </c>
      <c r="RO26">
        <v>155362</v>
      </c>
      <c r="RP26">
        <v>7.7676700000000001E-2</v>
      </c>
      <c r="RQ26">
        <v>155362</v>
      </c>
      <c r="RR26">
        <v>5.1672900000000001E-2</v>
      </c>
      <c r="RS26">
        <v>155362</v>
      </c>
      <c r="RT26">
        <v>2.6686100000000001E-2</v>
      </c>
      <c r="RU26">
        <v>155362</v>
      </c>
      <c r="RV26">
        <v>8.2710000000000006E-3</v>
      </c>
      <c r="RW26">
        <v>155362</v>
      </c>
      <c r="RX26">
        <v>1.28603E-2</v>
      </c>
      <c r="RY26">
        <v>155362</v>
      </c>
      <c r="RZ26">
        <v>3.2318100000000002E-2</v>
      </c>
      <c r="SA26">
        <v>155362</v>
      </c>
      <c r="SB26">
        <v>4.8377299999999998E-2</v>
      </c>
      <c r="SC26">
        <v>155362</v>
      </c>
      <c r="SD26">
        <v>5.60755E-2</v>
      </c>
      <c r="SE26">
        <v>155362</v>
      </c>
      <c r="SF26">
        <v>6.3458200000000006E-2</v>
      </c>
      <c r="SG26">
        <v>155362</v>
      </c>
      <c r="SH26">
        <v>8.2066399999999998E-2</v>
      </c>
      <c r="SI26">
        <v>155362</v>
      </c>
      <c r="SJ26">
        <v>8.7601899999999996E-2</v>
      </c>
      <c r="SK26">
        <v>155362</v>
      </c>
      <c r="SL26">
        <v>8.4441500000000003E-2</v>
      </c>
      <c r="SM26">
        <v>155362</v>
      </c>
      <c r="SN26">
        <v>7.1310899999999997E-2</v>
      </c>
      <c r="SO26">
        <v>155362</v>
      </c>
      <c r="SP26">
        <v>2.2978599999999998E-2</v>
      </c>
      <c r="SQ26">
        <v>155362</v>
      </c>
      <c r="SR26">
        <v>2.71752E-2</v>
      </c>
      <c r="SS26">
        <v>155362</v>
      </c>
      <c r="ST26">
        <v>1.76942E-2</v>
      </c>
      <c r="SU26">
        <v>155362</v>
      </c>
      <c r="SV26">
        <v>2.3480600000000001E-2</v>
      </c>
      <c r="SW26">
        <v>155362</v>
      </c>
      <c r="SX26">
        <v>2.96726E-2</v>
      </c>
      <c r="SY26">
        <v>155362</v>
      </c>
      <c r="SZ26">
        <v>2.0719399999999999E-2</v>
      </c>
      <c r="TA26">
        <v>155362</v>
      </c>
      <c r="TB26">
        <v>1.52096E-2</v>
      </c>
      <c r="TC26">
        <v>155362</v>
      </c>
      <c r="TD26">
        <v>1.48621E-2</v>
      </c>
      <c r="TE26">
        <v>285385</v>
      </c>
      <c r="TF26">
        <v>0.49812010000000001</v>
      </c>
      <c r="TG26"/>
      <c r="TH26"/>
      <c r="TI26"/>
      <c r="TJ26"/>
      <c r="TK26"/>
      <c r="TL26"/>
      <c r="TM26"/>
      <c r="TN26"/>
      <c r="TO26"/>
      <c r="TP26"/>
      <c r="TQ26"/>
      <c r="TR26"/>
      <c r="TS26">
        <v>255570</v>
      </c>
      <c r="TT26">
        <v>0.49530069999999998</v>
      </c>
      <c r="TU26">
        <v>36676</v>
      </c>
      <c r="TV26">
        <v>0.52374849999999995</v>
      </c>
      <c r="TW26">
        <v>285385</v>
      </c>
      <c r="TX26">
        <v>0.50187990000000005</v>
      </c>
      <c r="TY26"/>
      <c r="TZ26"/>
      <c r="UA26"/>
      <c r="UB26"/>
      <c r="UC26"/>
      <c r="UD26"/>
      <c r="UE26"/>
      <c r="UF26"/>
      <c r="UG26"/>
      <c r="UH26"/>
      <c r="UI26"/>
      <c r="UJ26"/>
      <c r="UK26">
        <v>255570</v>
      </c>
      <c r="UL26">
        <v>0.50469929999999996</v>
      </c>
      <c r="UM26">
        <v>36676</v>
      </c>
      <c r="UN26">
        <v>0.47625149999999999</v>
      </c>
      <c r="UO26">
        <v>74525</v>
      </c>
      <c r="UP26">
        <v>74525</v>
      </c>
      <c r="UQ26">
        <v>74525</v>
      </c>
      <c r="UR26">
        <v>65288</v>
      </c>
      <c r="US26">
        <v>65288</v>
      </c>
      <c r="UT26">
        <v>65288</v>
      </c>
      <c r="UU26">
        <v>1.4626000000000001E-3</v>
      </c>
      <c r="UV26">
        <v>0.90756119999999996</v>
      </c>
      <c r="UW26">
        <v>9.0976199999999993E-2</v>
      </c>
      <c r="UX26">
        <v>7.3519999999999998E-4</v>
      </c>
      <c r="UY26">
        <v>0.92441180000000001</v>
      </c>
      <c r="UZ26">
        <v>7.4853000000000003E-2</v>
      </c>
      <c r="VA26">
        <v>4285</v>
      </c>
      <c r="VB26">
        <v>0</v>
      </c>
      <c r="VC26">
        <v>4285</v>
      </c>
      <c r="VD26">
        <v>0.90385059999999995</v>
      </c>
      <c r="VE26">
        <v>4285</v>
      </c>
      <c r="VF26">
        <v>9.6149399999999996E-2</v>
      </c>
      <c r="VG26">
        <v>7985</v>
      </c>
      <c r="VH26">
        <v>0</v>
      </c>
      <c r="VI26">
        <v>7985</v>
      </c>
      <c r="VJ26">
        <v>0.87251100000000004</v>
      </c>
      <c r="VK26">
        <v>7985</v>
      </c>
      <c r="VL26">
        <v>0.12748899999999999</v>
      </c>
      <c r="VM26">
        <v>8579</v>
      </c>
      <c r="VN26">
        <v>5.8282000000000004E-3</v>
      </c>
      <c r="VO26">
        <v>8579</v>
      </c>
      <c r="VP26">
        <v>0.90057120000000002</v>
      </c>
      <c r="VQ26">
        <v>8579</v>
      </c>
      <c r="VR26">
        <v>9.3600699999999995E-2</v>
      </c>
      <c r="VS26">
        <v>19576</v>
      </c>
      <c r="VT26">
        <v>3.0138999999999999E-3</v>
      </c>
      <c r="VU26">
        <v>19576</v>
      </c>
      <c r="VV26">
        <v>0.94610749999999999</v>
      </c>
      <c r="VW26">
        <v>19576</v>
      </c>
      <c r="VX26">
        <v>5.0878600000000003E-2</v>
      </c>
      <c r="VY26">
        <v>25182</v>
      </c>
      <c r="VZ26">
        <v>0</v>
      </c>
      <c r="WA26">
        <v>25182</v>
      </c>
      <c r="WB26">
        <v>0.89365419999999995</v>
      </c>
      <c r="WC26">
        <v>25182</v>
      </c>
      <c r="WD26">
        <v>0.1063458</v>
      </c>
      <c r="WE26">
        <v>8918</v>
      </c>
      <c r="WF26">
        <v>0</v>
      </c>
      <c r="WG26">
        <v>8918</v>
      </c>
      <c r="WH26">
        <v>0.90210809999999997</v>
      </c>
      <c r="WI26">
        <v>8918</v>
      </c>
      <c r="WJ26">
        <v>9.7891900000000004E-2</v>
      </c>
      <c r="WK26">
        <v>4069</v>
      </c>
      <c r="WL26">
        <v>0</v>
      </c>
      <c r="WM26">
        <v>4069</v>
      </c>
      <c r="WN26">
        <v>0.93659380000000003</v>
      </c>
      <c r="WO26">
        <v>4069</v>
      </c>
      <c r="WP26">
        <v>6.3406199999999996E-2</v>
      </c>
      <c r="WQ26">
        <v>6803</v>
      </c>
      <c r="WR26">
        <v>0</v>
      </c>
      <c r="WS26">
        <v>6803</v>
      </c>
      <c r="WT26">
        <v>0.97089519999999996</v>
      </c>
      <c r="WU26">
        <v>6803</v>
      </c>
      <c r="WV26">
        <v>2.91048E-2</v>
      </c>
      <c r="WW26">
        <v>7145</v>
      </c>
      <c r="WX26">
        <v>0</v>
      </c>
      <c r="WY26">
        <v>7145</v>
      </c>
      <c r="WZ26">
        <v>0.89489160000000001</v>
      </c>
      <c r="XA26">
        <v>7145</v>
      </c>
      <c r="XB26">
        <v>0.10510849999999999</v>
      </c>
      <c r="XC26">
        <v>16908</v>
      </c>
      <c r="XD26">
        <v>2.8389000000000001E-3</v>
      </c>
      <c r="XE26">
        <v>16908</v>
      </c>
      <c r="XF26">
        <v>0.95114739999999998</v>
      </c>
      <c r="XG26">
        <v>16908</v>
      </c>
      <c r="XH26">
        <v>4.6013699999999998E-2</v>
      </c>
      <c r="XI26">
        <v>21639</v>
      </c>
      <c r="XJ26">
        <v>0</v>
      </c>
      <c r="XK26">
        <v>21639</v>
      </c>
      <c r="XL26">
        <v>0.89241649999999995</v>
      </c>
      <c r="XM26">
        <v>21639</v>
      </c>
      <c r="XN26">
        <v>0.1075835</v>
      </c>
      <c r="XO26">
        <v>8724</v>
      </c>
      <c r="XP26">
        <v>0</v>
      </c>
      <c r="XQ26">
        <v>8724</v>
      </c>
      <c r="XR26">
        <v>0.93420449999999999</v>
      </c>
      <c r="XS26">
        <v>8724</v>
      </c>
      <c r="XT26">
        <v>6.5795500000000007E-2</v>
      </c>
      <c r="XU26">
        <v>203344</v>
      </c>
      <c r="XV26">
        <v>0.49904589999999999</v>
      </c>
      <c r="XW26">
        <v>101478</v>
      </c>
      <c r="XX26">
        <v>0.84652830000000001</v>
      </c>
      <c r="XY26">
        <v>101478</v>
      </c>
      <c r="XZ26">
        <v>0.15347169999999999</v>
      </c>
      <c r="YA26">
        <v>85904</v>
      </c>
      <c r="YB26">
        <v>0.83554899999999999</v>
      </c>
      <c r="YC26">
        <v>71777</v>
      </c>
      <c r="YD26">
        <v>0.81903669999999995</v>
      </c>
      <c r="YE26">
        <v>71777</v>
      </c>
      <c r="YF26">
        <v>1.95327E-2</v>
      </c>
      <c r="YG26">
        <v>71777</v>
      </c>
      <c r="YH26">
        <v>5.3763699999999998E-2</v>
      </c>
      <c r="YI26">
        <v>71777</v>
      </c>
      <c r="YJ26">
        <v>3.9037599999999999E-2</v>
      </c>
      <c r="YK26">
        <v>71777</v>
      </c>
      <c r="YL26">
        <v>3.45933E-2</v>
      </c>
      <c r="YM26">
        <v>71777</v>
      </c>
      <c r="YN26">
        <v>3.4035999999999997E-2</v>
      </c>
      <c r="YO26">
        <v>85904</v>
      </c>
      <c r="YP26">
        <v>0.13160040000000001</v>
      </c>
      <c r="YQ26">
        <v>11305</v>
      </c>
      <c r="YR26">
        <v>0.38027420000000001</v>
      </c>
      <c r="YS26">
        <v>11305</v>
      </c>
      <c r="YT26">
        <v>2.5121600000000001E-2</v>
      </c>
      <c r="YU26">
        <v>11305</v>
      </c>
      <c r="YV26">
        <v>0.1010173</v>
      </c>
      <c r="YW26">
        <v>11305</v>
      </c>
      <c r="YX26">
        <v>0.18858910000000001</v>
      </c>
      <c r="YY26">
        <v>11305</v>
      </c>
      <c r="YZ26">
        <v>0.16921720000000001</v>
      </c>
      <c r="ZA26">
        <v>11305</v>
      </c>
      <c r="ZB26">
        <v>0.1357806</v>
      </c>
      <c r="ZC26">
        <v>85904</v>
      </c>
      <c r="ZD26">
        <v>3.2850600000000001E-2</v>
      </c>
      <c r="ZE26">
        <v>2822</v>
      </c>
      <c r="ZF26">
        <v>0.2370659</v>
      </c>
      <c r="ZG26">
        <v>2822</v>
      </c>
      <c r="ZH26">
        <v>0</v>
      </c>
      <c r="ZI26">
        <v>2822</v>
      </c>
      <c r="ZJ26">
        <v>4.3231800000000001E-2</v>
      </c>
      <c r="ZK26">
        <v>2822</v>
      </c>
      <c r="ZL26">
        <v>4.5712299999999997E-2</v>
      </c>
      <c r="ZM26">
        <v>2822</v>
      </c>
      <c r="ZN26">
        <v>0.25442949999999998</v>
      </c>
      <c r="ZO26">
        <v>2822</v>
      </c>
      <c r="ZP26">
        <v>0.41956060000000001</v>
      </c>
      <c r="ZQ26">
        <v>203344</v>
      </c>
      <c r="ZR26">
        <v>0.50095400000000001</v>
      </c>
      <c r="ZS26">
        <v>101866</v>
      </c>
      <c r="ZT26">
        <v>0.74624509999999999</v>
      </c>
      <c r="ZU26">
        <v>101866</v>
      </c>
      <c r="ZV26">
        <v>0.25375490000000001</v>
      </c>
      <c r="ZW26">
        <v>76017</v>
      </c>
      <c r="ZX26">
        <v>0.67303369999999996</v>
      </c>
      <c r="ZY26">
        <v>51162</v>
      </c>
      <c r="ZZ26">
        <v>0.86767519999999998</v>
      </c>
      <c r="AAA26">
        <v>51162</v>
      </c>
      <c r="AAB26">
        <v>6.2351000000000004E-3</v>
      </c>
      <c r="AAC26">
        <v>51162</v>
      </c>
      <c r="AAD26">
        <v>4.6733900000000002E-2</v>
      </c>
      <c r="AAE26">
        <v>51162</v>
      </c>
      <c r="AAF26">
        <v>3.0843200000000001E-2</v>
      </c>
      <c r="AAG26">
        <v>51162</v>
      </c>
      <c r="AAH26">
        <v>2.2106299999999999E-2</v>
      </c>
      <c r="AAI26">
        <v>51162</v>
      </c>
      <c r="AAJ26">
        <v>2.6406300000000001E-2</v>
      </c>
      <c r="AAK26">
        <v>76017</v>
      </c>
      <c r="AAL26">
        <v>0.26409880000000002</v>
      </c>
      <c r="AAM26">
        <v>20076</v>
      </c>
      <c r="AAN26">
        <v>0.52047220000000005</v>
      </c>
      <c r="AAO26">
        <v>20076</v>
      </c>
      <c r="AAP26">
        <v>2.78442E-2</v>
      </c>
      <c r="AAQ26">
        <v>20076</v>
      </c>
      <c r="AAR26">
        <v>0.12054189999999999</v>
      </c>
      <c r="AAS26">
        <v>20076</v>
      </c>
      <c r="AAT26">
        <v>0.1165571</v>
      </c>
      <c r="AAU26">
        <v>20076</v>
      </c>
      <c r="AAV26">
        <v>0.1320482</v>
      </c>
      <c r="AAW26">
        <v>20076</v>
      </c>
      <c r="AAX26">
        <v>8.2536399999999996E-2</v>
      </c>
      <c r="AAY26">
        <v>76017</v>
      </c>
      <c r="AAZ26">
        <v>6.2867500000000007E-2</v>
      </c>
      <c r="ABA26">
        <v>4779</v>
      </c>
      <c r="ABB26">
        <v>0.25256329999999999</v>
      </c>
      <c r="ABC26">
        <v>4779</v>
      </c>
      <c r="ABD26">
        <v>1.50659E-2</v>
      </c>
      <c r="ABE26">
        <v>4779</v>
      </c>
      <c r="ABF26">
        <v>5.8171199999999999E-2</v>
      </c>
      <c r="ABG26">
        <v>4779</v>
      </c>
      <c r="ABH26">
        <v>0.173258</v>
      </c>
      <c r="ABI26">
        <v>4779</v>
      </c>
      <c r="ABJ26">
        <v>0.12136429999999999</v>
      </c>
      <c r="ABK26">
        <v>4779</v>
      </c>
      <c r="ABL26">
        <v>0.37957730000000001</v>
      </c>
      <c r="ABM26">
        <v>108969</v>
      </c>
      <c r="ABN26">
        <v>0.75038769999999999</v>
      </c>
      <c r="ABO26">
        <v>81769</v>
      </c>
      <c r="ABP26">
        <v>0.83175779999999999</v>
      </c>
      <c r="ABQ26">
        <v>81769</v>
      </c>
      <c r="ABR26">
        <v>0.16824220000000001</v>
      </c>
      <c r="ABS26">
        <v>13757</v>
      </c>
      <c r="ABT26">
        <v>0.31438539999999998</v>
      </c>
      <c r="ABU26">
        <v>13757</v>
      </c>
      <c r="ABV26">
        <v>0.68561459999999996</v>
      </c>
      <c r="ABW26">
        <v>108969</v>
      </c>
      <c r="ABX26">
        <v>0.24961230000000001</v>
      </c>
      <c r="ABY26">
        <v>27200</v>
      </c>
      <c r="ABZ26">
        <v>0.81305150000000004</v>
      </c>
      <c r="ACA26">
        <v>27200</v>
      </c>
      <c r="ACB26">
        <v>0.18694849999999999</v>
      </c>
      <c r="ACC26"/>
      <c r="ACD26"/>
      <c r="ACE26"/>
      <c r="ACF26"/>
      <c r="ACG26"/>
      <c r="ACH26"/>
      <c r="ACI26"/>
      <c r="ACJ26"/>
      <c r="ACK26"/>
      <c r="ACL26"/>
      <c r="ACM26"/>
      <c r="ACN26"/>
      <c r="ACO26"/>
      <c r="ACP26"/>
      <c r="ACQ26"/>
      <c r="ACR26"/>
      <c r="ACS26"/>
      <c r="ACT26"/>
      <c r="ACU26"/>
      <c r="ACV26"/>
      <c r="ACW26"/>
      <c r="ACX26"/>
      <c r="ACY26"/>
      <c r="ACZ26"/>
      <c r="ADA26"/>
      <c r="ADB26"/>
      <c r="ADC26"/>
      <c r="ADD26"/>
      <c r="ADE26"/>
      <c r="ADF26"/>
      <c r="ADG26"/>
      <c r="ADH26"/>
      <c r="ADI26"/>
      <c r="ADJ26"/>
      <c r="ADK26"/>
      <c r="ADL26"/>
      <c r="ADM26"/>
      <c r="ADN26"/>
      <c r="ADO26"/>
      <c r="ADP26"/>
      <c r="ADQ26"/>
      <c r="ADR26"/>
      <c r="ADS26"/>
      <c r="ADT26"/>
      <c r="ADU26"/>
      <c r="ADV26"/>
      <c r="ADW26"/>
      <c r="ADX26"/>
      <c r="ADY26"/>
      <c r="ADZ26"/>
      <c r="AEA26"/>
      <c r="AEB26"/>
      <c r="AEC26"/>
      <c r="AED26"/>
      <c r="AEE26"/>
      <c r="AEF26"/>
      <c r="AEG26"/>
      <c r="AEH26"/>
      <c r="AEI26"/>
      <c r="AEJ26"/>
      <c r="AEK26"/>
      <c r="AEL26"/>
      <c r="AEM26"/>
      <c r="AEN26"/>
      <c r="AEO26"/>
      <c r="AEP26"/>
      <c r="AEQ26"/>
      <c r="AER26"/>
      <c r="AES26"/>
      <c r="AET26"/>
      <c r="AEU26"/>
      <c r="AEV26"/>
      <c r="AEW26"/>
      <c r="AEX26"/>
      <c r="AEY26"/>
      <c r="AEZ26"/>
      <c r="AFA26"/>
      <c r="AFB26"/>
      <c r="AFC26"/>
      <c r="AFD26"/>
      <c r="AFE26"/>
      <c r="AFF26"/>
      <c r="AFG26"/>
      <c r="AFH26"/>
      <c r="AFI26"/>
      <c r="AFJ26"/>
      <c r="AFK26"/>
      <c r="AFL26"/>
      <c r="AFM26"/>
      <c r="AFN26"/>
      <c r="AFO26"/>
      <c r="AFP26"/>
      <c r="AFQ26"/>
      <c r="AFR26"/>
      <c r="AFS26"/>
      <c r="AFT26"/>
      <c r="AFU26"/>
      <c r="AFV26"/>
      <c r="AFW26"/>
      <c r="AFX26"/>
      <c r="AFY26"/>
      <c r="AFZ26"/>
      <c r="AGA26"/>
      <c r="AGB26"/>
      <c r="AGC26"/>
      <c r="AGD26"/>
      <c r="AGE26"/>
      <c r="AGF26"/>
      <c r="AGG26"/>
      <c r="AGH26"/>
      <c r="AGI26"/>
      <c r="AGJ26"/>
      <c r="AGK26"/>
      <c r="AGL26"/>
      <c r="AGM26"/>
      <c r="AGN26"/>
      <c r="AGO26"/>
      <c r="AGP26"/>
      <c r="AGQ26"/>
      <c r="AGR26"/>
      <c r="AGS26"/>
      <c r="AGT26"/>
      <c r="AGU26"/>
      <c r="AGV26"/>
      <c r="AGW26"/>
      <c r="AGX26"/>
      <c r="AGY26"/>
      <c r="AGZ26"/>
      <c r="AHA26"/>
      <c r="AHB26"/>
      <c r="AHC26"/>
      <c r="AHD26"/>
      <c r="AHE26"/>
      <c r="AHF26"/>
      <c r="AHG26"/>
      <c r="AHH26"/>
      <c r="AHI26"/>
      <c r="AHJ26"/>
      <c r="AHK26"/>
      <c r="AHL26"/>
      <c r="AHM26"/>
      <c r="AHN26"/>
      <c r="AHO26"/>
      <c r="AHP26"/>
      <c r="AHQ26"/>
      <c r="AHR26"/>
      <c r="AHS26"/>
      <c r="AHT26"/>
      <c r="AHU26"/>
      <c r="AHV26"/>
      <c r="AHW26"/>
      <c r="AHX26"/>
      <c r="AHY26"/>
      <c r="AHZ26"/>
      <c r="AIA26"/>
      <c r="AIB26"/>
      <c r="AIC26"/>
      <c r="AID26"/>
      <c r="AIE26"/>
      <c r="AIF26"/>
      <c r="AIG26"/>
      <c r="AIH26"/>
      <c r="AII26"/>
      <c r="AIJ26"/>
      <c r="AIK26"/>
      <c r="AIL26"/>
      <c r="AIM26"/>
      <c r="AIN26"/>
      <c r="AIO26"/>
      <c r="AIP26"/>
      <c r="AIQ26"/>
      <c r="AIR26"/>
      <c r="AIS26"/>
      <c r="AIT26"/>
      <c r="AIU26"/>
      <c r="AIV26"/>
      <c r="AIW26"/>
      <c r="AIX26"/>
      <c r="AIY26"/>
      <c r="AIZ26"/>
      <c r="AJA26"/>
      <c r="AJB26"/>
      <c r="AJC26"/>
      <c r="AJD26"/>
      <c r="AJE26"/>
      <c r="AJF26"/>
      <c r="AJG26"/>
      <c r="AJH26"/>
      <c r="AJI26"/>
      <c r="AJJ26"/>
      <c r="AJK26"/>
      <c r="AJL26"/>
      <c r="AJM26"/>
      <c r="AJN26"/>
      <c r="AJO26"/>
      <c r="AJP26"/>
      <c r="AJQ26"/>
      <c r="AJR26"/>
      <c r="AJS26"/>
      <c r="AJT26"/>
      <c r="AJU26"/>
      <c r="AJV26"/>
      <c r="AJW26"/>
      <c r="AJX26"/>
      <c r="AJY26"/>
      <c r="AJZ26"/>
      <c r="AKA26"/>
      <c r="AKB26"/>
      <c r="AKC26"/>
      <c r="AKD26"/>
      <c r="AKE26"/>
      <c r="AKF26"/>
      <c r="AKG26"/>
      <c r="AKH26"/>
      <c r="AKI26"/>
      <c r="AKJ26"/>
      <c r="AKK26"/>
      <c r="AKL26"/>
      <c r="AKM26"/>
      <c r="AKN26"/>
      <c r="AKO26"/>
      <c r="AKP26"/>
      <c r="AKQ26"/>
      <c r="AKR26"/>
      <c r="AKS26"/>
      <c r="AKT26"/>
      <c r="AKU26"/>
      <c r="AKV26"/>
      <c r="AKW26"/>
      <c r="AKX26"/>
      <c r="AKY26"/>
      <c r="AKZ26"/>
      <c r="ALA26"/>
      <c r="ALB26"/>
      <c r="ALC26"/>
      <c r="ALD26"/>
      <c r="ALE26"/>
      <c r="ALF26"/>
      <c r="ALG26"/>
      <c r="ALH26"/>
      <c r="ALI26"/>
      <c r="ALJ26"/>
      <c r="ALK26"/>
      <c r="ALL26"/>
      <c r="ALM26"/>
      <c r="ALN26"/>
      <c r="ALO26"/>
      <c r="ALP26"/>
      <c r="ALQ26"/>
      <c r="ALR26"/>
      <c r="ALS26"/>
      <c r="ALT26"/>
      <c r="ALU26"/>
      <c r="ALV26"/>
      <c r="ALW26"/>
      <c r="ALX26"/>
      <c r="ALY26"/>
      <c r="ALZ26"/>
      <c r="AMA26"/>
      <c r="AMB26"/>
      <c r="AMC26"/>
      <c r="AMD26"/>
      <c r="AME26"/>
      <c r="AMF26"/>
      <c r="AMG26"/>
      <c r="AMH26"/>
      <c r="AMI26"/>
      <c r="AMJ26"/>
      <c r="AMK26"/>
      <c r="AML26"/>
      <c r="AMM26"/>
      <c r="AMN26"/>
      <c r="AMO26"/>
      <c r="AMP26"/>
      <c r="AMQ26"/>
      <c r="AMR26"/>
      <c r="AMS26"/>
      <c r="AMT26"/>
      <c r="AMU26"/>
      <c r="AMV26"/>
      <c r="AMW26"/>
      <c r="AMX26"/>
      <c r="AMY26"/>
      <c r="AMZ26"/>
      <c r="ANA26"/>
      <c r="ANB26"/>
      <c r="ANC26"/>
      <c r="AND26"/>
      <c r="ANE26"/>
      <c r="ANF26"/>
      <c r="ANG26"/>
      <c r="ANH26"/>
      <c r="ANI26"/>
      <c r="ANJ26"/>
      <c r="ANK26"/>
      <c r="ANL26"/>
      <c r="ANM26"/>
      <c r="ANN26"/>
      <c r="ANO26"/>
      <c r="ANP26"/>
      <c r="ANQ26"/>
      <c r="ANR26"/>
      <c r="ANS26"/>
      <c r="ANT26"/>
      <c r="ANU26"/>
      <c r="ANV26"/>
      <c r="ANW26"/>
      <c r="ANX26"/>
      <c r="ANY26"/>
      <c r="ANZ26"/>
      <c r="AOA26"/>
      <c r="AOB26"/>
      <c r="AOC26"/>
      <c r="AOD26"/>
      <c r="AOE26"/>
      <c r="AOF26"/>
      <c r="AOG26"/>
      <c r="AOH26"/>
      <c r="AOI26"/>
      <c r="AOJ26"/>
      <c r="AOK26"/>
      <c r="AOL26"/>
      <c r="AOM26"/>
      <c r="AON26"/>
      <c r="AOO26"/>
      <c r="AOP26"/>
      <c r="AOQ26"/>
      <c r="AOR26"/>
      <c r="AOS26"/>
      <c r="AOT26"/>
      <c r="AOU26"/>
      <c r="AOV26"/>
      <c r="AOW26"/>
      <c r="AOX26"/>
      <c r="AOY26"/>
      <c r="AOZ26"/>
      <c r="APA26"/>
      <c r="APB26"/>
      <c r="APC26"/>
      <c r="APD26"/>
      <c r="APE26"/>
      <c r="APF26"/>
      <c r="APG26"/>
      <c r="APH26"/>
      <c r="API26"/>
      <c r="APJ26"/>
      <c r="APK26"/>
      <c r="APL26"/>
      <c r="APM26"/>
      <c r="APN26"/>
      <c r="APO26"/>
      <c r="APP26"/>
      <c r="APQ26"/>
      <c r="APR26"/>
      <c r="APS26"/>
      <c r="APT26"/>
      <c r="APU26"/>
      <c r="APV26"/>
      <c r="APW26"/>
      <c r="APX26"/>
      <c r="APY26"/>
      <c r="APZ26"/>
      <c r="AQA26"/>
      <c r="AQB26"/>
      <c r="AQC26"/>
      <c r="AQD26"/>
      <c r="AQE26"/>
      <c r="AQF26"/>
      <c r="AQG26"/>
      <c r="AQH26"/>
      <c r="AQI26"/>
      <c r="AQJ26"/>
      <c r="AQK26">
        <v>38051</v>
      </c>
      <c r="AQL26">
        <v>0.1438333</v>
      </c>
      <c r="AQM26">
        <v>108969</v>
      </c>
      <c r="AQN26">
        <v>0.80113610000000002</v>
      </c>
      <c r="AQO26">
        <v>87299</v>
      </c>
      <c r="AQP26">
        <v>0.79369749999999994</v>
      </c>
      <c r="AQQ26">
        <v>69289</v>
      </c>
      <c r="AQR26">
        <v>0.88521989999999995</v>
      </c>
      <c r="AQS26">
        <v>61336</v>
      </c>
      <c r="AQT26">
        <v>0.44306770000000001</v>
      </c>
      <c r="AQU26">
        <v>61336</v>
      </c>
      <c r="AQV26">
        <v>0.55693230000000005</v>
      </c>
      <c r="AQW26">
        <v>69289</v>
      </c>
      <c r="AQX26">
        <v>0.1147801</v>
      </c>
      <c r="AQY26">
        <v>7953</v>
      </c>
      <c r="AQZ26">
        <v>0.33446500000000001</v>
      </c>
      <c r="ARA26">
        <v>2660</v>
      </c>
      <c r="ARB26">
        <v>0.2849624</v>
      </c>
      <c r="ARC26">
        <v>2660</v>
      </c>
      <c r="ARD26">
        <v>0.71503760000000005</v>
      </c>
      <c r="ARE26">
        <v>7953</v>
      </c>
      <c r="ARF26">
        <v>0.66553499999999999</v>
      </c>
      <c r="ARG26">
        <v>5293</v>
      </c>
      <c r="ARH26">
        <v>0.45531830000000001</v>
      </c>
      <c r="ARI26">
        <v>5293</v>
      </c>
      <c r="ARJ26">
        <v>0.54468170000000005</v>
      </c>
      <c r="ARK26">
        <v>87299</v>
      </c>
      <c r="ARL26">
        <v>0.2063025</v>
      </c>
      <c r="ARM26">
        <v>108969</v>
      </c>
      <c r="ARN26">
        <v>0.19886390000000001</v>
      </c>
      <c r="ARO26">
        <v>21670</v>
      </c>
      <c r="ARP26">
        <v>0.57591139999999996</v>
      </c>
      <c r="ARQ26">
        <v>12480</v>
      </c>
      <c r="ARR26">
        <v>0.53493590000000002</v>
      </c>
      <c r="ARS26">
        <v>6676</v>
      </c>
      <c r="ART26">
        <v>0.57893950000000005</v>
      </c>
      <c r="ARU26">
        <v>6676</v>
      </c>
      <c r="ARV26">
        <v>0.4210605</v>
      </c>
      <c r="ARW26">
        <v>12480</v>
      </c>
      <c r="ARX26">
        <v>0.46506409999999998</v>
      </c>
      <c r="ARY26">
        <v>5804</v>
      </c>
      <c r="ARZ26">
        <v>0.28687109999999999</v>
      </c>
      <c r="ASA26">
        <v>1665</v>
      </c>
      <c r="ASB26">
        <v>0.4678679</v>
      </c>
      <c r="ASC26">
        <v>1665</v>
      </c>
      <c r="ASD26">
        <v>0.5321321</v>
      </c>
      <c r="ASE26">
        <v>5804</v>
      </c>
      <c r="ASF26">
        <v>0.71312889999999995</v>
      </c>
      <c r="ASG26">
        <v>4139</v>
      </c>
      <c r="ASH26">
        <v>0.74003379999999996</v>
      </c>
      <c r="ASI26">
        <v>4139</v>
      </c>
      <c r="ASJ26">
        <v>0.25996619999999998</v>
      </c>
      <c r="ASK26">
        <v>21670</v>
      </c>
      <c r="ASL26">
        <v>0.42408859999999998</v>
      </c>
      <c r="ASM26">
        <v>105470</v>
      </c>
      <c r="ASN26">
        <v>0.57174550000000002</v>
      </c>
      <c r="ASO26">
        <v>60302</v>
      </c>
      <c r="ASP26">
        <v>0.40018569999999998</v>
      </c>
      <c r="ASQ26">
        <v>24132</v>
      </c>
      <c r="ASR26">
        <v>0.58851319999999996</v>
      </c>
      <c r="ASS26">
        <v>14202</v>
      </c>
      <c r="AST26">
        <v>0.7673567</v>
      </c>
      <c r="ASU26">
        <v>14202</v>
      </c>
      <c r="ASV26">
        <v>0.2326433</v>
      </c>
      <c r="ASW26">
        <v>24132</v>
      </c>
      <c r="ASX26">
        <v>0.26694849999999998</v>
      </c>
      <c r="ASY26">
        <v>6442</v>
      </c>
      <c r="ASZ26">
        <v>0.47423159999999998</v>
      </c>
      <c r="ATA26">
        <v>6442</v>
      </c>
      <c r="ATB26">
        <v>0.4920832</v>
      </c>
      <c r="ATC26">
        <v>6442</v>
      </c>
      <c r="ATD26">
        <v>3.3685199999999998E-2</v>
      </c>
      <c r="ATE26">
        <v>24132</v>
      </c>
      <c r="ATF26">
        <v>0.1070777</v>
      </c>
      <c r="ATG26">
        <v>2584</v>
      </c>
      <c r="ATH26">
        <v>0.26509290000000002</v>
      </c>
      <c r="ATI26">
        <v>2584</v>
      </c>
      <c r="ATJ26">
        <v>0.1834365</v>
      </c>
      <c r="ATK26">
        <v>2584</v>
      </c>
      <c r="ATL26">
        <v>0.37732199999999999</v>
      </c>
      <c r="ATM26">
        <v>2584</v>
      </c>
      <c r="ATN26">
        <v>0.17414859999999999</v>
      </c>
      <c r="ATO26">
        <v>24132</v>
      </c>
      <c r="ATP26">
        <v>3.7460599999999997E-2</v>
      </c>
      <c r="ATQ26">
        <v>904</v>
      </c>
      <c r="ATR26">
        <v>0.64933629999999998</v>
      </c>
      <c r="ATS26">
        <v>904</v>
      </c>
      <c r="ATT26">
        <v>0.35066370000000002</v>
      </c>
      <c r="ATU26">
        <v>60302</v>
      </c>
      <c r="ATV26">
        <v>0.1057511</v>
      </c>
      <c r="ATW26">
        <v>6377</v>
      </c>
      <c r="ATX26">
        <v>5.2532500000000003E-2</v>
      </c>
      <c r="ATY26">
        <v>6377</v>
      </c>
      <c r="ATZ26">
        <v>0.27552140000000003</v>
      </c>
      <c r="AUA26">
        <v>1757</v>
      </c>
      <c r="AUB26">
        <v>0.40068300000000001</v>
      </c>
      <c r="AUC26">
        <v>1757</v>
      </c>
      <c r="AUD26">
        <v>0.59931699999999999</v>
      </c>
      <c r="AUE26">
        <v>6377</v>
      </c>
      <c r="AUF26">
        <v>0.33087660000000002</v>
      </c>
      <c r="AUG26">
        <v>6377</v>
      </c>
      <c r="AUH26">
        <v>0.2813235</v>
      </c>
      <c r="AUI26">
        <v>6377</v>
      </c>
      <c r="AUJ26">
        <v>5.9746E-2</v>
      </c>
      <c r="AUK26">
        <v>60302</v>
      </c>
      <c r="AUL26">
        <v>0.20263010000000001</v>
      </c>
      <c r="AUM26">
        <v>12219</v>
      </c>
      <c r="AUN26">
        <v>0.70635899999999996</v>
      </c>
      <c r="AUO26">
        <v>12219</v>
      </c>
      <c r="AUP26">
        <v>0.29364109999999999</v>
      </c>
      <c r="AUQ26">
        <v>60302</v>
      </c>
      <c r="AUR26">
        <v>0.11550199999999999</v>
      </c>
      <c r="AUS26">
        <v>6965</v>
      </c>
      <c r="AUT26">
        <v>0</v>
      </c>
      <c r="AUU26">
        <v>6965</v>
      </c>
      <c r="AUV26">
        <v>0.54572860000000001</v>
      </c>
      <c r="AUW26">
        <v>6965</v>
      </c>
      <c r="AUX26">
        <v>0.45427129999999999</v>
      </c>
      <c r="AUY26">
        <v>60302</v>
      </c>
      <c r="AUZ26">
        <v>0.17593110000000001</v>
      </c>
      <c r="AVA26">
        <v>10609</v>
      </c>
      <c r="AVB26">
        <v>0.52172680000000005</v>
      </c>
      <c r="AVC26">
        <v>10609</v>
      </c>
      <c r="AVD26">
        <v>0.28287299999999999</v>
      </c>
      <c r="AVE26">
        <v>10609</v>
      </c>
      <c r="AVF26">
        <v>0.19540009999999999</v>
      </c>
      <c r="AVG26">
        <v>105470</v>
      </c>
      <c r="AVH26">
        <v>0.42825449999999998</v>
      </c>
      <c r="AVI26">
        <v>45168</v>
      </c>
      <c r="AVJ26">
        <v>0.4537947</v>
      </c>
      <c r="AVK26">
        <v>20497</v>
      </c>
      <c r="AVL26">
        <v>0.45831100000000002</v>
      </c>
      <c r="AVM26">
        <v>9394</v>
      </c>
      <c r="AVN26">
        <v>0.65850540000000002</v>
      </c>
      <c r="AVO26">
        <v>9394</v>
      </c>
      <c r="AVP26">
        <v>0.34149459999999998</v>
      </c>
      <c r="AVQ26">
        <v>20497</v>
      </c>
      <c r="AVR26">
        <v>8.2597500000000004E-2</v>
      </c>
      <c r="AVS26">
        <v>1693</v>
      </c>
      <c r="AVT26">
        <v>0.49438870000000001</v>
      </c>
      <c r="AVU26">
        <v>1693</v>
      </c>
      <c r="AVV26">
        <v>0.2876551</v>
      </c>
      <c r="AVW26">
        <v>1693</v>
      </c>
      <c r="AVX26">
        <v>0.21795629999999999</v>
      </c>
      <c r="AVY26">
        <v>20497</v>
      </c>
      <c r="AVZ26">
        <v>0.29321360000000002</v>
      </c>
      <c r="AWA26">
        <v>6010</v>
      </c>
      <c r="AWB26">
        <v>0.1314476</v>
      </c>
      <c r="AWC26">
        <v>6010</v>
      </c>
      <c r="AWD26">
        <v>7.4875200000000003E-2</v>
      </c>
      <c r="AWE26">
        <v>6010</v>
      </c>
      <c r="AWF26">
        <v>0.67171380000000003</v>
      </c>
      <c r="AWG26">
        <v>6010</v>
      </c>
      <c r="AWH26">
        <v>0.1219634</v>
      </c>
      <c r="AWI26">
        <v>20497</v>
      </c>
      <c r="AWJ26">
        <v>0.16587789999999999</v>
      </c>
      <c r="AWK26">
        <v>3400</v>
      </c>
      <c r="AWL26">
        <v>0.70882350000000005</v>
      </c>
      <c r="AWM26">
        <v>3400</v>
      </c>
      <c r="AWN26">
        <v>0.2911765</v>
      </c>
      <c r="AWO26">
        <v>45168</v>
      </c>
      <c r="AWP26">
        <v>0.1284759</v>
      </c>
      <c r="AWQ26">
        <v>5803</v>
      </c>
      <c r="AWR26">
        <v>0.35395490000000002</v>
      </c>
      <c r="AWS26">
        <v>5803</v>
      </c>
      <c r="AWT26">
        <v>1.3786E-2</v>
      </c>
      <c r="AWU26">
        <v>80</v>
      </c>
      <c r="AWV26">
        <v>0.4375</v>
      </c>
      <c r="AWW26">
        <v>80</v>
      </c>
      <c r="AWX26">
        <v>0.5625</v>
      </c>
      <c r="AWY26">
        <v>5803</v>
      </c>
      <c r="AWZ26">
        <v>0.1745649</v>
      </c>
      <c r="AXA26">
        <v>5803</v>
      </c>
      <c r="AXB26">
        <v>0.16215750000000001</v>
      </c>
      <c r="AXC26">
        <v>5803</v>
      </c>
      <c r="AXD26">
        <v>0.29553679999999999</v>
      </c>
      <c r="AXE26">
        <v>45168</v>
      </c>
      <c r="AXF26">
        <v>0.36036570000000001</v>
      </c>
      <c r="AXG26">
        <v>16277</v>
      </c>
      <c r="AXH26">
        <v>0.25446950000000002</v>
      </c>
      <c r="AXI26">
        <v>16277</v>
      </c>
      <c r="AXJ26">
        <v>0.74553049999999998</v>
      </c>
      <c r="AXK26">
        <v>45168</v>
      </c>
      <c r="AXL26">
        <v>2.5902999999999998E-3</v>
      </c>
      <c r="AXM26">
        <v>117</v>
      </c>
      <c r="AXN26">
        <v>0</v>
      </c>
      <c r="AXO26">
        <v>117</v>
      </c>
      <c r="AXP26">
        <v>0</v>
      </c>
      <c r="AXQ26">
        <v>117</v>
      </c>
      <c r="AXR26">
        <v>1</v>
      </c>
      <c r="AXS26">
        <v>45168</v>
      </c>
      <c r="AXT26">
        <v>5.4773299999999997E-2</v>
      </c>
      <c r="AXU26">
        <v>2474</v>
      </c>
      <c r="AXV26">
        <v>0.71705739999999996</v>
      </c>
      <c r="AXW26">
        <v>2474</v>
      </c>
      <c r="AXX26">
        <v>0.1220695</v>
      </c>
      <c r="AXY26">
        <v>2474</v>
      </c>
      <c r="AXZ26">
        <v>0.16087309999999999</v>
      </c>
      <c r="AYA26">
        <v>13023</v>
      </c>
      <c r="AYB26">
        <v>1.47431E-2</v>
      </c>
      <c r="AYC26">
        <v>13023</v>
      </c>
      <c r="AYD26">
        <v>0.1484297</v>
      </c>
      <c r="AYE26">
        <v>13023</v>
      </c>
      <c r="AYF26">
        <v>0.42970130000000001</v>
      </c>
      <c r="AYG26">
        <v>13023</v>
      </c>
      <c r="AYH26">
        <v>0.29900939999999998</v>
      </c>
      <c r="AYI26">
        <v>13023</v>
      </c>
      <c r="AYJ26">
        <v>4.8375899999999999E-2</v>
      </c>
      <c r="AYK26">
        <v>13023</v>
      </c>
      <c r="AYL26">
        <v>5.9126199999999997E-2</v>
      </c>
      <c r="AYM26">
        <v>13023</v>
      </c>
      <c r="AYN26">
        <v>6.1430000000000002E-4</v>
      </c>
      <c r="AYO26">
        <v>17257</v>
      </c>
      <c r="AYP26">
        <v>3.2102899999999997E-2</v>
      </c>
      <c r="AYQ26">
        <v>17257</v>
      </c>
      <c r="AYR26">
        <v>2.4279999999999999E-2</v>
      </c>
      <c r="AYS26">
        <v>17257</v>
      </c>
      <c r="AYT26">
        <v>0.31314829999999999</v>
      </c>
      <c r="AYU26">
        <v>17257</v>
      </c>
      <c r="AYV26">
        <v>0.26760149999999999</v>
      </c>
      <c r="AYW26">
        <v>17257</v>
      </c>
      <c r="AYX26">
        <v>8.2691100000000003E-2</v>
      </c>
      <c r="AYY26">
        <v>17257</v>
      </c>
      <c r="AYZ26">
        <v>0.20872689999999999</v>
      </c>
      <c r="AZA26">
        <v>17257</v>
      </c>
      <c r="AZB26">
        <v>7.1449299999999993E-2</v>
      </c>
      <c r="AZC26">
        <v>21098</v>
      </c>
      <c r="AZD26">
        <v>6.3418299999999997E-2</v>
      </c>
      <c r="AZE26">
        <v>21098</v>
      </c>
      <c r="AZF26">
        <v>3.6022400000000003E-2</v>
      </c>
      <c r="AZG26">
        <v>21098</v>
      </c>
      <c r="AZH26">
        <v>0.2210636</v>
      </c>
      <c r="AZI26">
        <v>21098</v>
      </c>
      <c r="AZJ26">
        <v>0.2210636</v>
      </c>
      <c r="AZK26">
        <v>21098</v>
      </c>
      <c r="AZL26">
        <v>8.0386799999999994E-2</v>
      </c>
      <c r="AZM26">
        <v>21098</v>
      </c>
      <c r="AZN26">
        <v>0.28116409999999997</v>
      </c>
      <c r="AZO26">
        <v>21098</v>
      </c>
      <c r="AZP26">
        <v>9.6881200000000001E-2</v>
      </c>
      <c r="AZQ26">
        <v>44690</v>
      </c>
      <c r="AZR26">
        <v>1.2217499999999999E-2</v>
      </c>
      <c r="AZS26">
        <v>44690</v>
      </c>
      <c r="AZT26">
        <v>4.7863099999999999E-2</v>
      </c>
      <c r="AZU26">
        <v>44690</v>
      </c>
      <c r="AZV26">
        <v>0.26719619999999999</v>
      </c>
      <c r="AZW26">
        <v>44690</v>
      </c>
      <c r="AZX26">
        <v>0.25242779999999998</v>
      </c>
      <c r="AZY26">
        <v>44690</v>
      </c>
      <c r="AZZ26">
        <v>8.2389799999999999E-2</v>
      </c>
      <c r="BAA26">
        <v>44690</v>
      </c>
      <c r="BAB26">
        <v>0.22365180000000001</v>
      </c>
      <c r="BAC26">
        <v>44690</v>
      </c>
      <c r="BAD26">
        <v>0.1142537</v>
      </c>
      <c r="BAE26">
        <v>15722</v>
      </c>
      <c r="BAF26">
        <v>5.1138500000000003E-2</v>
      </c>
      <c r="BAG26">
        <v>15722</v>
      </c>
      <c r="BAH26">
        <v>7.3273099999999994E-2</v>
      </c>
      <c r="BAI26">
        <v>15722</v>
      </c>
      <c r="BAJ26">
        <v>0.31179240000000003</v>
      </c>
      <c r="BAK26">
        <v>15722</v>
      </c>
      <c r="BAL26">
        <v>0.21263199999999999</v>
      </c>
      <c r="BAM26">
        <v>15722</v>
      </c>
      <c r="BAN26">
        <v>7.3909199999999994E-2</v>
      </c>
      <c r="BAO26">
        <v>15722</v>
      </c>
      <c r="BAP26">
        <v>0.14024929999999999</v>
      </c>
      <c r="BAQ26">
        <v>15722</v>
      </c>
      <c r="BAR26">
        <v>0.1370055</v>
      </c>
      <c r="BAS26">
        <v>12450</v>
      </c>
      <c r="BAT26">
        <v>1.7349400000000001E-2</v>
      </c>
      <c r="BAU26">
        <v>12450</v>
      </c>
      <c r="BAV26">
        <v>0.1045783</v>
      </c>
      <c r="BAW26">
        <v>12450</v>
      </c>
      <c r="BAX26">
        <v>0.31236950000000002</v>
      </c>
      <c r="BAY26">
        <v>12450</v>
      </c>
      <c r="BAZ26">
        <v>0.36738959999999998</v>
      </c>
      <c r="BBA26">
        <v>12450</v>
      </c>
      <c r="BBB26">
        <v>8.4738999999999995E-2</v>
      </c>
      <c r="BBC26">
        <v>12450</v>
      </c>
      <c r="BBD26">
        <v>0.1135743</v>
      </c>
      <c r="BBE26">
        <v>12450</v>
      </c>
      <c r="BBF26">
        <v>0</v>
      </c>
      <c r="BBG26">
        <v>16228</v>
      </c>
      <c r="BBH26">
        <v>3.5802300000000002E-2</v>
      </c>
      <c r="BBI26">
        <v>16228</v>
      </c>
      <c r="BBJ26">
        <v>4.4367799999999999E-2</v>
      </c>
      <c r="BBK26">
        <v>16228</v>
      </c>
      <c r="BBL26">
        <v>0.16582450000000001</v>
      </c>
      <c r="BBM26">
        <v>16228</v>
      </c>
      <c r="BBN26">
        <v>0.22664529999999999</v>
      </c>
      <c r="BBO26">
        <v>16228</v>
      </c>
      <c r="BBP26">
        <v>9.7177700000000006E-2</v>
      </c>
      <c r="BBQ26">
        <v>16228</v>
      </c>
      <c r="BBR26">
        <v>0.28469309999999998</v>
      </c>
      <c r="BBS26">
        <v>16228</v>
      </c>
      <c r="BBT26">
        <v>0.14548929999999999</v>
      </c>
      <c r="BBU26">
        <v>22609</v>
      </c>
      <c r="BBV26">
        <v>5.7410799999999998E-2</v>
      </c>
      <c r="BBW26">
        <v>22609</v>
      </c>
      <c r="BBX26">
        <v>2.07882E-2</v>
      </c>
      <c r="BBY26">
        <v>22609</v>
      </c>
      <c r="BBZ26">
        <v>0.1473749</v>
      </c>
      <c r="BCA26">
        <v>22609</v>
      </c>
      <c r="BCB26">
        <v>0.27944619999999998</v>
      </c>
      <c r="BCC26">
        <v>22609</v>
      </c>
      <c r="BCD26">
        <v>5.8162699999999998E-2</v>
      </c>
      <c r="BCE26">
        <v>22609</v>
      </c>
      <c r="BCF26">
        <v>0.30846119999999999</v>
      </c>
      <c r="BCG26">
        <v>22609</v>
      </c>
      <c r="BCH26">
        <v>0.128356</v>
      </c>
      <c r="BCI26">
        <v>45600</v>
      </c>
      <c r="BCJ26">
        <v>1.55263E-2</v>
      </c>
      <c r="BCK26">
        <v>45600</v>
      </c>
      <c r="BCL26">
        <v>3.6030699999999999E-2</v>
      </c>
      <c r="BCM26">
        <v>45600</v>
      </c>
      <c r="BCN26">
        <v>0.2828947</v>
      </c>
      <c r="BCO26">
        <v>45600</v>
      </c>
      <c r="BCP26">
        <v>0.22537280000000001</v>
      </c>
      <c r="BCQ26">
        <v>45600</v>
      </c>
      <c r="BCR26">
        <v>0.1080044</v>
      </c>
      <c r="BCS26">
        <v>45600</v>
      </c>
      <c r="BCT26">
        <v>0.23368420000000001</v>
      </c>
      <c r="BCU26">
        <v>45600</v>
      </c>
      <c r="BCV26">
        <v>9.8486799999999999E-2</v>
      </c>
      <c r="BCW26">
        <v>18898</v>
      </c>
      <c r="BCX26">
        <v>4.9370299999999999E-2</v>
      </c>
      <c r="BCY26">
        <v>18898</v>
      </c>
      <c r="BCZ26">
        <v>0.1114404</v>
      </c>
      <c r="BDA26">
        <v>18898</v>
      </c>
      <c r="BDB26">
        <v>0.45756160000000001</v>
      </c>
      <c r="BDC26">
        <v>18898</v>
      </c>
      <c r="BDD26">
        <v>0.20541860000000001</v>
      </c>
      <c r="BDE26">
        <v>18898</v>
      </c>
      <c r="BDF26">
        <v>3.9316299999999998E-2</v>
      </c>
      <c r="BDG26">
        <v>18898</v>
      </c>
      <c r="BDH26">
        <v>8.9215799999999998E-2</v>
      </c>
      <c r="BDI26">
        <v>18898</v>
      </c>
      <c r="BDJ26">
        <v>4.7676999999999997E-2</v>
      </c>
      <c r="BDK26">
        <v>72926</v>
      </c>
      <c r="BDL26">
        <v>4.5456999999999997E-2</v>
      </c>
      <c r="BDM26">
        <v>3315</v>
      </c>
      <c r="BDN26">
        <v>0.70829560000000003</v>
      </c>
      <c r="BDO26">
        <v>2348</v>
      </c>
      <c r="BDP26">
        <v>0.72061330000000001</v>
      </c>
      <c r="BDQ26">
        <v>2348</v>
      </c>
      <c r="BDR26">
        <v>0.27938669999999999</v>
      </c>
      <c r="BDS26">
        <v>3315</v>
      </c>
      <c r="BDT26">
        <v>0.29170439999999997</v>
      </c>
      <c r="BDU26">
        <v>967</v>
      </c>
      <c r="BDV26">
        <v>0.68355739999999998</v>
      </c>
      <c r="BDW26">
        <v>967</v>
      </c>
      <c r="BDX26">
        <v>0.31644260000000002</v>
      </c>
      <c r="BDY26">
        <v>72926</v>
      </c>
      <c r="BDZ26">
        <v>0.95454289999999997</v>
      </c>
      <c r="BEA26">
        <v>69611</v>
      </c>
      <c r="BEB26">
        <v>0.56054360000000003</v>
      </c>
      <c r="BEC26">
        <v>39020</v>
      </c>
      <c r="BED26">
        <v>0.76401850000000004</v>
      </c>
      <c r="BEE26">
        <v>39020</v>
      </c>
      <c r="BEF26">
        <v>0.23598160000000001</v>
      </c>
      <c r="BEG26">
        <v>69611</v>
      </c>
      <c r="BEH26">
        <v>0.43945640000000002</v>
      </c>
      <c r="BEI26">
        <v>30591</v>
      </c>
      <c r="BEJ26">
        <v>0.75041679999999999</v>
      </c>
      <c r="BEK26">
        <v>30591</v>
      </c>
      <c r="BEL26">
        <v>0.24958320000000001</v>
      </c>
      <c r="BEM26">
        <v>151786</v>
      </c>
      <c r="BEN26">
        <v>0.52985780000000005</v>
      </c>
      <c r="BEO26">
        <v>80425</v>
      </c>
      <c r="BEP26">
        <v>0.83255210000000002</v>
      </c>
      <c r="BEQ26">
        <v>66958</v>
      </c>
      <c r="BER26">
        <v>0.1992294</v>
      </c>
      <c r="BES26">
        <v>66958</v>
      </c>
      <c r="BET26">
        <v>0.8007706</v>
      </c>
      <c r="BEU26">
        <v>80425</v>
      </c>
      <c r="BEV26">
        <v>0.16744790000000001</v>
      </c>
      <c r="BEW26">
        <v>151786</v>
      </c>
      <c r="BEX26">
        <v>0.47014220000000001</v>
      </c>
      <c r="BEY26">
        <v>71361</v>
      </c>
      <c r="BEZ26">
        <v>0.83193899999999998</v>
      </c>
      <c r="BFA26">
        <v>59368</v>
      </c>
      <c r="BFB26">
        <v>0.24061779999999999</v>
      </c>
      <c r="BFC26">
        <v>59368</v>
      </c>
      <c r="BFD26">
        <v>0.75938220000000001</v>
      </c>
      <c r="BFE26">
        <v>71361</v>
      </c>
      <c r="BFF26">
        <v>0.16806099999999999</v>
      </c>
      <c r="BFG26">
        <v>152783</v>
      </c>
      <c r="BFH26">
        <v>0.26830860000000001</v>
      </c>
      <c r="BFI26">
        <v>40993</v>
      </c>
      <c r="BFJ26">
        <v>0.95143069999999996</v>
      </c>
      <c r="BFK26">
        <v>40993</v>
      </c>
      <c r="BFL26">
        <v>4.8569300000000003E-2</v>
      </c>
      <c r="BFM26">
        <v>1991</v>
      </c>
      <c r="BFN26">
        <v>0.29382219999999998</v>
      </c>
      <c r="BFO26">
        <v>1991</v>
      </c>
      <c r="BFP26">
        <v>0.70617779999999997</v>
      </c>
      <c r="BFQ26">
        <v>152783</v>
      </c>
      <c r="BFR26">
        <v>0.73169139999999999</v>
      </c>
      <c r="BFS26">
        <v>111790</v>
      </c>
      <c r="BFT26">
        <v>0.89231590000000005</v>
      </c>
      <c r="BFU26">
        <v>111790</v>
      </c>
      <c r="BFV26">
        <v>0.1076841</v>
      </c>
      <c r="BFW26">
        <v>12038</v>
      </c>
      <c r="BFX26">
        <v>0.39026420000000001</v>
      </c>
      <c r="BFY26">
        <v>12038</v>
      </c>
      <c r="BFZ26">
        <v>0.60973580000000005</v>
      </c>
      <c r="BGA26">
        <v>155362</v>
      </c>
      <c r="BGB26">
        <v>0.25474049999999998</v>
      </c>
      <c r="BGC26">
        <v>39577</v>
      </c>
      <c r="BGD26">
        <v>0.98418269999999997</v>
      </c>
      <c r="BGE26">
        <v>39577</v>
      </c>
      <c r="BGF26">
        <v>1.5817299999999999E-2</v>
      </c>
      <c r="BGG26">
        <v>626</v>
      </c>
      <c r="BGH26">
        <v>0.81948880000000002</v>
      </c>
      <c r="BGI26">
        <v>626</v>
      </c>
      <c r="BGJ26">
        <v>0.18051120000000001</v>
      </c>
      <c r="BGK26">
        <v>155362</v>
      </c>
      <c r="BGL26">
        <v>0.74525949999999996</v>
      </c>
      <c r="BGM26">
        <v>115785</v>
      </c>
      <c r="BGN26">
        <v>0.88546009999999997</v>
      </c>
      <c r="BGO26">
        <v>115785</v>
      </c>
      <c r="BGP26">
        <v>0.1145399</v>
      </c>
      <c r="BGQ26">
        <v>13262</v>
      </c>
      <c r="BGR26">
        <v>0.53800329999999996</v>
      </c>
      <c r="BGS26">
        <v>13262</v>
      </c>
      <c r="BGT26">
        <v>0.46199669999999998</v>
      </c>
    </row>
    <row r="27" spans="1:1554" x14ac:dyDescent="0.25">
      <c r="A27" t="s">
        <v>135</v>
      </c>
      <c r="B27">
        <v>2008</v>
      </c>
      <c r="C27">
        <v>1</v>
      </c>
      <c r="D27" t="s">
        <v>536</v>
      </c>
      <c r="E27">
        <v>52131</v>
      </c>
      <c r="F27">
        <v>0.40975620000000001</v>
      </c>
      <c r="G27">
        <v>21361</v>
      </c>
      <c r="H27">
        <v>0.1072047</v>
      </c>
      <c r="I27">
        <v>21361</v>
      </c>
      <c r="J27">
        <v>3.9511299999999999E-2</v>
      </c>
      <c r="K27">
        <v>21361</v>
      </c>
      <c r="L27">
        <v>0.1486354</v>
      </c>
      <c r="M27">
        <v>21361</v>
      </c>
      <c r="N27">
        <v>7.4856000000000006E-2</v>
      </c>
      <c r="O27">
        <v>21361</v>
      </c>
      <c r="P27">
        <v>1.6338200000000001E-2</v>
      </c>
      <c r="Q27">
        <v>21361</v>
      </c>
      <c r="R27">
        <v>1.6899999999999998E-2</v>
      </c>
      <c r="S27">
        <v>21361</v>
      </c>
      <c r="T27">
        <v>9.5454300000000006E-2</v>
      </c>
      <c r="U27">
        <v>21361</v>
      </c>
      <c r="V27">
        <v>0.1240579</v>
      </c>
      <c r="W27">
        <v>21361</v>
      </c>
      <c r="X27">
        <v>0.1057535</v>
      </c>
      <c r="Y27">
        <v>21361</v>
      </c>
      <c r="Z27">
        <v>0.102336</v>
      </c>
      <c r="AA27">
        <v>21361</v>
      </c>
      <c r="AB27">
        <v>0.1009316</v>
      </c>
      <c r="AC27">
        <v>21361</v>
      </c>
      <c r="AD27">
        <v>4.1056099999999998E-2</v>
      </c>
      <c r="AE27">
        <v>21361</v>
      </c>
      <c r="AF27">
        <v>2.6964999999999999E-2</v>
      </c>
      <c r="AG27">
        <v>52131</v>
      </c>
      <c r="AH27">
        <v>0.59024379999999999</v>
      </c>
      <c r="AI27">
        <v>30770</v>
      </c>
      <c r="AJ27">
        <v>8.3945400000000003E-2</v>
      </c>
      <c r="AK27">
        <v>30770</v>
      </c>
      <c r="AL27">
        <v>3.4448999999999999E-3</v>
      </c>
      <c r="AM27">
        <v>30770</v>
      </c>
      <c r="AN27">
        <v>0.10763730000000001</v>
      </c>
      <c r="AO27">
        <v>30770</v>
      </c>
      <c r="AP27">
        <v>4.9821299999999999E-2</v>
      </c>
      <c r="AQ27">
        <v>30770</v>
      </c>
      <c r="AR27">
        <v>8.7747999999999993E-3</v>
      </c>
      <c r="AS27">
        <v>30770</v>
      </c>
      <c r="AT27">
        <v>1.7614600000000001E-2</v>
      </c>
      <c r="AU27">
        <v>30770</v>
      </c>
      <c r="AV27">
        <v>0.1286968</v>
      </c>
      <c r="AW27">
        <v>30770</v>
      </c>
      <c r="AX27">
        <v>0.17240820000000001</v>
      </c>
      <c r="AY27">
        <v>30770</v>
      </c>
      <c r="AZ27">
        <v>0.1105947</v>
      </c>
      <c r="BA27">
        <v>30770</v>
      </c>
      <c r="BB27">
        <v>8.5505399999999995E-2</v>
      </c>
      <c r="BC27">
        <v>30770</v>
      </c>
      <c r="BD27">
        <v>0.1023399</v>
      </c>
      <c r="BE27">
        <v>30770</v>
      </c>
      <c r="BF27">
        <v>4.7448799999999999E-2</v>
      </c>
      <c r="BG27">
        <v>30770</v>
      </c>
      <c r="BH27">
        <v>8.1767999999999993E-2</v>
      </c>
      <c r="BI27">
        <v>865090</v>
      </c>
      <c r="BJ27">
        <v>0.50465499999999996</v>
      </c>
      <c r="BK27">
        <v>436572</v>
      </c>
      <c r="BL27">
        <v>6.5817299999999995E-2</v>
      </c>
      <c r="BM27">
        <v>436572</v>
      </c>
      <c r="BN27">
        <v>1.01037E-2</v>
      </c>
      <c r="BO27">
        <v>436572</v>
      </c>
      <c r="BP27">
        <v>8.1995600000000002E-2</v>
      </c>
      <c r="BQ27">
        <v>436572</v>
      </c>
      <c r="BR27">
        <v>4.55022E-2</v>
      </c>
      <c r="BS27">
        <v>436572</v>
      </c>
      <c r="BT27">
        <v>1.32464E-2</v>
      </c>
      <c r="BU27">
        <v>436572</v>
      </c>
      <c r="BV27">
        <v>3.31194E-2</v>
      </c>
      <c r="BW27">
        <v>436572</v>
      </c>
      <c r="BX27">
        <v>9.3796699999999997E-2</v>
      </c>
      <c r="BY27">
        <v>436572</v>
      </c>
      <c r="BZ27">
        <v>0.12110029999999999</v>
      </c>
      <c r="CA27">
        <v>436572</v>
      </c>
      <c r="CB27">
        <v>0.15453120000000001</v>
      </c>
      <c r="CC27">
        <v>436572</v>
      </c>
      <c r="CD27">
        <v>0.16861590000000001</v>
      </c>
      <c r="CE27">
        <v>436572</v>
      </c>
      <c r="CF27">
        <v>0.12001000000000001</v>
      </c>
      <c r="CG27">
        <v>436572</v>
      </c>
      <c r="CH27">
        <v>5.8606600000000002E-2</v>
      </c>
      <c r="CI27">
        <v>436572</v>
      </c>
      <c r="CJ27">
        <v>3.3554599999999997E-2</v>
      </c>
      <c r="CK27">
        <v>865090</v>
      </c>
      <c r="CL27">
        <v>0.49534499999999998</v>
      </c>
      <c r="CM27">
        <v>428518</v>
      </c>
      <c r="CN27">
        <v>6.1080299999999997E-2</v>
      </c>
      <c r="CO27">
        <v>428518</v>
      </c>
      <c r="CP27">
        <v>1.45945E-2</v>
      </c>
      <c r="CQ27">
        <v>428518</v>
      </c>
      <c r="CR27">
        <v>7.5861499999999998E-2</v>
      </c>
      <c r="CS27">
        <v>428518</v>
      </c>
      <c r="CT27">
        <v>4.5307300000000002E-2</v>
      </c>
      <c r="CU27">
        <v>428518</v>
      </c>
      <c r="CV27">
        <v>1.4942199999999999E-2</v>
      </c>
      <c r="CW27">
        <v>428518</v>
      </c>
      <c r="CX27">
        <v>2.9534299999999999E-2</v>
      </c>
      <c r="CY27">
        <v>428518</v>
      </c>
      <c r="CZ27">
        <v>7.9116900000000004E-2</v>
      </c>
      <c r="DA27">
        <v>428518</v>
      </c>
      <c r="DB27">
        <v>0.1098484</v>
      </c>
      <c r="DC27">
        <v>428518</v>
      </c>
      <c r="DD27">
        <v>0.15146850000000001</v>
      </c>
      <c r="DE27">
        <v>428518</v>
      </c>
      <c r="DF27">
        <v>0.1775678</v>
      </c>
      <c r="DG27">
        <v>428518</v>
      </c>
      <c r="DH27">
        <v>0.1239294</v>
      </c>
      <c r="DI27">
        <v>428518</v>
      </c>
      <c r="DJ27">
        <v>6.3719600000000001E-2</v>
      </c>
      <c r="DK27">
        <v>428518</v>
      </c>
      <c r="DL27">
        <v>5.3029300000000001E-2</v>
      </c>
      <c r="DM27">
        <v>606947</v>
      </c>
      <c r="DN27">
        <v>4.80569E-2</v>
      </c>
      <c r="DO27">
        <v>29168</v>
      </c>
      <c r="DP27">
        <v>0.36697750000000001</v>
      </c>
      <c r="DQ27">
        <v>297278</v>
      </c>
      <c r="DR27">
        <v>3.6006700000000003E-2</v>
      </c>
      <c r="DS27">
        <v>10704</v>
      </c>
      <c r="DT27">
        <v>0.2251495</v>
      </c>
      <c r="DU27">
        <v>23073</v>
      </c>
      <c r="DV27">
        <v>0.10445110000000001</v>
      </c>
      <c r="DW27">
        <v>10704</v>
      </c>
      <c r="DX27">
        <v>0.18740660000000001</v>
      </c>
      <c r="DY27">
        <v>53740</v>
      </c>
      <c r="DZ27">
        <v>3.7327899999999997E-2</v>
      </c>
      <c r="EA27">
        <v>10704</v>
      </c>
      <c r="EB27">
        <v>0.22804559999999999</v>
      </c>
      <c r="EC27">
        <v>78952</v>
      </c>
      <c r="ED27">
        <v>3.0917500000000001E-2</v>
      </c>
      <c r="EE27">
        <v>10704</v>
      </c>
      <c r="EF27">
        <v>0.35939840000000001</v>
      </c>
      <c r="EG27">
        <v>141513</v>
      </c>
      <c r="EH27">
        <v>2.7184799999999999E-2</v>
      </c>
      <c r="EI27">
        <v>29168</v>
      </c>
      <c r="EJ27">
        <v>0.63302250000000004</v>
      </c>
      <c r="EK27">
        <v>309669</v>
      </c>
      <c r="EL27">
        <v>5.9624999999999997E-2</v>
      </c>
      <c r="EM27">
        <v>18464</v>
      </c>
      <c r="EN27">
        <v>0.23759749999999999</v>
      </c>
      <c r="EO27">
        <v>24304</v>
      </c>
      <c r="EP27">
        <v>0.18050530000000001</v>
      </c>
      <c r="EQ27">
        <v>18464</v>
      </c>
      <c r="ER27">
        <v>0.29966419999999999</v>
      </c>
      <c r="ES27">
        <v>65510</v>
      </c>
      <c r="ET27">
        <v>8.4460400000000005E-2</v>
      </c>
      <c r="EU27">
        <v>18464</v>
      </c>
      <c r="EV27">
        <v>0.22725300000000001</v>
      </c>
      <c r="EW27">
        <v>86311</v>
      </c>
      <c r="EX27">
        <v>4.8614900000000003E-2</v>
      </c>
      <c r="EY27">
        <v>18464</v>
      </c>
      <c r="EZ27">
        <v>0.23548530000000001</v>
      </c>
      <c r="FA27">
        <v>133544</v>
      </c>
      <c r="FB27">
        <v>3.25586E-2</v>
      </c>
      <c r="FC27">
        <v>606947</v>
      </c>
      <c r="FD27">
        <v>0.95194310000000004</v>
      </c>
      <c r="FE27">
        <v>577779</v>
      </c>
      <c r="FF27">
        <v>0.4959924</v>
      </c>
      <c r="FG27">
        <v>297278</v>
      </c>
      <c r="FH27">
        <v>0.96399330000000005</v>
      </c>
      <c r="FI27">
        <v>286574</v>
      </c>
      <c r="FJ27">
        <v>7.2103500000000001E-2</v>
      </c>
      <c r="FK27">
        <v>23073</v>
      </c>
      <c r="FL27">
        <v>0.89554889999999998</v>
      </c>
      <c r="FM27">
        <v>286574</v>
      </c>
      <c r="FN27">
        <v>0.18052579999999999</v>
      </c>
      <c r="FO27">
        <v>53740</v>
      </c>
      <c r="FP27">
        <v>0.96267210000000003</v>
      </c>
      <c r="FQ27">
        <v>286574</v>
      </c>
      <c r="FR27">
        <v>0.26698509999999998</v>
      </c>
      <c r="FS27">
        <v>78952</v>
      </c>
      <c r="FT27">
        <v>0.96908249999999996</v>
      </c>
      <c r="FU27">
        <v>286574</v>
      </c>
      <c r="FV27">
        <v>0.48038550000000002</v>
      </c>
      <c r="FW27">
        <v>141513</v>
      </c>
      <c r="FX27">
        <v>0.97281519999999999</v>
      </c>
      <c r="FY27">
        <v>577779</v>
      </c>
      <c r="FZ27">
        <v>0.5040076</v>
      </c>
      <c r="GA27">
        <v>309669</v>
      </c>
      <c r="GB27">
        <v>0.94037499999999996</v>
      </c>
      <c r="GC27">
        <v>291205</v>
      </c>
      <c r="GD27">
        <v>6.83951E-2</v>
      </c>
      <c r="GE27">
        <v>24304</v>
      </c>
      <c r="GF27">
        <v>0.81949470000000002</v>
      </c>
      <c r="GG27">
        <v>291205</v>
      </c>
      <c r="GH27">
        <v>0.20596139999999999</v>
      </c>
      <c r="GI27">
        <v>65510</v>
      </c>
      <c r="GJ27">
        <v>0.91553960000000001</v>
      </c>
      <c r="GK27">
        <v>291205</v>
      </c>
      <c r="GL27">
        <v>0.2819835</v>
      </c>
      <c r="GM27">
        <v>86311</v>
      </c>
      <c r="GN27">
        <v>0.95138509999999998</v>
      </c>
      <c r="GO27">
        <v>291205</v>
      </c>
      <c r="GP27">
        <v>0.44366</v>
      </c>
      <c r="GQ27">
        <v>133544</v>
      </c>
      <c r="GR27">
        <v>0.96744140000000001</v>
      </c>
      <c r="GS27">
        <v>715816</v>
      </c>
      <c r="GT27">
        <v>5.0389999999999997E-2</v>
      </c>
      <c r="GU27">
        <v>36070</v>
      </c>
      <c r="GV27">
        <v>0.36329359999999999</v>
      </c>
      <c r="GW27">
        <v>13104</v>
      </c>
      <c r="GX27">
        <v>0.18108969999999999</v>
      </c>
      <c r="GY27">
        <v>13104</v>
      </c>
      <c r="GZ27">
        <v>0.42712149999999999</v>
      </c>
      <c r="HA27">
        <v>13104</v>
      </c>
      <c r="HB27">
        <v>0.39178879999999999</v>
      </c>
      <c r="HC27">
        <v>13104</v>
      </c>
      <c r="HD27">
        <v>0.62248170000000003</v>
      </c>
      <c r="HE27">
        <v>13104</v>
      </c>
      <c r="HF27">
        <v>0.37751829999999997</v>
      </c>
      <c r="HG27">
        <v>8157</v>
      </c>
      <c r="HH27">
        <v>0.68775280000000005</v>
      </c>
      <c r="HI27">
        <v>8157</v>
      </c>
      <c r="HJ27">
        <v>0.3122472</v>
      </c>
      <c r="HK27">
        <v>36070</v>
      </c>
      <c r="HL27">
        <v>0.63670640000000001</v>
      </c>
      <c r="HM27">
        <v>22966</v>
      </c>
      <c r="HN27">
        <v>7.7418799999999996E-2</v>
      </c>
      <c r="HO27">
        <v>22966</v>
      </c>
      <c r="HP27">
        <v>0.3988505</v>
      </c>
      <c r="HQ27">
        <v>22966</v>
      </c>
      <c r="HR27">
        <v>0.52373080000000005</v>
      </c>
      <c r="HS27">
        <v>22966</v>
      </c>
      <c r="HT27">
        <v>0.42985279999999998</v>
      </c>
      <c r="HU27">
        <v>22966</v>
      </c>
      <c r="HV27">
        <v>0.57014719999999997</v>
      </c>
      <c r="HW27">
        <v>9872</v>
      </c>
      <c r="HX27">
        <v>0.84299029999999997</v>
      </c>
      <c r="HY27">
        <v>9872</v>
      </c>
      <c r="HZ27">
        <v>0.1570097</v>
      </c>
      <c r="IA27">
        <v>715816</v>
      </c>
      <c r="IB27">
        <v>0.94960990000000001</v>
      </c>
      <c r="IC27">
        <v>679746</v>
      </c>
      <c r="ID27">
        <v>0.50310259999999996</v>
      </c>
      <c r="IE27">
        <v>341982</v>
      </c>
      <c r="IF27">
        <v>0.61929290000000004</v>
      </c>
      <c r="IG27">
        <v>341982</v>
      </c>
      <c r="IH27">
        <v>0.23672589999999999</v>
      </c>
      <c r="II27">
        <v>341982</v>
      </c>
      <c r="IJ27">
        <v>0.14398130000000001</v>
      </c>
      <c r="IK27">
        <v>341598</v>
      </c>
      <c r="IL27">
        <v>0.82582160000000004</v>
      </c>
      <c r="IM27">
        <v>341598</v>
      </c>
      <c r="IN27">
        <v>0.17417840000000001</v>
      </c>
      <c r="IO27">
        <v>282099</v>
      </c>
      <c r="IP27">
        <v>0.94842590000000004</v>
      </c>
      <c r="IQ27">
        <v>282099</v>
      </c>
      <c r="IR27">
        <v>5.1574099999999998E-2</v>
      </c>
      <c r="IS27">
        <v>679746</v>
      </c>
      <c r="IT27">
        <v>0.49689739999999999</v>
      </c>
      <c r="IU27">
        <v>337764</v>
      </c>
      <c r="IV27">
        <v>0.41053220000000001</v>
      </c>
      <c r="IW27">
        <v>337764</v>
      </c>
      <c r="IX27">
        <v>0.30003790000000002</v>
      </c>
      <c r="IY27">
        <v>337764</v>
      </c>
      <c r="IZ27">
        <v>0.28942990000000002</v>
      </c>
      <c r="JA27">
        <v>337764</v>
      </c>
      <c r="JB27">
        <v>0.67417780000000005</v>
      </c>
      <c r="JC27">
        <v>337764</v>
      </c>
      <c r="JD27">
        <v>0.32582220000000001</v>
      </c>
      <c r="JE27">
        <v>227713</v>
      </c>
      <c r="JF27">
        <v>0.95352040000000005</v>
      </c>
      <c r="JG27">
        <v>227713</v>
      </c>
      <c r="JH27">
        <v>4.6479600000000003E-2</v>
      </c>
      <c r="JI27">
        <v>239431</v>
      </c>
      <c r="JJ27">
        <v>5.6500599999999998E-2</v>
      </c>
      <c r="JK27">
        <v>13528</v>
      </c>
      <c r="JL27">
        <v>0.44529859999999999</v>
      </c>
      <c r="JM27">
        <v>6024</v>
      </c>
      <c r="JN27">
        <v>0.64724429999999999</v>
      </c>
      <c r="JO27">
        <v>6024</v>
      </c>
      <c r="JP27">
        <v>0.64724429999999999</v>
      </c>
      <c r="JQ27">
        <v>6024</v>
      </c>
      <c r="JR27">
        <v>0.64724429999999999</v>
      </c>
      <c r="JS27">
        <v>6024</v>
      </c>
      <c r="JT27">
        <v>0.64724429999999999</v>
      </c>
      <c r="JU27">
        <v>6024</v>
      </c>
      <c r="JV27">
        <v>0.3527556</v>
      </c>
      <c r="JW27">
        <v>13528</v>
      </c>
      <c r="JX27">
        <v>0.55470140000000001</v>
      </c>
      <c r="JY27">
        <v>7504</v>
      </c>
      <c r="JZ27">
        <v>0.26052769999999997</v>
      </c>
      <c r="KA27">
        <v>1955</v>
      </c>
      <c r="KB27">
        <v>0.88491050000000004</v>
      </c>
      <c r="KC27">
        <v>1730</v>
      </c>
      <c r="KD27">
        <v>0.3578035</v>
      </c>
      <c r="KE27">
        <v>1730</v>
      </c>
      <c r="KF27">
        <v>0.27687859999999997</v>
      </c>
      <c r="KG27">
        <v>1730</v>
      </c>
      <c r="KH27">
        <v>0.36531789999999997</v>
      </c>
      <c r="KI27">
        <v>1955</v>
      </c>
      <c r="KJ27">
        <v>0.1150895</v>
      </c>
      <c r="KK27">
        <v>7504</v>
      </c>
      <c r="KL27">
        <v>0.73947229999999997</v>
      </c>
      <c r="KM27">
        <v>5549</v>
      </c>
      <c r="KN27">
        <v>0.86772389999999999</v>
      </c>
      <c r="KO27">
        <v>4815</v>
      </c>
      <c r="KP27">
        <v>0.1052959</v>
      </c>
      <c r="KQ27">
        <v>4815</v>
      </c>
      <c r="KR27">
        <v>0.22139149999999999</v>
      </c>
      <c r="KS27">
        <v>4815</v>
      </c>
      <c r="KT27">
        <v>0.67331249999999998</v>
      </c>
      <c r="KU27">
        <v>5549</v>
      </c>
      <c r="KV27">
        <v>0.13227610000000001</v>
      </c>
      <c r="KW27">
        <v>239431</v>
      </c>
      <c r="KX27">
        <v>1.6614400000000001E-2</v>
      </c>
      <c r="KY27">
        <v>3978</v>
      </c>
      <c r="KZ27">
        <v>0.58572150000000001</v>
      </c>
      <c r="LA27">
        <v>2330</v>
      </c>
      <c r="LB27">
        <v>0.57510729999999999</v>
      </c>
      <c r="LC27">
        <v>2330</v>
      </c>
      <c r="LD27">
        <v>0.57510729999999999</v>
      </c>
      <c r="LE27">
        <v>2330</v>
      </c>
      <c r="LF27">
        <v>0.57510729999999999</v>
      </c>
      <c r="LG27">
        <v>2330</v>
      </c>
      <c r="LH27">
        <v>0.57510729999999999</v>
      </c>
      <c r="LI27">
        <v>2330</v>
      </c>
      <c r="LJ27">
        <v>0.42489270000000001</v>
      </c>
      <c r="LK27">
        <v>3978</v>
      </c>
      <c r="LL27">
        <v>0.41427849999999999</v>
      </c>
      <c r="LM27">
        <v>1648</v>
      </c>
      <c r="LN27">
        <v>0.47754849999999999</v>
      </c>
      <c r="LO27">
        <v>787</v>
      </c>
      <c r="LP27">
        <v>0.87166449999999995</v>
      </c>
      <c r="LQ27">
        <v>686</v>
      </c>
      <c r="LR27">
        <v>0.51457730000000002</v>
      </c>
      <c r="LS27">
        <v>686</v>
      </c>
      <c r="LT27">
        <v>7.1428599999999995E-2</v>
      </c>
      <c r="LU27">
        <v>686</v>
      </c>
      <c r="LV27">
        <v>0.41399419999999998</v>
      </c>
      <c r="LW27">
        <v>787</v>
      </c>
      <c r="LX27">
        <v>0.12833539999999999</v>
      </c>
      <c r="LY27">
        <v>1648</v>
      </c>
      <c r="LZ27">
        <v>0.52245149999999996</v>
      </c>
      <c r="MA27">
        <v>861</v>
      </c>
      <c r="MB27">
        <v>0.81765390000000004</v>
      </c>
      <c r="MC27">
        <v>704</v>
      </c>
      <c r="MD27">
        <v>0</v>
      </c>
      <c r="ME27">
        <v>704</v>
      </c>
      <c r="MF27">
        <v>0.41477269999999999</v>
      </c>
      <c r="MG27">
        <v>704</v>
      </c>
      <c r="MH27">
        <v>0.58522730000000001</v>
      </c>
      <c r="MI27">
        <v>861</v>
      </c>
      <c r="MJ27">
        <v>0.18234610000000001</v>
      </c>
      <c r="MK27">
        <v>239431</v>
      </c>
      <c r="ML27">
        <v>3.2268199999999997E-2</v>
      </c>
      <c r="MM27">
        <v>7726</v>
      </c>
      <c r="MN27">
        <v>0.58697900000000003</v>
      </c>
      <c r="MO27">
        <v>4535</v>
      </c>
      <c r="MP27">
        <v>0.61543550000000002</v>
      </c>
      <c r="MQ27">
        <v>4535</v>
      </c>
      <c r="MR27">
        <v>0.61543550000000002</v>
      </c>
      <c r="MS27">
        <v>4535</v>
      </c>
      <c r="MT27">
        <v>0.61543550000000002</v>
      </c>
      <c r="MU27">
        <v>4535</v>
      </c>
      <c r="MV27">
        <v>0.61543550000000002</v>
      </c>
      <c r="MW27">
        <v>4535</v>
      </c>
      <c r="MX27">
        <v>0.38456449999999998</v>
      </c>
      <c r="MY27">
        <v>7726</v>
      </c>
      <c r="MZ27">
        <v>0.41302100000000003</v>
      </c>
      <c r="NA27">
        <v>3191</v>
      </c>
      <c r="NB27">
        <v>0.34973359999999998</v>
      </c>
      <c r="NC27">
        <v>1116</v>
      </c>
      <c r="ND27">
        <v>0.59498209999999996</v>
      </c>
      <c r="NE27">
        <v>664</v>
      </c>
      <c r="NF27">
        <v>0.375</v>
      </c>
      <c r="NG27">
        <v>664</v>
      </c>
      <c r="NH27">
        <v>0.20933740000000001</v>
      </c>
      <c r="NI27">
        <v>664</v>
      </c>
      <c r="NJ27">
        <v>0.41566259999999999</v>
      </c>
      <c r="NK27">
        <v>1116</v>
      </c>
      <c r="NL27">
        <v>0.40501789999999999</v>
      </c>
      <c r="NM27">
        <v>3191</v>
      </c>
      <c r="NN27">
        <v>0.65026629999999996</v>
      </c>
      <c r="NO27">
        <v>2075</v>
      </c>
      <c r="NP27">
        <v>0.93638560000000004</v>
      </c>
      <c r="NQ27">
        <v>1943</v>
      </c>
      <c r="NR27">
        <v>0.14410700000000001</v>
      </c>
      <c r="NS27">
        <v>1943</v>
      </c>
      <c r="NT27">
        <v>0.1152856</v>
      </c>
      <c r="NU27">
        <v>1943</v>
      </c>
      <c r="NV27">
        <v>0.74060729999999997</v>
      </c>
      <c r="NW27">
        <v>2075</v>
      </c>
      <c r="NX27">
        <v>6.3614500000000004E-2</v>
      </c>
      <c r="NY27">
        <v>239431</v>
      </c>
      <c r="NZ27">
        <v>0.89461679999999999</v>
      </c>
      <c r="OA27">
        <v>214199</v>
      </c>
      <c r="OB27">
        <v>0.84534940000000003</v>
      </c>
      <c r="OC27">
        <v>181073</v>
      </c>
      <c r="OD27">
        <v>0.4917299</v>
      </c>
      <c r="OE27">
        <v>181073</v>
      </c>
      <c r="OF27">
        <v>0.4917299</v>
      </c>
      <c r="OG27">
        <v>181073</v>
      </c>
      <c r="OH27">
        <v>0.4917299</v>
      </c>
      <c r="OI27">
        <v>181073</v>
      </c>
      <c r="OJ27">
        <v>0.4917299</v>
      </c>
      <c r="OK27">
        <v>181073</v>
      </c>
      <c r="OL27">
        <v>0.50827009999999995</v>
      </c>
      <c r="OM27">
        <v>214199</v>
      </c>
      <c r="ON27">
        <v>0.1546506</v>
      </c>
      <c r="OO27">
        <v>33126</v>
      </c>
      <c r="OP27">
        <v>0.31096420000000002</v>
      </c>
      <c r="OQ27">
        <v>10301</v>
      </c>
      <c r="OR27">
        <v>0.39937869999999998</v>
      </c>
      <c r="OS27">
        <v>4114</v>
      </c>
      <c r="OT27">
        <v>0.27248420000000001</v>
      </c>
      <c r="OU27">
        <v>4114</v>
      </c>
      <c r="OV27">
        <v>5.2017500000000001E-2</v>
      </c>
      <c r="OW27">
        <v>4114</v>
      </c>
      <c r="OX27">
        <v>0.6754983</v>
      </c>
      <c r="OY27">
        <v>10301</v>
      </c>
      <c r="OZ27">
        <v>0.60062130000000002</v>
      </c>
      <c r="PA27">
        <v>33126</v>
      </c>
      <c r="PB27">
        <v>0.68903579999999998</v>
      </c>
      <c r="PC27">
        <v>22825</v>
      </c>
      <c r="PD27">
        <v>0.53997810000000002</v>
      </c>
      <c r="PE27">
        <v>12325</v>
      </c>
      <c r="PF27">
        <v>0.1024746</v>
      </c>
      <c r="PG27">
        <v>12325</v>
      </c>
      <c r="PH27">
        <v>3.4807299999999999E-2</v>
      </c>
      <c r="PI27">
        <v>12325</v>
      </c>
      <c r="PJ27">
        <v>0.86271799999999998</v>
      </c>
      <c r="PK27">
        <v>22825</v>
      </c>
      <c r="PL27">
        <v>0.46002189999999998</v>
      </c>
      <c r="PM27">
        <v>930528</v>
      </c>
      <c r="PN27">
        <v>0.49773139999999999</v>
      </c>
      <c r="PO27">
        <v>463153</v>
      </c>
      <c r="PP27">
        <v>6.7360000000000003E-2</v>
      </c>
      <c r="PQ27">
        <v>463153</v>
      </c>
      <c r="PR27">
        <v>6.5196599999999993E-2</v>
      </c>
      <c r="PS27">
        <v>463153</v>
      </c>
      <c r="PT27">
        <v>7.7326500000000006E-2</v>
      </c>
      <c r="PU27">
        <v>463153</v>
      </c>
      <c r="PV27">
        <v>4.5237699999999999E-2</v>
      </c>
      <c r="PW27">
        <v>463153</v>
      </c>
      <c r="PX27">
        <v>3.0210299999999999E-2</v>
      </c>
      <c r="PY27">
        <v>463153</v>
      </c>
      <c r="PZ27">
        <v>1.2538000000000001E-2</v>
      </c>
      <c r="QA27">
        <v>463153</v>
      </c>
      <c r="QB27">
        <v>1.2250799999999999E-2</v>
      </c>
      <c r="QC27">
        <v>463153</v>
      </c>
      <c r="QD27">
        <v>4.3365800000000003E-2</v>
      </c>
      <c r="QE27">
        <v>463153</v>
      </c>
      <c r="QF27">
        <v>6.0122700000000001E-2</v>
      </c>
      <c r="QG27">
        <v>463153</v>
      </c>
      <c r="QH27">
        <v>6.0727200000000002E-2</v>
      </c>
      <c r="QI27">
        <v>463153</v>
      </c>
      <c r="QJ27">
        <v>7.15142E-2</v>
      </c>
      <c r="QK27">
        <v>463153</v>
      </c>
      <c r="QL27">
        <v>7.9466200000000001E-2</v>
      </c>
      <c r="QM27">
        <v>463153</v>
      </c>
      <c r="QN27">
        <v>8.5233199999999995E-2</v>
      </c>
      <c r="QO27">
        <v>463153</v>
      </c>
      <c r="QP27">
        <v>7.8853000000000006E-2</v>
      </c>
      <c r="QQ27">
        <v>463153</v>
      </c>
      <c r="QR27">
        <v>6.8703E-2</v>
      </c>
      <c r="QS27">
        <v>463153</v>
      </c>
      <c r="QT27">
        <v>2.48536E-2</v>
      </c>
      <c r="QU27">
        <v>463153</v>
      </c>
      <c r="QV27">
        <v>2.4458400000000002E-2</v>
      </c>
      <c r="QW27">
        <v>463153</v>
      </c>
      <c r="QX27">
        <v>1.7894699999999999E-2</v>
      </c>
      <c r="QY27">
        <v>463153</v>
      </c>
      <c r="QZ27">
        <v>1.83568E-2</v>
      </c>
      <c r="RA27">
        <v>463153</v>
      </c>
      <c r="RB27">
        <v>2.14033E-2</v>
      </c>
      <c r="RC27">
        <v>463153</v>
      </c>
      <c r="RD27">
        <v>1.39349E-2</v>
      </c>
      <c r="RE27">
        <v>463153</v>
      </c>
      <c r="RF27">
        <v>1.0007500000000001E-2</v>
      </c>
      <c r="RG27">
        <v>463153</v>
      </c>
      <c r="RH27">
        <v>1.09856E-2</v>
      </c>
      <c r="RI27">
        <v>930528</v>
      </c>
      <c r="RJ27">
        <v>0.50226859999999995</v>
      </c>
      <c r="RK27">
        <v>467375</v>
      </c>
      <c r="RL27">
        <v>6.1528699999999999E-2</v>
      </c>
      <c r="RM27">
        <v>467375</v>
      </c>
      <c r="RN27">
        <v>6.3347399999999998E-2</v>
      </c>
      <c r="RO27">
        <v>467375</v>
      </c>
      <c r="RP27">
        <v>7.2318800000000003E-2</v>
      </c>
      <c r="RQ27">
        <v>467375</v>
      </c>
      <c r="RR27">
        <v>4.2516199999999997E-2</v>
      </c>
      <c r="RS27">
        <v>467375</v>
      </c>
      <c r="RT27">
        <v>2.7108899999999998E-2</v>
      </c>
      <c r="RU27">
        <v>467375</v>
      </c>
      <c r="RV27">
        <v>1.14298E-2</v>
      </c>
      <c r="RW27">
        <v>467375</v>
      </c>
      <c r="RX27">
        <v>1.1085299999999999E-2</v>
      </c>
      <c r="RY27">
        <v>467375</v>
      </c>
      <c r="RZ27">
        <v>3.8720499999999998E-2</v>
      </c>
      <c r="SA27">
        <v>467375</v>
      </c>
      <c r="SB27">
        <v>5.3308399999999999E-2</v>
      </c>
      <c r="SC27">
        <v>467375</v>
      </c>
      <c r="SD27">
        <v>5.9149500000000001E-2</v>
      </c>
      <c r="SE27">
        <v>467375</v>
      </c>
      <c r="SF27">
        <v>6.8206500000000003E-2</v>
      </c>
      <c r="SG27">
        <v>467375</v>
      </c>
      <c r="SH27">
        <v>7.8166399999999997E-2</v>
      </c>
      <c r="SI27">
        <v>467375</v>
      </c>
      <c r="SJ27">
        <v>8.6923799999999996E-2</v>
      </c>
      <c r="SK27">
        <v>467375</v>
      </c>
      <c r="SL27">
        <v>8.1583299999999997E-2</v>
      </c>
      <c r="SM27">
        <v>467375</v>
      </c>
      <c r="SN27">
        <v>6.4646200000000001E-2</v>
      </c>
      <c r="SO27">
        <v>467375</v>
      </c>
      <c r="SP27">
        <v>2.69099E-2</v>
      </c>
      <c r="SQ27">
        <v>467375</v>
      </c>
      <c r="SR27">
        <v>2.9233499999999999E-2</v>
      </c>
      <c r="SS27">
        <v>467375</v>
      </c>
      <c r="ST27">
        <v>1.99668E-2</v>
      </c>
      <c r="SU27">
        <v>467375</v>
      </c>
      <c r="SV27">
        <v>1.6246099999999999E-2</v>
      </c>
      <c r="SW27">
        <v>467375</v>
      </c>
      <c r="SX27">
        <v>2.60711E-2</v>
      </c>
      <c r="SY27">
        <v>467375</v>
      </c>
      <c r="SZ27">
        <v>1.9132400000000001E-2</v>
      </c>
      <c r="TA27">
        <v>467375</v>
      </c>
      <c r="TB27">
        <v>1.9791400000000001E-2</v>
      </c>
      <c r="TC27">
        <v>467375</v>
      </c>
      <c r="TD27">
        <v>2.2609299999999999E-2</v>
      </c>
      <c r="TE27">
        <v>748852</v>
      </c>
      <c r="TF27">
        <v>0.49523800000000001</v>
      </c>
      <c r="TG27">
        <v>42430</v>
      </c>
      <c r="TH27">
        <v>0.48383219999999999</v>
      </c>
      <c r="TI27"/>
      <c r="TJ27"/>
      <c r="TK27">
        <v>92492</v>
      </c>
      <c r="TL27">
        <v>0.48831249999999998</v>
      </c>
      <c r="TM27"/>
      <c r="TN27"/>
      <c r="TO27">
        <v>32007</v>
      </c>
      <c r="TP27">
        <v>0.57924830000000005</v>
      </c>
      <c r="TQ27">
        <v>12978</v>
      </c>
      <c r="TR27">
        <v>0.53413469999999996</v>
      </c>
      <c r="TS27">
        <v>667151</v>
      </c>
      <c r="TT27">
        <v>0.49057260000000003</v>
      </c>
      <c r="TU27">
        <v>117130</v>
      </c>
      <c r="TV27">
        <v>0.54370359999999995</v>
      </c>
      <c r="TW27">
        <v>748852</v>
      </c>
      <c r="TX27">
        <v>0.50476189999999999</v>
      </c>
      <c r="TY27">
        <v>42430</v>
      </c>
      <c r="TZ27">
        <v>0.51616779999999995</v>
      </c>
      <c r="UA27"/>
      <c r="UB27"/>
      <c r="UC27">
        <v>92492</v>
      </c>
      <c r="UD27">
        <v>0.51168749999999996</v>
      </c>
      <c r="UE27"/>
      <c r="UF27"/>
      <c r="UG27">
        <v>32007</v>
      </c>
      <c r="UH27">
        <v>0.42075170000000001</v>
      </c>
      <c r="UI27">
        <v>12978</v>
      </c>
      <c r="UJ27">
        <v>0.46586529999999998</v>
      </c>
      <c r="UK27">
        <v>667151</v>
      </c>
      <c r="UL27">
        <v>0.50942739999999997</v>
      </c>
      <c r="UM27">
        <v>117130</v>
      </c>
      <c r="UN27">
        <v>0.45629639999999999</v>
      </c>
      <c r="UO27">
        <v>239653</v>
      </c>
      <c r="UP27">
        <v>239653</v>
      </c>
      <c r="UQ27">
        <v>239653</v>
      </c>
      <c r="UR27">
        <v>193968</v>
      </c>
      <c r="US27">
        <v>193968</v>
      </c>
      <c r="UT27">
        <v>193968</v>
      </c>
      <c r="UU27">
        <v>1.6023000000000001E-3</v>
      </c>
      <c r="UV27">
        <v>0.94962299999999999</v>
      </c>
      <c r="UW27">
        <v>4.8774699999999997E-2</v>
      </c>
      <c r="UX27">
        <v>0</v>
      </c>
      <c r="UY27">
        <v>0.95728679999999999</v>
      </c>
      <c r="UZ27">
        <v>4.27132E-2</v>
      </c>
      <c r="VA27">
        <v>18186</v>
      </c>
      <c r="VB27">
        <v>0</v>
      </c>
      <c r="VC27">
        <v>18186</v>
      </c>
      <c r="VD27">
        <v>0.90239749999999996</v>
      </c>
      <c r="VE27">
        <v>18186</v>
      </c>
      <c r="VF27">
        <v>9.7602599999999998E-2</v>
      </c>
      <c r="VG27">
        <v>26335</v>
      </c>
      <c r="VH27">
        <v>5.6198999999999997E-3</v>
      </c>
      <c r="VI27">
        <v>26335</v>
      </c>
      <c r="VJ27">
        <v>0.92208089999999998</v>
      </c>
      <c r="VK27">
        <v>26335</v>
      </c>
      <c r="VL27">
        <v>7.2299199999999994E-2</v>
      </c>
      <c r="VM27">
        <v>27064</v>
      </c>
      <c r="VN27">
        <v>4.8403999999999999E-3</v>
      </c>
      <c r="VO27">
        <v>27064</v>
      </c>
      <c r="VP27">
        <v>0.94513009999999997</v>
      </c>
      <c r="VQ27">
        <v>27064</v>
      </c>
      <c r="VR27">
        <v>5.00296E-2</v>
      </c>
      <c r="VS27">
        <v>67757</v>
      </c>
      <c r="VT27">
        <v>6.3460000000000003E-4</v>
      </c>
      <c r="VU27">
        <v>67757</v>
      </c>
      <c r="VV27">
        <v>0.96379709999999996</v>
      </c>
      <c r="VW27">
        <v>67757</v>
      </c>
      <c r="VX27">
        <v>3.5568299999999997E-2</v>
      </c>
      <c r="VY27">
        <v>72143</v>
      </c>
      <c r="VZ27">
        <v>8.5939999999999996E-4</v>
      </c>
      <c r="WA27">
        <v>72143</v>
      </c>
      <c r="WB27">
        <v>0.95549119999999998</v>
      </c>
      <c r="WC27">
        <v>72143</v>
      </c>
      <c r="WD27">
        <v>4.3649399999999998E-2</v>
      </c>
      <c r="WE27">
        <v>28168</v>
      </c>
      <c r="WF27">
        <v>0</v>
      </c>
      <c r="WG27">
        <v>28168</v>
      </c>
      <c r="WH27">
        <v>0.96105510000000005</v>
      </c>
      <c r="WI27">
        <v>28168</v>
      </c>
      <c r="WJ27">
        <v>3.8944899999999998E-2</v>
      </c>
      <c r="WK27">
        <v>15379</v>
      </c>
      <c r="WL27">
        <v>0</v>
      </c>
      <c r="WM27">
        <v>15379</v>
      </c>
      <c r="WN27">
        <v>0.9636517</v>
      </c>
      <c r="WO27">
        <v>15379</v>
      </c>
      <c r="WP27">
        <v>3.63483E-2</v>
      </c>
      <c r="WQ27">
        <v>20078</v>
      </c>
      <c r="WR27">
        <v>0</v>
      </c>
      <c r="WS27">
        <v>20078</v>
      </c>
      <c r="WT27">
        <v>0.95676859999999997</v>
      </c>
      <c r="WU27">
        <v>20078</v>
      </c>
      <c r="WV27">
        <v>4.3231400000000003E-2</v>
      </c>
      <c r="WW27">
        <v>21843</v>
      </c>
      <c r="WX27">
        <v>0</v>
      </c>
      <c r="WY27">
        <v>21843</v>
      </c>
      <c r="WZ27">
        <v>0.93737130000000002</v>
      </c>
      <c r="XA27">
        <v>21843</v>
      </c>
      <c r="XB27">
        <v>6.2628799999999998E-2</v>
      </c>
      <c r="XC27">
        <v>50550</v>
      </c>
      <c r="XD27">
        <v>0</v>
      </c>
      <c r="XE27">
        <v>50550</v>
      </c>
      <c r="XF27">
        <v>0.95220570000000004</v>
      </c>
      <c r="XG27">
        <v>50550</v>
      </c>
      <c r="XH27">
        <v>4.7794299999999998E-2</v>
      </c>
      <c r="XI27">
        <v>63710</v>
      </c>
      <c r="XJ27">
        <v>0</v>
      </c>
      <c r="XK27">
        <v>63710</v>
      </c>
      <c r="XL27">
        <v>0.96193689999999998</v>
      </c>
      <c r="XM27">
        <v>63710</v>
      </c>
      <c r="XN27">
        <v>3.8063100000000002E-2</v>
      </c>
      <c r="XO27">
        <v>22408</v>
      </c>
      <c r="XP27">
        <v>0</v>
      </c>
      <c r="XQ27">
        <v>22408</v>
      </c>
      <c r="XR27">
        <v>0.97103709999999999</v>
      </c>
      <c r="XS27">
        <v>22408</v>
      </c>
      <c r="XT27">
        <v>2.89629E-2</v>
      </c>
      <c r="XU27">
        <v>627602</v>
      </c>
      <c r="XV27">
        <v>0.50499039999999995</v>
      </c>
      <c r="XW27">
        <v>316933</v>
      </c>
      <c r="XX27">
        <v>0.9109275</v>
      </c>
      <c r="XY27">
        <v>316933</v>
      </c>
      <c r="XZ27">
        <v>8.9072499999999999E-2</v>
      </c>
      <c r="YA27">
        <v>288703</v>
      </c>
      <c r="YB27">
        <v>0.84582080000000004</v>
      </c>
      <c r="YC27">
        <v>244191</v>
      </c>
      <c r="YD27">
        <v>0.84823360000000003</v>
      </c>
      <c r="YE27">
        <v>244191</v>
      </c>
      <c r="YF27">
        <v>1.8845899999999999E-2</v>
      </c>
      <c r="YG27">
        <v>244191</v>
      </c>
      <c r="YH27">
        <v>4.8290100000000002E-2</v>
      </c>
      <c r="YI27">
        <v>244191</v>
      </c>
      <c r="YJ27">
        <v>3.3527000000000001E-2</v>
      </c>
      <c r="YK27">
        <v>244191</v>
      </c>
      <c r="YL27">
        <v>2.61844E-2</v>
      </c>
      <c r="YM27">
        <v>244191</v>
      </c>
      <c r="YN27">
        <v>2.4919E-2</v>
      </c>
      <c r="YO27">
        <v>288703</v>
      </c>
      <c r="YP27">
        <v>0.1198082</v>
      </c>
      <c r="YQ27">
        <v>34589</v>
      </c>
      <c r="YR27">
        <v>0.38480439999999999</v>
      </c>
      <c r="YS27">
        <v>34589</v>
      </c>
      <c r="YT27">
        <v>1.9630499999999999E-2</v>
      </c>
      <c r="YU27">
        <v>34589</v>
      </c>
      <c r="YV27">
        <v>8.6299100000000004E-2</v>
      </c>
      <c r="YW27">
        <v>34589</v>
      </c>
      <c r="YX27">
        <v>0.12099219999999999</v>
      </c>
      <c r="YY27">
        <v>34589</v>
      </c>
      <c r="YZ27">
        <v>0.16571739999999999</v>
      </c>
      <c r="ZA27">
        <v>34589</v>
      </c>
      <c r="ZB27">
        <v>0.22255630000000001</v>
      </c>
      <c r="ZC27">
        <v>288703</v>
      </c>
      <c r="ZD27">
        <v>3.4370999999999999E-2</v>
      </c>
      <c r="ZE27">
        <v>9923</v>
      </c>
      <c r="ZF27">
        <v>0.1737378</v>
      </c>
      <c r="ZG27">
        <v>9923</v>
      </c>
      <c r="ZH27">
        <v>6.3489000000000002E-3</v>
      </c>
      <c r="ZI27">
        <v>9923</v>
      </c>
      <c r="ZJ27">
        <v>8.7675100000000006E-2</v>
      </c>
      <c r="ZK27">
        <v>9923</v>
      </c>
      <c r="ZL27">
        <v>0.12536530000000001</v>
      </c>
      <c r="ZM27">
        <v>9923</v>
      </c>
      <c r="ZN27">
        <v>0.24266860000000001</v>
      </c>
      <c r="ZO27">
        <v>9923</v>
      </c>
      <c r="ZP27">
        <v>0.36420439999999998</v>
      </c>
      <c r="ZQ27">
        <v>627602</v>
      </c>
      <c r="ZR27">
        <v>0.49500959999999999</v>
      </c>
      <c r="ZS27">
        <v>310669</v>
      </c>
      <c r="ZT27">
        <v>0.78223770000000004</v>
      </c>
      <c r="ZU27">
        <v>310669</v>
      </c>
      <c r="ZV27">
        <v>0.21776229999999999</v>
      </c>
      <c r="ZW27">
        <v>243017</v>
      </c>
      <c r="ZX27">
        <v>0.67135219999999995</v>
      </c>
      <c r="ZY27">
        <v>163150</v>
      </c>
      <c r="ZZ27">
        <v>0.83728469999999999</v>
      </c>
      <c r="AAA27">
        <v>163150</v>
      </c>
      <c r="AAB27">
        <v>1.38952E-2</v>
      </c>
      <c r="AAC27">
        <v>163150</v>
      </c>
      <c r="AAD27">
        <v>5.5813700000000001E-2</v>
      </c>
      <c r="AAE27">
        <v>163150</v>
      </c>
      <c r="AAF27">
        <v>4.3800199999999997E-2</v>
      </c>
      <c r="AAG27">
        <v>163150</v>
      </c>
      <c r="AAH27">
        <v>2.5375399999999999E-2</v>
      </c>
      <c r="AAI27">
        <v>163150</v>
      </c>
      <c r="AAJ27">
        <v>2.3830799999999999E-2</v>
      </c>
      <c r="AAK27">
        <v>243017</v>
      </c>
      <c r="AAL27">
        <v>0.25699440000000001</v>
      </c>
      <c r="AAM27">
        <v>62454</v>
      </c>
      <c r="AAN27">
        <v>0.47615839999999998</v>
      </c>
      <c r="AAO27">
        <v>62454</v>
      </c>
      <c r="AAP27">
        <v>3.3896900000000001E-2</v>
      </c>
      <c r="AAQ27">
        <v>62454</v>
      </c>
      <c r="AAR27">
        <v>0.1117783</v>
      </c>
      <c r="AAS27">
        <v>62454</v>
      </c>
      <c r="AAT27">
        <v>0.14272899999999999</v>
      </c>
      <c r="AAU27">
        <v>62454</v>
      </c>
      <c r="AAV27">
        <v>0.10815959999999999</v>
      </c>
      <c r="AAW27">
        <v>62454</v>
      </c>
      <c r="AAX27">
        <v>0.12727769999999999</v>
      </c>
      <c r="AAY27">
        <v>243017</v>
      </c>
      <c r="AAZ27">
        <v>7.1653400000000006E-2</v>
      </c>
      <c r="ABA27">
        <v>17413</v>
      </c>
      <c r="ABB27">
        <v>0.25980589999999998</v>
      </c>
      <c r="ABC27">
        <v>17413</v>
      </c>
      <c r="ABD27">
        <v>2.9460699999999999E-2</v>
      </c>
      <c r="ABE27">
        <v>17413</v>
      </c>
      <c r="ABF27">
        <v>0.11330610000000001</v>
      </c>
      <c r="ABG27">
        <v>17413</v>
      </c>
      <c r="ABH27">
        <v>0.12657209999999999</v>
      </c>
      <c r="ABI27">
        <v>17413</v>
      </c>
      <c r="ABJ27">
        <v>0.1663125</v>
      </c>
      <c r="ABK27">
        <v>17413</v>
      </c>
      <c r="ABL27">
        <v>0.3045426</v>
      </c>
      <c r="ABM27">
        <v>338577</v>
      </c>
      <c r="ABN27">
        <v>0.70716849999999998</v>
      </c>
      <c r="ABO27">
        <v>239431</v>
      </c>
      <c r="ABP27">
        <v>0.81009560000000003</v>
      </c>
      <c r="ABQ27">
        <v>239431</v>
      </c>
      <c r="ABR27">
        <v>0.1899044</v>
      </c>
      <c r="ABS27">
        <v>45469</v>
      </c>
      <c r="ABT27">
        <v>0.31139899999999998</v>
      </c>
      <c r="ABU27">
        <v>45469</v>
      </c>
      <c r="ABV27">
        <v>0.68860100000000002</v>
      </c>
      <c r="ABW27">
        <v>338577</v>
      </c>
      <c r="ABX27">
        <v>0.29283150000000002</v>
      </c>
      <c r="ABY27">
        <v>99146</v>
      </c>
      <c r="ABZ27">
        <v>0.83790569999999998</v>
      </c>
      <c r="ACA27">
        <v>99146</v>
      </c>
      <c r="ACB27">
        <v>0.1620943</v>
      </c>
      <c r="ACC27">
        <v>741156</v>
      </c>
      <c r="ACD27">
        <v>0.49374899999999999</v>
      </c>
      <c r="ACE27">
        <v>365945</v>
      </c>
      <c r="ACF27">
        <v>0.32588499999999998</v>
      </c>
      <c r="ACG27">
        <v>119256</v>
      </c>
      <c r="ACH27">
        <v>0.1754377</v>
      </c>
      <c r="ACI27">
        <v>119256</v>
      </c>
      <c r="ACJ27">
        <v>0.1165644</v>
      </c>
      <c r="ACK27">
        <v>119256</v>
      </c>
      <c r="ACL27">
        <v>0.2505115</v>
      </c>
      <c r="ACM27">
        <v>119256</v>
      </c>
      <c r="ACN27">
        <v>0.1594805</v>
      </c>
      <c r="ACO27">
        <v>119256</v>
      </c>
      <c r="ACP27">
        <v>9.0745999999999993E-2</v>
      </c>
      <c r="ACQ27">
        <v>119256</v>
      </c>
      <c r="ACR27">
        <v>6.38962E-2</v>
      </c>
      <c r="ACS27">
        <v>119256</v>
      </c>
      <c r="ACT27">
        <v>4.5180100000000001E-2</v>
      </c>
      <c r="ACU27">
        <v>119256</v>
      </c>
      <c r="ACV27">
        <v>3.7415299999999999E-2</v>
      </c>
      <c r="ACW27">
        <v>119256</v>
      </c>
      <c r="ACX27">
        <v>2.58771E-2</v>
      </c>
      <c r="ACY27">
        <v>119256</v>
      </c>
      <c r="ACZ27">
        <v>1.80284E-2</v>
      </c>
      <c r="ADA27">
        <v>119256</v>
      </c>
      <c r="ADB27">
        <v>6.1884000000000002E-3</v>
      </c>
      <c r="ADC27">
        <v>119256</v>
      </c>
      <c r="ADD27">
        <v>4.9976999999999999E-3</v>
      </c>
      <c r="ADE27">
        <v>119256</v>
      </c>
      <c r="ADF27">
        <v>3.3877E-3</v>
      </c>
      <c r="ADG27">
        <v>119256</v>
      </c>
      <c r="ADH27">
        <v>2.2891999999999999E-3</v>
      </c>
      <c r="ADI27">
        <v>365945</v>
      </c>
      <c r="ADJ27">
        <v>0.58587489999999998</v>
      </c>
      <c r="ADK27">
        <v>214398</v>
      </c>
      <c r="ADL27">
        <v>0.94911330000000005</v>
      </c>
      <c r="ADM27">
        <v>203488</v>
      </c>
      <c r="ADN27">
        <v>0</v>
      </c>
      <c r="ADO27">
        <v>203488</v>
      </c>
      <c r="ADP27">
        <v>0</v>
      </c>
      <c r="ADQ27">
        <v>203488</v>
      </c>
      <c r="ADR27">
        <v>7.1650000000000004E-3</v>
      </c>
      <c r="ADS27">
        <v>203488</v>
      </c>
      <c r="ADT27">
        <v>3.34811E-2</v>
      </c>
      <c r="ADU27">
        <v>203488</v>
      </c>
      <c r="ADV27">
        <v>7.04906E-2</v>
      </c>
      <c r="ADW27">
        <v>203488</v>
      </c>
      <c r="ADX27">
        <v>0.10374079999999999</v>
      </c>
      <c r="ADY27">
        <v>203488</v>
      </c>
      <c r="ADZ27">
        <v>0.13248450000000001</v>
      </c>
      <c r="AEA27">
        <v>203488</v>
      </c>
      <c r="AEB27">
        <v>0.14502570000000001</v>
      </c>
      <c r="AEC27">
        <v>203488</v>
      </c>
      <c r="AED27">
        <v>0.1408633</v>
      </c>
      <c r="AEE27">
        <v>203488</v>
      </c>
      <c r="AEF27">
        <v>0.1241056</v>
      </c>
      <c r="AEG27">
        <v>203488</v>
      </c>
      <c r="AEH27">
        <v>8.9774300000000001E-2</v>
      </c>
      <c r="AEI27">
        <v>203488</v>
      </c>
      <c r="AEJ27">
        <v>0.1041929</v>
      </c>
      <c r="AEK27">
        <v>203488</v>
      </c>
      <c r="AEL27">
        <v>3.6675399999999997E-2</v>
      </c>
      <c r="AEM27">
        <v>203488</v>
      </c>
      <c r="AEN27">
        <v>1.20007E-2</v>
      </c>
      <c r="AEO27">
        <v>214398</v>
      </c>
      <c r="AEP27">
        <v>5.08867E-2</v>
      </c>
      <c r="AEQ27">
        <v>10910</v>
      </c>
      <c r="AER27">
        <v>0.20146649999999999</v>
      </c>
      <c r="AES27">
        <v>2198</v>
      </c>
      <c r="AET27">
        <v>1.3648800000000001E-2</v>
      </c>
      <c r="AEU27">
        <v>2198</v>
      </c>
      <c r="AEV27">
        <v>0</v>
      </c>
      <c r="AEW27">
        <v>2198</v>
      </c>
      <c r="AEX27">
        <v>0</v>
      </c>
      <c r="AEY27">
        <v>2198</v>
      </c>
      <c r="AEZ27">
        <v>0.156051</v>
      </c>
      <c r="AFA27">
        <v>2198</v>
      </c>
      <c r="AFB27">
        <v>0.1615105</v>
      </c>
      <c r="AFC27">
        <v>2198</v>
      </c>
      <c r="AFD27">
        <v>8.8717000000000004E-2</v>
      </c>
      <c r="AFE27">
        <v>2198</v>
      </c>
      <c r="AFF27">
        <v>0.13876250000000001</v>
      </c>
      <c r="AFG27">
        <v>2198</v>
      </c>
      <c r="AFH27">
        <v>7.5068200000000002E-2</v>
      </c>
      <c r="AFI27">
        <v>2198</v>
      </c>
      <c r="AFJ27">
        <v>0</v>
      </c>
      <c r="AFK27">
        <v>2198</v>
      </c>
      <c r="AFL27">
        <v>0.1587807</v>
      </c>
      <c r="AFM27">
        <v>2198</v>
      </c>
      <c r="AFN27">
        <v>3.04823E-2</v>
      </c>
      <c r="AFO27">
        <v>2198</v>
      </c>
      <c r="AFP27">
        <v>0.14285709999999999</v>
      </c>
      <c r="AFQ27">
        <v>2198</v>
      </c>
      <c r="AFR27">
        <v>3.4121899999999997E-2</v>
      </c>
      <c r="AFS27">
        <v>2198</v>
      </c>
      <c r="AFT27">
        <v>0</v>
      </c>
      <c r="AFU27">
        <v>10910</v>
      </c>
      <c r="AFV27">
        <v>0.79853339999999995</v>
      </c>
      <c r="AFW27">
        <v>8712</v>
      </c>
      <c r="AFX27">
        <v>0</v>
      </c>
      <c r="AFY27">
        <v>8712</v>
      </c>
      <c r="AFZ27">
        <v>1.0445400000000001E-2</v>
      </c>
      <c r="AGA27">
        <v>8712</v>
      </c>
      <c r="AGB27">
        <v>1.44628E-2</v>
      </c>
      <c r="AGC27">
        <v>8712</v>
      </c>
      <c r="AGD27">
        <v>0.1220156</v>
      </c>
      <c r="AGE27">
        <v>8712</v>
      </c>
      <c r="AGF27">
        <v>7.1969699999999998E-2</v>
      </c>
      <c r="AGG27">
        <v>8712</v>
      </c>
      <c r="AGH27">
        <v>0.15622130000000001</v>
      </c>
      <c r="AGI27">
        <v>8712</v>
      </c>
      <c r="AGJ27">
        <v>0.1188017</v>
      </c>
      <c r="AGK27">
        <v>8712</v>
      </c>
      <c r="AGL27">
        <v>8.0234200000000006E-2</v>
      </c>
      <c r="AGM27">
        <v>8712</v>
      </c>
      <c r="AGN27">
        <v>5.6818199999999999E-2</v>
      </c>
      <c r="AGO27">
        <v>8712</v>
      </c>
      <c r="AGP27">
        <v>5.3145100000000001E-2</v>
      </c>
      <c r="AGQ27">
        <v>8712</v>
      </c>
      <c r="AGR27">
        <v>6.1294800000000003E-2</v>
      </c>
      <c r="AGS27">
        <v>8712</v>
      </c>
      <c r="AGT27">
        <v>0.1128329</v>
      </c>
      <c r="AGU27">
        <v>8712</v>
      </c>
      <c r="AGV27">
        <v>0.126607</v>
      </c>
      <c r="AGW27">
        <v>8712</v>
      </c>
      <c r="AGX27">
        <v>1.51515E-2</v>
      </c>
      <c r="AGY27">
        <v>365945</v>
      </c>
      <c r="AGZ27">
        <v>2.0541299999999998E-2</v>
      </c>
      <c r="AHA27">
        <v>7517</v>
      </c>
      <c r="AHB27">
        <v>0</v>
      </c>
      <c r="AHC27">
        <v>7517</v>
      </c>
      <c r="AHD27">
        <v>0</v>
      </c>
      <c r="AHE27">
        <v>7517</v>
      </c>
      <c r="AHF27">
        <v>0</v>
      </c>
      <c r="AHG27">
        <v>7517</v>
      </c>
      <c r="AHH27">
        <v>0</v>
      </c>
      <c r="AHI27">
        <v>7517</v>
      </c>
      <c r="AHJ27">
        <v>0</v>
      </c>
      <c r="AHK27">
        <v>7517</v>
      </c>
      <c r="AHL27">
        <v>3.6583699999999997E-2</v>
      </c>
      <c r="AHM27">
        <v>7517</v>
      </c>
      <c r="AHN27">
        <v>1.51656E-2</v>
      </c>
      <c r="AHO27">
        <v>7517</v>
      </c>
      <c r="AHP27">
        <v>4.8157499999999999E-2</v>
      </c>
      <c r="AHQ27">
        <v>7517</v>
      </c>
      <c r="AHR27">
        <v>3.5253399999999997E-2</v>
      </c>
      <c r="AHS27">
        <v>7517</v>
      </c>
      <c r="AHT27">
        <v>5.5075199999999998E-2</v>
      </c>
      <c r="AHU27">
        <v>7517</v>
      </c>
      <c r="AHV27">
        <v>4.6162000000000002E-2</v>
      </c>
      <c r="AHW27">
        <v>7517</v>
      </c>
      <c r="AHX27">
        <v>0.23094319999999999</v>
      </c>
      <c r="AHY27">
        <v>7517</v>
      </c>
      <c r="AHZ27">
        <v>0.2345351</v>
      </c>
      <c r="AIA27">
        <v>7517</v>
      </c>
      <c r="AIB27">
        <v>0.29812430000000001</v>
      </c>
      <c r="AIC27">
        <v>365945</v>
      </c>
      <c r="AID27">
        <v>6.7698700000000001E-2</v>
      </c>
      <c r="AIE27">
        <v>24774</v>
      </c>
      <c r="AIF27">
        <v>0</v>
      </c>
      <c r="AIG27">
        <v>24774</v>
      </c>
      <c r="AIH27">
        <v>0</v>
      </c>
      <c r="AII27">
        <v>24774</v>
      </c>
      <c r="AIJ27">
        <v>4.3189999999999999E-3</v>
      </c>
      <c r="AIK27">
        <v>24774</v>
      </c>
      <c r="AIL27">
        <v>2.4541899999999998E-2</v>
      </c>
      <c r="AIM27">
        <v>24774</v>
      </c>
      <c r="AIN27">
        <v>7.9841800000000004E-2</v>
      </c>
      <c r="AIO27">
        <v>24774</v>
      </c>
      <c r="AIP27">
        <v>0.10337449999999999</v>
      </c>
      <c r="AIQ27">
        <v>24774</v>
      </c>
      <c r="AIR27">
        <v>0.12125619999999999</v>
      </c>
      <c r="AIS27">
        <v>24774</v>
      </c>
      <c r="AIT27">
        <v>0.17264070000000001</v>
      </c>
      <c r="AIU27">
        <v>24774</v>
      </c>
      <c r="AIV27">
        <v>0.16190360000000001</v>
      </c>
      <c r="AIW27">
        <v>24774</v>
      </c>
      <c r="AIX27">
        <v>0.12876399999999999</v>
      </c>
      <c r="AIY27">
        <v>24774</v>
      </c>
      <c r="AIZ27">
        <v>0.11645270000000001</v>
      </c>
      <c r="AJA27">
        <v>24774</v>
      </c>
      <c r="AJB27">
        <v>7.5563099999999994E-2</v>
      </c>
      <c r="AJC27">
        <v>24774</v>
      </c>
      <c r="AJD27">
        <v>1.13425E-2</v>
      </c>
      <c r="AJE27">
        <v>24774</v>
      </c>
      <c r="AJF27">
        <v>0</v>
      </c>
      <c r="AJG27">
        <v>741156</v>
      </c>
      <c r="AJH27">
        <v>0.50625100000000001</v>
      </c>
      <c r="AJI27">
        <v>375211</v>
      </c>
      <c r="AJJ27">
        <v>0.2651308</v>
      </c>
      <c r="AJK27">
        <v>99480</v>
      </c>
      <c r="AJL27">
        <v>0.19890430000000001</v>
      </c>
      <c r="AJM27">
        <v>99480</v>
      </c>
      <c r="AJN27">
        <v>0.12736230000000001</v>
      </c>
      <c r="AJO27">
        <v>99480</v>
      </c>
      <c r="AJP27">
        <v>0.25095499999999998</v>
      </c>
      <c r="AJQ27">
        <v>99480</v>
      </c>
      <c r="AJR27">
        <v>0.13831930000000001</v>
      </c>
      <c r="AJS27">
        <v>99480</v>
      </c>
      <c r="AJT27">
        <v>5.8403700000000003E-2</v>
      </c>
      <c r="AJU27">
        <v>99480</v>
      </c>
      <c r="AJV27">
        <v>5.0261399999999998E-2</v>
      </c>
      <c r="AJW27">
        <v>99480</v>
      </c>
      <c r="AJX27">
        <v>4.06614E-2</v>
      </c>
      <c r="AJY27">
        <v>99480</v>
      </c>
      <c r="AJZ27">
        <v>3.3825899999999999E-2</v>
      </c>
      <c r="AKA27">
        <v>99480</v>
      </c>
      <c r="AKB27">
        <v>3.2338199999999998E-2</v>
      </c>
      <c r="AKC27">
        <v>99480</v>
      </c>
      <c r="AKD27">
        <v>3.2237599999999998E-2</v>
      </c>
      <c r="AKE27">
        <v>99480</v>
      </c>
      <c r="AKF27">
        <v>1.3248899999999999E-2</v>
      </c>
      <c r="AKG27">
        <v>99480</v>
      </c>
      <c r="AKH27">
        <v>1.27262E-2</v>
      </c>
      <c r="AKI27">
        <v>99480</v>
      </c>
      <c r="AKJ27">
        <v>4.1114000000000003E-3</v>
      </c>
      <c r="AKK27">
        <v>99480</v>
      </c>
      <c r="AKL27">
        <v>6.6445999999999996E-3</v>
      </c>
      <c r="AKM27">
        <v>375211</v>
      </c>
      <c r="AKN27">
        <v>0.55427210000000005</v>
      </c>
      <c r="AKO27">
        <v>207969</v>
      </c>
      <c r="AKP27">
        <v>0.94265010000000005</v>
      </c>
      <c r="AKQ27">
        <v>196042</v>
      </c>
      <c r="AKR27">
        <v>0</v>
      </c>
      <c r="AKS27">
        <v>196042</v>
      </c>
      <c r="AKT27">
        <v>0</v>
      </c>
      <c r="AKU27">
        <v>196042</v>
      </c>
      <c r="AKV27">
        <v>1.4843800000000001E-2</v>
      </c>
      <c r="AKW27">
        <v>196042</v>
      </c>
      <c r="AKX27">
        <v>4.5964600000000001E-2</v>
      </c>
      <c r="AKY27">
        <v>196042</v>
      </c>
      <c r="AKZ27">
        <v>9.4199199999999997E-2</v>
      </c>
      <c r="ALA27">
        <v>196042</v>
      </c>
      <c r="ALB27">
        <v>0.11395520000000001</v>
      </c>
      <c r="ALC27">
        <v>196042</v>
      </c>
      <c r="ALD27">
        <v>0.13346630000000001</v>
      </c>
      <c r="ALE27">
        <v>196042</v>
      </c>
      <c r="ALF27">
        <v>0.14948839999999999</v>
      </c>
      <c r="ALG27">
        <v>196042</v>
      </c>
      <c r="ALH27">
        <v>0.13812350000000001</v>
      </c>
      <c r="ALI27">
        <v>196042</v>
      </c>
      <c r="ALJ27">
        <v>0.10680870000000001</v>
      </c>
      <c r="ALK27">
        <v>196042</v>
      </c>
      <c r="ALL27">
        <v>8.2864900000000005E-2</v>
      </c>
      <c r="ALM27">
        <v>196042</v>
      </c>
      <c r="ALN27">
        <v>8.1890599999999994E-2</v>
      </c>
      <c r="ALO27">
        <v>196042</v>
      </c>
      <c r="ALP27">
        <v>3.1018899999999999E-2</v>
      </c>
      <c r="ALQ27">
        <v>196042</v>
      </c>
      <c r="ALR27">
        <v>7.3759999999999997E-3</v>
      </c>
      <c r="ALS27">
        <v>207969</v>
      </c>
      <c r="ALT27">
        <v>5.7349900000000002E-2</v>
      </c>
      <c r="ALU27">
        <v>11927</v>
      </c>
      <c r="ALV27">
        <v>0.37888820000000001</v>
      </c>
      <c r="ALW27">
        <v>4519</v>
      </c>
      <c r="ALX27">
        <v>0</v>
      </c>
      <c r="ALY27">
        <v>4519</v>
      </c>
      <c r="ALZ27">
        <v>0</v>
      </c>
      <c r="AMA27">
        <v>4519</v>
      </c>
      <c r="AMB27">
        <v>2.50055E-2</v>
      </c>
      <c r="AMC27">
        <v>4519</v>
      </c>
      <c r="AMD27">
        <v>0.15468019999999999</v>
      </c>
      <c r="AME27">
        <v>4519</v>
      </c>
      <c r="AMF27">
        <v>0.12591279999999999</v>
      </c>
      <c r="AMG27">
        <v>4519</v>
      </c>
      <c r="AMH27">
        <v>0.100686</v>
      </c>
      <c r="AMI27">
        <v>4519</v>
      </c>
      <c r="AMJ27">
        <v>0.1396327</v>
      </c>
      <c r="AMK27">
        <v>4519</v>
      </c>
      <c r="AML27">
        <v>0.105333</v>
      </c>
      <c r="AMM27">
        <v>4519</v>
      </c>
      <c r="AMN27">
        <v>0.2294755</v>
      </c>
      <c r="AMO27">
        <v>4519</v>
      </c>
      <c r="AMP27">
        <v>9.6702800000000005E-2</v>
      </c>
      <c r="AMQ27">
        <v>4519</v>
      </c>
      <c r="AMR27">
        <v>0</v>
      </c>
      <c r="AMS27">
        <v>4519</v>
      </c>
      <c r="AMT27">
        <v>1.1285699999999999E-2</v>
      </c>
      <c r="AMU27">
        <v>4519</v>
      </c>
      <c r="AMV27">
        <v>0</v>
      </c>
      <c r="AMW27">
        <v>4519</v>
      </c>
      <c r="AMX27">
        <v>1.1285699999999999E-2</v>
      </c>
      <c r="AMY27">
        <v>11927</v>
      </c>
      <c r="AMZ27">
        <v>0.62111179999999999</v>
      </c>
      <c r="ANA27">
        <v>7408</v>
      </c>
      <c r="ANB27">
        <v>1.13391E-2</v>
      </c>
      <c r="ANC27">
        <v>7408</v>
      </c>
      <c r="AND27">
        <v>0</v>
      </c>
      <c r="ANE27">
        <v>7408</v>
      </c>
      <c r="ANF27">
        <v>7.6673900000000003E-2</v>
      </c>
      <c r="ANG27">
        <v>7408</v>
      </c>
      <c r="ANH27">
        <v>6.84395E-2</v>
      </c>
      <c r="ANI27">
        <v>7408</v>
      </c>
      <c r="ANJ27">
        <v>0.1198704</v>
      </c>
      <c r="ANK27">
        <v>7408</v>
      </c>
      <c r="ANL27">
        <v>0.125135</v>
      </c>
      <c r="ANM27">
        <v>7408</v>
      </c>
      <c r="ANN27">
        <v>3.2937399999999999E-2</v>
      </c>
      <c r="ANO27">
        <v>7408</v>
      </c>
      <c r="ANP27">
        <v>8.3828299999999994E-2</v>
      </c>
      <c r="ANQ27">
        <v>7408</v>
      </c>
      <c r="ANR27">
        <v>4.3736499999999998E-2</v>
      </c>
      <c r="ANS27">
        <v>7408</v>
      </c>
      <c r="ANT27">
        <v>0.1113661</v>
      </c>
      <c r="ANU27">
        <v>7408</v>
      </c>
      <c r="ANV27">
        <v>0.13674410000000001</v>
      </c>
      <c r="ANW27">
        <v>7408</v>
      </c>
      <c r="ANX27">
        <v>0.1015119</v>
      </c>
      <c r="ANY27">
        <v>7408</v>
      </c>
      <c r="ANZ27">
        <v>5.7505399999999998E-2</v>
      </c>
      <c r="AOA27">
        <v>7408</v>
      </c>
      <c r="AOB27">
        <v>3.0912499999999999E-2</v>
      </c>
      <c r="AOC27">
        <v>375211</v>
      </c>
      <c r="AOD27">
        <v>7.9456600000000002E-2</v>
      </c>
      <c r="AOE27">
        <v>29813</v>
      </c>
      <c r="AOF27">
        <v>0</v>
      </c>
      <c r="AOG27">
        <v>29813</v>
      </c>
      <c r="AOH27">
        <v>0</v>
      </c>
      <c r="AOI27">
        <v>29813</v>
      </c>
      <c r="AOJ27">
        <v>0</v>
      </c>
      <c r="AOK27">
        <v>29813</v>
      </c>
      <c r="AOL27">
        <v>1.5430000000000001E-3</v>
      </c>
      <c r="AOM27">
        <v>29813</v>
      </c>
      <c r="AON27">
        <v>0</v>
      </c>
      <c r="AOO27">
        <v>29813</v>
      </c>
      <c r="AOP27">
        <v>0</v>
      </c>
      <c r="AOQ27">
        <v>29813</v>
      </c>
      <c r="AOR27">
        <v>4.9306999999999997E-3</v>
      </c>
      <c r="AOS27">
        <v>29813</v>
      </c>
      <c r="AOT27">
        <v>3.19995E-2</v>
      </c>
      <c r="AOU27">
        <v>29813</v>
      </c>
      <c r="AOV27">
        <v>3.2100099999999999E-2</v>
      </c>
      <c r="AOW27">
        <v>29813</v>
      </c>
      <c r="AOX27">
        <v>1.5094099999999999E-2</v>
      </c>
      <c r="AOY27">
        <v>29813</v>
      </c>
      <c r="AOZ27">
        <v>9.9319099999999993E-2</v>
      </c>
      <c r="APA27">
        <v>29813</v>
      </c>
      <c r="APB27">
        <v>0.2294301</v>
      </c>
      <c r="APC27">
        <v>29813</v>
      </c>
      <c r="APD27">
        <v>0.32281219999999999</v>
      </c>
      <c r="APE27">
        <v>29813</v>
      </c>
      <c r="APF27">
        <v>0.26277129999999999</v>
      </c>
      <c r="APG27">
        <v>375211</v>
      </c>
      <c r="APH27">
        <v>0.10114040000000001</v>
      </c>
      <c r="API27">
        <v>37949</v>
      </c>
      <c r="APJ27">
        <v>0</v>
      </c>
      <c r="APK27">
        <v>37949</v>
      </c>
      <c r="APL27">
        <v>0</v>
      </c>
      <c r="APM27">
        <v>37949</v>
      </c>
      <c r="APN27">
        <v>1.6865000000000001E-3</v>
      </c>
      <c r="APO27">
        <v>37949</v>
      </c>
      <c r="APP27">
        <v>2.35052E-2</v>
      </c>
      <c r="APQ27">
        <v>37949</v>
      </c>
      <c r="APR27">
        <v>5.0357100000000002E-2</v>
      </c>
      <c r="APS27">
        <v>37949</v>
      </c>
      <c r="APT27">
        <v>8.3164199999999994E-2</v>
      </c>
      <c r="APU27">
        <v>37949</v>
      </c>
      <c r="APV27">
        <v>0.13968749999999999</v>
      </c>
      <c r="APW27">
        <v>37949</v>
      </c>
      <c r="APX27">
        <v>0.1555772</v>
      </c>
      <c r="APY27">
        <v>37949</v>
      </c>
      <c r="APZ27">
        <v>0.14537929999999999</v>
      </c>
      <c r="AQA27">
        <v>37949</v>
      </c>
      <c r="AQB27">
        <v>0.1147856</v>
      </c>
      <c r="AQC27">
        <v>37949</v>
      </c>
      <c r="AQD27">
        <v>0.1239295</v>
      </c>
      <c r="AQE27">
        <v>37949</v>
      </c>
      <c r="AQF27">
        <v>0.10927820000000001</v>
      </c>
      <c r="AQG27">
        <v>37949</v>
      </c>
      <c r="AQH27">
        <v>4.3532099999999997E-2</v>
      </c>
      <c r="AQI27">
        <v>37949</v>
      </c>
      <c r="AQJ27">
        <v>9.1175000000000006E-3</v>
      </c>
      <c r="AQK27">
        <v>118584</v>
      </c>
      <c r="AQL27">
        <v>0.1521537</v>
      </c>
      <c r="AQM27">
        <v>338577</v>
      </c>
      <c r="AQN27">
        <v>0.75732250000000001</v>
      </c>
      <c r="AQO27">
        <v>256412</v>
      </c>
      <c r="AQP27">
        <v>0.76542049999999995</v>
      </c>
      <c r="AQQ27">
        <v>196263</v>
      </c>
      <c r="AQR27">
        <v>0.87479039999999997</v>
      </c>
      <c r="AQS27">
        <v>171689</v>
      </c>
      <c r="AQT27">
        <v>0.47929690000000003</v>
      </c>
      <c r="AQU27">
        <v>171689</v>
      </c>
      <c r="AQV27">
        <v>0.52070309999999997</v>
      </c>
      <c r="AQW27">
        <v>196263</v>
      </c>
      <c r="AQX27">
        <v>0.1252095</v>
      </c>
      <c r="AQY27">
        <v>24574</v>
      </c>
      <c r="AQZ27">
        <v>0.2695939</v>
      </c>
      <c r="ARA27">
        <v>6625</v>
      </c>
      <c r="ARB27">
        <v>0.31713209999999997</v>
      </c>
      <c r="ARC27">
        <v>6625</v>
      </c>
      <c r="ARD27">
        <v>0.68286789999999997</v>
      </c>
      <c r="ARE27">
        <v>24574</v>
      </c>
      <c r="ARF27">
        <v>0.73040609999999995</v>
      </c>
      <c r="ARG27">
        <v>17949</v>
      </c>
      <c r="ARH27">
        <v>0.44409159999999998</v>
      </c>
      <c r="ARI27">
        <v>17949</v>
      </c>
      <c r="ARJ27">
        <v>0.55590839999999997</v>
      </c>
      <c r="ARK27">
        <v>256412</v>
      </c>
      <c r="ARL27">
        <v>0.2345795</v>
      </c>
      <c r="ARM27">
        <v>338577</v>
      </c>
      <c r="ARN27">
        <v>0.24267739999999999</v>
      </c>
      <c r="ARO27">
        <v>82165</v>
      </c>
      <c r="ARP27">
        <v>0.52538189999999996</v>
      </c>
      <c r="ARQ27">
        <v>43168</v>
      </c>
      <c r="ARR27">
        <v>0.51596089999999994</v>
      </c>
      <c r="ARS27">
        <v>22273</v>
      </c>
      <c r="ART27">
        <v>0.52148340000000004</v>
      </c>
      <c r="ARU27">
        <v>22273</v>
      </c>
      <c r="ARV27">
        <v>0.47851660000000001</v>
      </c>
      <c r="ARW27">
        <v>43168</v>
      </c>
      <c r="ARX27">
        <v>0.4840391</v>
      </c>
      <c r="ARY27">
        <v>20895</v>
      </c>
      <c r="ARZ27">
        <v>0.36056470000000002</v>
      </c>
      <c r="ASA27">
        <v>7534</v>
      </c>
      <c r="ASB27">
        <v>0.60193790000000003</v>
      </c>
      <c r="ASC27">
        <v>7534</v>
      </c>
      <c r="ASD27">
        <v>0.39806209999999997</v>
      </c>
      <c r="ASE27">
        <v>20895</v>
      </c>
      <c r="ASF27">
        <v>0.63943530000000004</v>
      </c>
      <c r="ASG27">
        <v>13361</v>
      </c>
      <c r="ASH27">
        <v>0.75383579999999994</v>
      </c>
      <c r="ASI27">
        <v>13361</v>
      </c>
      <c r="ASJ27">
        <v>0.2461642</v>
      </c>
      <c r="ASK27">
        <v>82165</v>
      </c>
      <c r="ASL27">
        <v>0.47461809999999999</v>
      </c>
      <c r="ASM27">
        <v>352790</v>
      </c>
      <c r="ASN27">
        <v>0.60448139999999995</v>
      </c>
      <c r="ASO27">
        <v>213255</v>
      </c>
      <c r="ASP27">
        <v>0.4948864</v>
      </c>
      <c r="ASQ27">
        <v>105537</v>
      </c>
      <c r="ASR27">
        <v>0.53454239999999997</v>
      </c>
      <c r="ASS27">
        <v>56414</v>
      </c>
      <c r="AST27">
        <v>0.71003649999999996</v>
      </c>
      <c r="ASU27">
        <v>56414</v>
      </c>
      <c r="ASV27">
        <v>0.28996349999999999</v>
      </c>
      <c r="ASW27">
        <v>105537</v>
      </c>
      <c r="ASX27">
        <v>0.46545760000000003</v>
      </c>
      <c r="ASY27">
        <v>49123</v>
      </c>
      <c r="ASZ27">
        <v>0.32593689999999997</v>
      </c>
      <c r="ATA27">
        <v>49123</v>
      </c>
      <c r="ATB27">
        <v>0.18663360000000001</v>
      </c>
      <c r="ATC27">
        <v>49123</v>
      </c>
      <c r="ATD27">
        <v>5.9239100000000003E-2</v>
      </c>
      <c r="ATE27">
        <v>105537</v>
      </c>
      <c r="ATF27">
        <v>2.2437599999999999E-2</v>
      </c>
      <c r="ATG27">
        <v>2368</v>
      </c>
      <c r="ATH27">
        <v>1.4176519999999999</v>
      </c>
      <c r="ATI27">
        <v>2368</v>
      </c>
      <c r="ATJ27">
        <v>2.4510139999999998</v>
      </c>
      <c r="ATK27">
        <v>2368</v>
      </c>
      <c r="ATL27">
        <v>1.4847969999999999</v>
      </c>
      <c r="ATM27">
        <v>2368</v>
      </c>
      <c r="ATN27">
        <v>2.5291389999999998</v>
      </c>
      <c r="ATO27">
        <v>105537</v>
      </c>
      <c r="ATP27">
        <v>4.6239700000000002E-2</v>
      </c>
      <c r="ATQ27">
        <v>4880</v>
      </c>
      <c r="ATR27">
        <v>0.22725409999999999</v>
      </c>
      <c r="ATS27">
        <v>4880</v>
      </c>
      <c r="ATT27">
        <v>3.0573769999999998</v>
      </c>
      <c r="ATU27">
        <v>213255</v>
      </c>
      <c r="ATV27">
        <v>3.5872999999999999E-3</v>
      </c>
      <c r="ATW27">
        <v>765</v>
      </c>
      <c r="ATX27">
        <v>4.3124180000000001</v>
      </c>
      <c r="ATY27">
        <v>765</v>
      </c>
      <c r="ATZ27">
        <v>2.9254899999999999</v>
      </c>
      <c r="AUA27">
        <v>2238</v>
      </c>
      <c r="AUB27">
        <v>0.47408400000000001</v>
      </c>
      <c r="AUC27">
        <v>2238</v>
      </c>
      <c r="AUD27">
        <v>2.6635390000000001</v>
      </c>
      <c r="AUE27">
        <v>765</v>
      </c>
      <c r="AUF27">
        <v>5.7921569999999996</v>
      </c>
      <c r="AUG27">
        <v>765</v>
      </c>
      <c r="AUH27">
        <v>0.60653599999999996</v>
      </c>
      <c r="AUI27">
        <v>765</v>
      </c>
      <c r="AUJ27">
        <v>55.432679999999998</v>
      </c>
      <c r="AUK27">
        <v>213255</v>
      </c>
      <c r="AUL27">
        <v>0.13271440000000001</v>
      </c>
      <c r="AUM27">
        <v>28302</v>
      </c>
      <c r="AUN27">
        <v>0.49833929999999999</v>
      </c>
      <c r="AUO27">
        <v>28302</v>
      </c>
      <c r="AUP27">
        <v>1.01406E-2</v>
      </c>
      <c r="AUQ27">
        <v>213255</v>
      </c>
      <c r="AUR27">
        <v>9.9617800000000006E-2</v>
      </c>
      <c r="AUS27">
        <v>21244</v>
      </c>
      <c r="AUT27">
        <v>0.49552819999999997</v>
      </c>
      <c r="AUU27">
        <v>21244</v>
      </c>
      <c r="AUV27">
        <v>0.50447180000000003</v>
      </c>
      <c r="AUW27">
        <v>21244</v>
      </c>
      <c r="AUX27">
        <v>1.3585480000000001</v>
      </c>
      <c r="AUY27">
        <v>213255</v>
      </c>
      <c r="AUZ27">
        <v>7.8511600000000001E-2</v>
      </c>
      <c r="AVA27">
        <v>16743</v>
      </c>
      <c r="AVB27">
        <v>0.72376510000000005</v>
      </c>
      <c r="AVC27">
        <v>16743</v>
      </c>
      <c r="AVD27">
        <v>8.5587999999999997E-2</v>
      </c>
      <c r="AVE27">
        <v>16743</v>
      </c>
      <c r="AVF27">
        <v>0.39455289999999998</v>
      </c>
      <c r="AVG27">
        <v>352790</v>
      </c>
      <c r="AVH27">
        <v>1.1562100000000001E-2</v>
      </c>
      <c r="AVI27">
        <v>4079</v>
      </c>
      <c r="AVJ27">
        <v>34.20814</v>
      </c>
      <c r="AVK27">
        <v>139535</v>
      </c>
      <c r="AVL27">
        <v>0.46480100000000002</v>
      </c>
      <c r="AVM27">
        <v>64856</v>
      </c>
      <c r="AVN27">
        <v>0.4542679</v>
      </c>
      <c r="AVO27">
        <v>64856</v>
      </c>
      <c r="AVP27">
        <v>0.2571852</v>
      </c>
      <c r="AVQ27">
        <v>139535</v>
      </c>
      <c r="AVR27">
        <v>9.16043E-2</v>
      </c>
      <c r="AVS27">
        <v>12782</v>
      </c>
      <c r="AVT27">
        <v>2.76905</v>
      </c>
      <c r="AVU27">
        <v>12782</v>
      </c>
      <c r="AVV27">
        <v>0.33265529999999999</v>
      </c>
      <c r="AVW27">
        <v>12782</v>
      </c>
      <c r="AVX27">
        <v>4.3576900000000002E-2</v>
      </c>
      <c r="AVY27">
        <v>139535</v>
      </c>
      <c r="AVZ27">
        <v>1.4017999999999999E-2</v>
      </c>
      <c r="AWA27">
        <v>1956</v>
      </c>
      <c r="AWB27">
        <v>1.139059</v>
      </c>
      <c r="AWC27">
        <v>1956</v>
      </c>
      <c r="AWD27">
        <v>0.48261759999999998</v>
      </c>
      <c r="AWE27">
        <v>1956</v>
      </c>
      <c r="AWF27">
        <v>5.5961150000000002</v>
      </c>
      <c r="AWG27">
        <v>1956</v>
      </c>
      <c r="AWH27">
        <v>1.53681</v>
      </c>
      <c r="AWI27">
        <v>139535</v>
      </c>
      <c r="AWJ27">
        <v>8.2452399999999995E-2</v>
      </c>
      <c r="AWK27">
        <v>11505</v>
      </c>
      <c r="AWL27">
        <v>0.86640589999999995</v>
      </c>
      <c r="AWM27">
        <v>11505</v>
      </c>
      <c r="AWN27">
        <v>0.13359409999999999</v>
      </c>
      <c r="AWO27">
        <v>4079</v>
      </c>
      <c r="AWP27">
        <v>3.4836969999999998</v>
      </c>
      <c r="AWQ27">
        <v>14210</v>
      </c>
      <c r="AWR27">
        <v>0.24532019999999999</v>
      </c>
      <c r="AWS27">
        <v>14210</v>
      </c>
      <c r="AWT27">
        <v>2.1885999999999999E-2</v>
      </c>
      <c r="AWU27">
        <v>311</v>
      </c>
      <c r="AWV27">
        <v>0.18971060000000001</v>
      </c>
      <c r="AWW27">
        <v>311</v>
      </c>
      <c r="AWX27">
        <v>0.81028940000000005</v>
      </c>
      <c r="AWY27">
        <v>14210</v>
      </c>
      <c r="AWZ27">
        <v>0.2611541</v>
      </c>
      <c r="AXA27">
        <v>14210</v>
      </c>
      <c r="AXB27">
        <v>0.120197</v>
      </c>
      <c r="AXC27">
        <v>14210</v>
      </c>
      <c r="AXD27">
        <v>0.35144259999999999</v>
      </c>
      <c r="AXE27">
        <v>4079</v>
      </c>
      <c r="AXF27">
        <v>12.901199999999999</v>
      </c>
      <c r="AXG27">
        <v>52624</v>
      </c>
      <c r="AXH27">
        <v>0.29117890000000002</v>
      </c>
      <c r="AXI27">
        <v>52624</v>
      </c>
      <c r="AXJ27">
        <v>0.70882109999999998</v>
      </c>
      <c r="AXK27">
        <v>4079</v>
      </c>
      <c r="AXL27">
        <v>3.2115699999999997E-2</v>
      </c>
      <c r="AXM27">
        <v>131</v>
      </c>
      <c r="AXN27">
        <v>1.9465650000000001</v>
      </c>
      <c r="AXO27">
        <v>131</v>
      </c>
      <c r="AXP27">
        <v>0.4274809</v>
      </c>
      <c r="AXQ27">
        <v>131</v>
      </c>
      <c r="AXR27">
        <v>1.5190840000000001</v>
      </c>
      <c r="AXS27">
        <v>4079</v>
      </c>
      <c r="AXT27">
        <v>1.828635</v>
      </c>
      <c r="AXU27">
        <v>7459</v>
      </c>
      <c r="AXV27">
        <v>0.79662149999999998</v>
      </c>
      <c r="AXW27">
        <v>7459</v>
      </c>
      <c r="AXX27">
        <v>0.20337849999999999</v>
      </c>
      <c r="AXY27">
        <v>7459</v>
      </c>
      <c r="AXZ27">
        <v>8.8483999999999993E-3</v>
      </c>
      <c r="AYA27">
        <v>45558</v>
      </c>
      <c r="AYB27">
        <v>2.5813200000000001E-2</v>
      </c>
      <c r="AYC27">
        <v>45558</v>
      </c>
      <c r="AYD27">
        <v>9.38364E-2</v>
      </c>
      <c r="AYE27">
        <v>45558</v>
      </c>
      <c r="AYF27">
        <v>0.30787130000000001</v>
      </c>
      <c r="AYG27">
        <v>45558</v>
      </c>
      <c r="AYH27">
        <v>0.3918741</v>
      </c>
      <c r="AYI27">
        <v>45558</v>
      </c>
      <c r="AYJ27">
        <v>3.6722400000000002E-2</v>
      </c>
      <c r="AYK27">
        <v>45558</v>
      </c>
      <c r="AYL27">
        <v>0.13110759999999999</v>
      </c>
      <c r="AYM27">
        <v>45558</v>
      </c>
      <c r="AYN27">
        <v>1.27749E-2</v>
      </c>
      <c r="AYO27">
        <v>55972</v>
      </c>
      <c r="AYP27">
        <v>5.8028999999999997E-2</v>
      </c>
      <c r="AYQ27">
        <v>55972</v>
      </c>
      <c r="AYR27">
        <v>3.99307E-2</v>
      </c>
      <c r="AYS27">
        <v>55972</v>
      </c>
      <c r="AYT27">
        <v>0.16049099999999999</v>
      </c>
      <c r="AYU27">
        <v>55972</v>
      </c>
      <c r="AYV27">
        <v>0.24762380000000001</v>
      </c>
      <c r="AYW27">
        <v>55972</v>
      </c>
      <c r="AYX27">
        <v>6.0762499999999997E-2</v>
      </c>
      <c r="AYY27">
        <v>55972</v>
      </c>
      <c r="AYZ27">
        <v>0.3067069</v>
      </c>
      <c r="AZA27">
        <v>55972</v>
      </c>
      <c r="AZB27">
        <v>0.12645609999999999</v>
      </c>
      <c r="AZC27">
        <v>69927</v>
      </c>
      <c r="AZD27">
        <v>3.6366500000000003E-2</v>
      </c>
      <c r="AZE27">
        <v>69927</v>
      </c>
      <c r="AZF27">
        <v>3.61806E-2</v>
      </c>
      <c r="AZG27">
        <v>69927</v>
      </c>
      <c r="AZH27">
        <v>0.16651650000000001</v>
      </c>
      <c r="AZI27">
        <v>69927</v>
      </c>
      <c r="AZJ27">
        <v>0.1965335</v>
      </c>
      <c r="AZK27">
        <v>69927</v>
      </c>
      <c r="AZL27">
        <v>6.4910499999999996E-2</v>
      </c>
      <c r="AZM27">
        <v>69927</v>
      </c>
      <c r="AZN27">
        <v>0.31070969999999998</v>
      </c>
      <c r="AZO27">
        <v>69927</v>
      </c>
      <c r="AZP27">
        <v>0.18878259999999999</v>
      </c>
      <c r="AZQ27">
        <v>130656</v>
      </c>
      <c r="AZR27">
        <v>2.5027600000000001E-2</v>
      </c>
      <c r="AZS27">
        <v>130656</v>
      </c>
      <c r="AZT27">
        <v>3.1762800000000001E-2</v>
      </c>
      <c r="AZU27">
        <v>130656</v>
      </c>
      <c r="AZV27">
        <v>0.1735167</v>
      </c>
      <c r="AZW27">
        <v>130656</v>
      </c>
      <c r="AZX27">
        <v>0.1951919</v>
      </c>
      <c r="AZY27">
        <v>130656</v>
      </c>
      <c r="AZZ27">
        <v>6.1030500000000001E-2</v>
      </c>
      <c r="BAA27">
        <v>130656</v>
      </c>
      <c r="BAB27">
        <v>0.2788544</v>
      </c>
      <c r="BAC27">
        <v>130656</v>
      </c>
      <c r="BAD27">
        <v>0.23461609999999999</v>
      </c>
      <c r="BAE27">
        <v>42880</v>
      </c>
      <c r="BAF27">
        <v>6.7514000000000005E-2</v>
      </c>
      <c r="BAG27">
        <v>42880</v>
      </c>
      <c r="BAH27">
        <v>6.1567200000000002E-2</v>
      </c>
      <c r="BAI27">
        <v>42880</v>
      </c>
      <c r="BAJ27">
        <v>0.26201020000000003</v>
      </c>
      <c r="BAK27">
        <v>42880</v>
      </c>
      <c r="BAL27">
        <v>0.2006763</v>
      </c>
      <c r="BAM27">
        <v>42880</v>
      </c>
      <c r="BAN27">
        <v>4.07649E-2</v>
      </c>
      <c r="BAO27">
        <v>42880</v>
      </c>
      <c r="BAP27">
        <v>0.20221549999999999</v>
      </c>
      <c r="BAQ27">
        <v>42880</v>
      </c>
      <c r="BAR27">
        <v>0.16525190000000001</v>
      </c>
      <c r="BAS27">
        <v>41290</v>
      </c>
      <c r="BAT27">
        <v>4.9407000000000001E-3</v>
      </c>
      <c r="BAU27">
        <v>41290</v>
      </c>
      <c r="BAV27">
        <v>0.1073141</v>
      </c>
      <c r="BAW27">
        <v>41290</v>
      </c>
      <c r="BAX27">
        <v>0.24337610000000001</v>
      </c>
      <c r="BAY27">
        <v>41290</v>
      </c>
      <c r="BAZ27">
        <v>0.39348509999999998</v>
      </c>
      <c r="BBA27">
        <v>41290</v>
      </c>
      <c r="BBB27">
        <v>6.1177000000000002E-2</v>
      </c>
      <c r="BBC27">
        <v>41290</v>
      </c>
      <c r="BBD27">
        <v>0.18660689999999999</v>
      </c>
      <c r="BBE27">
        <v>41290</v>
      </c>
      <c r="BBF27">
        <v>3.0999999999999999E-3</v>
      </c>
      <c r="BBG27">
        <v>52560</v>
      </c>
      <c r="BBH27">
        <v>2.88623E-2</v>
      </c>
      <c r="BBI27">
        <v>52560</v>
      </c>
      <c r="BBJ27">
        <v>3.8907900000000002E-2</v>
      </c>
      <c r="BBK27">
        <v>52560</v>
      </c>
      <c r="BBL27">
        <v>0.16777020000000001</v>
      </c>
      <c r="BBM27">
        <v>52560</v>
      </c>
      <c r="BBN27">
        <v>0.16539190000000001</v>
      </c>
      <c r="BBO27">
        <v>52560</v>
      </c>
      <c r="BBP27">
        <v>6.8778500000000006E-2</v>
      </c>
      <c r="BBQ27">
        <v>52560</v>
      </c>
      <c r="BBR27">
        <v>0.3527207</v>
      </c>
      <c r="BBS27">
        <v>52560</v>
      </c>
      <c r="BBT27">
        <v>0.17756849999999999</v>
      </c>
      <c r="BBU27">
        <v>68411</v>
      </c>
      <c r="BBV27">
        <v>3.26117E-2</v>
      </c>
      <c r="BBW27">
        <v>68411</v>
      </c>
      <c r="BBX27">
        <v>4.0417500000000002E-2</v>
      </c>
      <c r="BBY27">
        <v>68411</v>
      </c>
      <c r="BBZ27">
        <v>0.13911509999999999</v>
      </c>
      <c r="BCA27">
        <v>68411</v>
      </c>
      <c r="BCB27">
        <v>0.19727819999999999</v>
      </c>
      <c r="BCC27">
        <v>68411</v>
      </c>
      <c r="BCD27">
        <v>8.29545E-2</v>
      </c>
      <c r="BCE27">
        <v>68411</v>
      </c>
      <c r="BCF27">
        <v>0.33898060000000002</v>
      </c>
      <c r="BCG27">
        <v>68411</v>
      </c>
      <c r="BCH27">
        <v>0.1686425</v>
      </c>
      <c r="BCI27">
        <v>135210</v>
      </c>
      <c r="BCJ27">
        <v>2.3970100000000001E-2</v>
      </c>
      <c r="BCK27">
        <v>135210</v>
      </c>
      <c r="BCL27">
        <v>3.2667700000000001E-2</v>
      </c>
      <c r="BCM27">
        <v>135210</v>
      </c>
      <c r="BCN27">
        <v>0.1867318</v>
      </c>
      <c r="BCO27">
        <v>135210</v>
      </c>
      <c r="BCP27">
        <v>0.21027290000000001</v>
      </c>
      <c r="BCQ27">
        <v>135210</v>
      </c>
      <c r="BCR27">
        <v>9.5591999999999996E-2</v>
      </c>
      <c r="BCS27">
        <v>135210</v>
      </c>
      <c r="BCT27">
        <v>0.26977289999999998</v>
      </c>
      <c r="BCU27">
        <v>135210</v>
      </c>
      <c r="BCV27">
        <v>0.1809925</v>
      </c>
      <c r="BCW27">
        <v>57869</v>
      </c>
      <c r="BCX27">
        <v>8.4328399999999998E-2</v>
      </c>
      <c r="BCY27">
        <v>57869</v>
      </c>
      <c r="BCZ27">
        <v>7.9800899999999994E-2</v>
      </c>
      <c r="BDA27">
        <v>57869</v>
      </c>
      <c r="BDB27">
        <v>0.41481620000000002</v>
      </c>
      <c r="BDC27">
        <v>57869</v>
      </c>
      <c r="BDD27">
        <v>0.2071057</v>
      </c>
      <c r="BDE27">
        <v>57869</v>
      </c>
      <c r="BDF27">
        <v>3.2228E-2</v>
      </c>
      <c r="BDG27">
        <v>57869</v>
      </c>
      <c r="BDH27">
        <v>0.1148974</v>
      </c>
      <c r="BDI27">
        <v>57869</v>
      </c>
      <c r="BDJ27">
        <v>6.6823300000000002E-2</v>
      </c>
      <c r="BDK27">
        <v>223628</v>
      </c>
      <c r="BDL27">
        <v>5.43224E-2</v>
      </c>
      <c r="BDM27">
        <v>12148</v>
      </c>
      <c r="BDN27">
        <v>0.85289760000000003</v>
      </c>
      <c r="BDO27">
        <v>10361</v>
      </c>
      <c r="BDP27">
        <v>0.59086959999999999</v>
      </c>
      <c r="BDQ27">
        <v>10361</v>
      </c>
      <c r="BDR27">
        <v>0.40913040000000001</v>
      </c>
      <c r="BDS27">
        <v>12148</v>
      </c>
      <c r="BDT27">
        <v>0.14710239999999999</v>
      </c>
      <c r="BDU27">
        <v>1787</v>
      </c>
      <c r="BDV27">
        <v>0.5047566</v>
      </c>
      <c r="BDW27">
        <v>1787</v>
      </c>
      <c r="BDX27">
        <v>0.4952434</v>
      </c>
      <c r="BDY27">
        <v>223628</v>
      </c>
      <c r="BDZ27">
        <v>0.94567760000000001</v>
      </c>
      <c r="BEA27">
        <v>211480</v>
      </c>
      <c r="BEB27">
        <v>0.51836579999999999</v>
      </c>
      <c r="BEC27">
        <v>109624</v>
      </c>
      <c r="BED27">
        <v>0.73662700000000003</v>
      </c>
      <c r="BEE27">
        <v>109624</v>
      </c>
      <c r="BEF27">
        <v>0.26337300000000002</v>
      </c>
      <c r="BEG27">
        <v>211480</v>
      </c>
      <c r="BEH27">
        <v>0.48163420000000001</v>
      </c>
      <c r="BEI27">
        <v>101856</v>
      </c>
      <c r="BEJ27">
        <v>0.78404810000000003</v>
      </c>
      <c r="BEK27">
        <v>101856</v>
      </c>
      <c r="BEL27">
        <v>0.2159519</v>
      </c>
      <c r="BEM27">
        <v>487420</v>
      </c>
      <c r="BEN27">
        <v>0.54948300000000005</v>
      </c>
      <c r="BEO27">
        <v>267829</v>
      </c>
      <c r="BEP27">
        <v>0.88515809999999995</v>
      </c>
      <c r="BEQ27">
        <v>237071</v>
      </c>
      <c r="BER27">
        <v>0.18100060000000001</v>
      </c>
      <c r="BES27">
        <v>237071</v>
      </c>
      <c r="BET27">
        <v>0.81899940000000004</v>
      </c>
      <c r="BEU27">
        <v>267829</v>
      </c>
      <c r="BEV27">
        <v>0.1148419</v>
      </c>
      <c r="BEW27">
        <v>487420</v>
      </c>
      <c r="BEX27">
        <v>0.450517</v>
      </c>
      <c r="BEY27">
        <v>219591</v>
      </c>
      <c r="BEZ27">
        <v>0.88606090000000004</v>
      </c>
      <c r="BFA27">
        <v>194571</v>
      </c>
      <c r="BFB27">
        <v>0.2302604</v>
      </c>
      <c r="BFC27">
        <v>194571</v>
      </c>
      <c r="BFD27">
        <v>0.76973959999999997</v>
      </c>
      <c r="BFE27">
        <v>219591</v>
      </c>
      <c r="BFF27">
        <v>0.1139391</v>
      </c>
      <c r="BFG27">
        <v>463153</v>
      </c>
      <c r="BFH27">
        <v>0.25512089999999998</v>
      </c>
      <c r="BFI27">
        <v>118160</v>
      </c>
      <c r="BFJ27">
        <v>0.95636429999999995</v>
      </c>
      <c r="BFK27">
        <v>118160</v>
      </c>
      <c r="BFL27">
        <v>4.3635699999999999E-2</v>
      </c>
      <c r="BFM27">
        <v>5156</v>
      </c>
      <c r="BFN27">
        <v>0.42494179999999998</v>
      </c>
      <c r="BFO27">
        <v>5156</v>
      </c>
      <c r="BFP27">
        <v>0.57505819999999996</v>
      </c>
      <c r="BFQ27">
        <v>463153</v>
      </c>
      <c r="BFR27">
        <v>0.74487910000000002</v>
      </c>
      <c r="BFS27">
        <v>344993</v>
      </c>
      <c r="BFT27">
        <v>0.77071420000000002</v>
      </c>
      <c r="BFU27">
        <v>344993</v>
      </c>
      <c r="BFV27">
        <v>0.22928580000000001</v>
      </c>
      <c r="BFW27">
        <v>79102</v>
      </c>
      <c r="BFX27">
        <v>0.52294499999999999</v>
      </c>
      <c r="BFY27">
        <v>79102</v>
      </c>
      <c r="BFZ27">
        <v>0.47705500000000001</v>
      </c>
      <c r="BGA27">
        <v>467375</v>
      </c>
      <c r="BGB27">
        <v>0.23971120000000001</v>
      </c>
      <c r="BGC27">
        <v>112035</v>
      </c>
      <c r="BGD27">
        <v>0.93167310000000003</v>
      </c>
      <c r="BGE27">
        <v>112035</v>
      </c>
      <c r="BGF27">
        <v>6.8326899999999996E-2</v>
      </c>
      <c r="BGG27">
        <v>7655</v>
      </c>
      <c r="BGH27">
        <v>0.33272370000000001</v>
      </c>
      <c r="BGI27">
        <v>7655</v>
      </c>
      <c r="BGJ27">
        <v>0.66727630000000004</v>
      </c>
      <c r="BGK27">
        <v>467375</v>
      </c>
      <c r="BGL27">
        <v>0.76028879999999999</v>
      </c>
      <c r="BGM27">
        <v>355340</v>
      </c>
      <c r="BGN27">
        <v>0.78994759999999997</v>
      </c>
      <c r="BGO27">
        <v>355340</v>
      </c>
      <c r="BGP27">
        <v>0.2100523</v>
      </c>
      <c r="BGQ27">
        <v>74640</v>
      </c>
      <c r="BGR27">
        <v>0.55522510000000003</v>
      </c>
      <c r="BGS27">
        <v>74640</v>
      </c>
      <c r="BGT27">
        <v>0.44477489999999997</v>
      </c>
    </row>
    <row r="28" spans="1:1554" x14ac:dyDescent="0.25">
      <c r="A28" t="s">
        <v>135</v>
      </c>
      <c r="B28">
        <v>2009</v>
      </c>
      <c r="C28">
        <v>1</v>
      </c>
      <c r="D28" t="s">
        <v>542</v>
      </c>
      <c r="E28">
        <v>59459</v>
      </c>
      <c r="F28">
        <v>0.44637480000000002</v>
      </c>
      <c r="G28">
        <v>26541</v>
      </c>
      <c r="H28">
        <v>0.1489771</v>
      </c>
      <c r="I28">
        <v>26541</v>
      </c>
      <c r="J28">
        <v>2.5733800000000001E-2</v>
      </c>
      <c r="K28">
        <v>26541</v>
      </c>
      <c r="L28">
        <v>8.6696099999999998E-2</v>
      </c>
      <c r="M28">
        <v>26541</v>
      </c>
      <c r="N28">
        <v>6.4843100000000001E-2</v>
      </c>
      <c r="O28">
        <v>26541</v>
      </c>
      <c r="P28">
        <v>2.1475999999999999E-3</v>
      </c>
      <c r="Q28">
        <v>26541</v>
      </c>
      <c r="R28">
        <v>3.3307000000000003E-2</v>
      </c>
      <c r="S28">
        <v>26541</v>
      </c>
      <c r="T28">
        <v>0.1790437</v>
      </c>
      <c r="U28">
        <v>26541</v>
      </c>
      <c r="V28">
        <v>0.13989679999999999</v>
      </c>
      <c r="W28">
        <v>26541</v>
      </c>
      <c r="X28">
        <v>0.13545080000000001</v>
      </c>
      <c r="Y28">
        <v>26541</v>
      </c>
      <c r="Z28">
        <v>7.6071E-2</v>
      </c>
      <c r="AA28">
        <v>26541</v>
      </c>
      <c r="AB28">
        <v>4.6682500000000002E-2</v>
      </c>
      <c r="AC28">
        <v>26541</v>
      </c>
      <c r="AD28">
        <v>2.4904900000000001E-2</v>
      </c>
      <c r="AE28">
        <v>26541</v>
      </c>
      <c r="AF28">
        <v>3.6245800000000002E-2</v>
      </c>
      <c r="AG28">
        <v>59459</v>
      </c>
      <c r="AH28">
        <v>0.55362520000000004</v>
      </c>
      <c r="AI28">
        <v>32918</v>
      </c>
      <c r="AJ28">
        <v>8.6457300000000001E-2</v>
      </c>
      <c r="AK28">
        <v>32918</v>
      </c>
      <c r="AL28">
        <v>3.2292399999999999E-2</v>
      </c>
      <c r="AM28">
        <v>32918</v>
      </c>
      <c r="AN28">
        <v>0.12798470000000001</v>
      </c>
      <c r="AO28">
        <v>32918</v>
      </c>
      <c r="AP28">
        <v>3.3264500000000002E-2</v>
      </c>
      <c r="AQ28">
        <v>32918</v>
      </c>
      <c r="AR28">
        <v>8.2021999999999998E-3</v>
      </c>
      <c r="AS28">
        <v>32918</v>
      </c>
      <c r="AT28">
        <v>4.5598199999999998E-2</v>
      </c>
      <c r="AU28">
        <v>32918</v>
      </c>
      <c r="AV28">
        <v>0.1482472</v>
      </c>
      <c r="AW28">
        <v>32918</v>
      </c>
      <c r="AX28">
        <v>0.1503129</v>
      </c>
      <c r="AY28">
        <v>32918</v>
      </c>
      <c r="AZ28">
        <v>0.15280389999999999</v>
      </c>
      <c r="BA28">
        <v>32918</v>
      </c>
      <c r="BB28">
        <v>8.9768500000000001E-2</v>
      </c>
      <c r="BC28">
        <v>32918</v>
      </c>
      <c r="BD28">
        <v>4.4474100000000003E-2</v>
      </c>
      <c r="BE28">
        <v>32918</v>
      </c>
      <c r="BF28">
        <v>2.5700199999999999E-2</v>
      </c>
      <c r="BG28">
        <v>32918</v>
      </c>
      <c r="BH28">
        <v>5.4893999999999998E-2</v>
      </c>
      <c r="BI28">
        <v>854705</v>
      </c>
      <c r="BJ28">
        <v>0.50094240000000001</v>
      </c>
      <c r="BK28">
        <v>428158</v>
      </c>
      <c r="BL28">
        <v>6.0811700000000003E-2</v>
      </c>
      <c r="BM28">
        <v>428158</v>
      </c>
      <c r="BN28">
        <v>1.29462E-2</v>
      </c>
      <c r="BO28">
        <v>428158</v>
      </c>
      <c r="BP28">
        <v>8.6022000000000001E-2</v>
      </c>
      <c r="BQ28">
        <v>428158</v>
      </c>
      <c r="BR28">
        <v>4.3068200000000001E-2</v>
      </c>
      <c r="BS28">
        <v>428158</v>
      </c>
      <c r="BT28">
        <v>1.69844E-2</v>
      </c>
      <c r="BU28">
        <v>428158</v>
      </c>
      <c r="BV28">
        <v>2.8701999999999998E-2</v>
      </c>
      <c r="BW28">
        <v>428158</v>
      </c>
      <c r="BX28">
        <v>8.7122000000000005E-2</v>
      </c>
      <c r="BY28">
        <v>428158</v>
      </c>
      <c r="BZ28">
        <v>0.12860669999999999</v>
      </c>
      <c r="CA28">
        <v>428158</v>
      </c>
      <c r="CB28">
        <v>0.1503651</v>
      </c>
      <c r="CC28">
        <v>428158</v>
      </c>
      <c r="CD28">
        <v>0.1689283</v>
      </c>
      <c r="CE28">
        <v>428158</v>
      </c>
      <c r="CF28">
        <v>0.1187482</v>
      </c>
      <c r="CG28">
        <v>428158</v>
      </c>
      <c r="CH28">
        <v>6.0447300000000002E-2</v>
      </c>
      <c r="CI28">
        <v>428158</v>
      </c>
      <c r="CJ28">
        <v>3.72479E-2</v>
      </c>
      <c r="CK28">
        <v>854705</v>
      </c>
      <c r="CL28">
        <v>0.49905759999999999</v>
      </c>
      <c r="CM28">
        <v>426547</v>
      </c>
      <c r="CN28">
        <v>6.1430499999999999E-2</v>
      </c>
      <c r="CO28">
        <v>426547</v>
      </c>
      <c r="CP28">
        <v>1.3093499999999999E-2</v>
      </c>
      <c r="CQ28">
        <v>426547</v>
      </c>
      <c r="CR28">
        <v>7.4864E-2</v>
      </c>
      <c r="CS28">
        <v>426547</v>
      </c>
      <c r="CT28">
        <v>4.5092300000000002E-2</v>
      </c>
      <c r="CU28">
        <v>426547</v>
      </c>
      <c r="CV28">
        <v>1.6521000000000001E-2</v>
      </c>
      <c r="CW28">
        <v>426547</v>
      </c>
      <c r="CX28">
        <v>2.7502200000000001E-2</v>
      </c>
      <c r="CY28">
        <v>426547</v>
      </c>
      <c r="CZ28">
        <v>7.7684299999999998E-2</v>
      </c>
      <c r="DA28">
        <v>426547</v>
      </c>
      <c r="DB28">
        <v>0.11576450000000001</v>
      </c>
      <c r="DC28">
        <v>426547</v>
      </c>
      <c r="DD28">
        <v>0.14291509999999999</v>
      </c>
      <c r="DE28">
        <v>426547</v>
      </c>
      <c r="DF28">
        <v>0.17488580000000001</v>
      </c>
      <c r="DG28">
        <v>426547</v>
      </c>
      <c r="DH28">
        <v>0.1251023</v>
      </c>
      <c r="DI28">
        <v>426547</v>
      </c>
      <c r="DJ28">
        <v>6.5765299999999999E-2</v>
      </c>
      <c r="DK28">
        <v>426547</v>
      </c>
      <c r="DL28">
        <v>5.93792E-2</v>
      </c>
      <c r="DM28">
        <v>605361</v>
      </c>
      <c r="DN28">
        <v>4.8300099999999999E-2</v>
      </c>
      <c r="DO28">
        <v>29239</v>
      </c>
      <c r="DP28">
        <v>0.41687469999999999</v>
      </c>
      <c r="DQ28">
        <v>296633</v>
      </c>
      <c r="DR28">
        <v>4.1091200000000001E-2</v>
      </c>
      <c r="DS28">
        <v>12189</v>
      </c>
      <c r="DT28">
        <v>0.2115842</v>
      </c>
      <c r="DU28">
        <v>25519</v>
      </c>
      <c r="DV28">
        <v>0.101062</v>
      </c>
      <c r="DW28">
        <v>12189</v>
      </c>
      <c r="DX28">
        <v>0.25719910000000001</v>
      </c>
      <c r="DY28">
        <v>53901</v>
      </c>
      <c r="DZ28">
        <v>5.8162199999999997E-2</v>
      </c>
      <c r="EA28">
        <v>12189</v>
      </c>
      <c r="EB28">
        <v>0.30937730000000002</v>
      </c>
      <c r="EC28">
        <v>76850</v>
      </c>
      <c r="ED28">
        <v>4.9069599999999998E-2</v>
      </c>
      <c r="EE28">
        <v>12189</v>
      </c>
      <c r="EF28">
        <v>0.22183939999999999</v>
      </c>
      <c r="EG28">
        <v>140363</v>
      </c>
      <c r="EH28">
        <v>1.9264300000000002E-2</v>
      </c>
      <c r="EI28">
        <v>29239</v>
      </c>
      <c r="EJ28">
        <v>0.58312529999999996</v>
      </c>
      <c r="EK28">
        <v>308728</v>
      </c>
      <c r="EL28">
        <v>5.5226600000000001E-2</v>
      </c>
      <c r="EM28">
        <v>17050</v>
      </c>
      <c r="EN28">
        <v>0.27659820000000002</v>
      </c>
      <c r="EO28">
        <v>23400</v>
      </c>
      <c r="EP28">
        <v>0.20153850000000001</v>
      </c>
      <c r="EQ28">
        <v>17050</v>
      </c>
      <c r="ER28">
        <v>0.25395889999999999</v>
      </c>
      <c r="ES28">
        <v>61513</v>
      </c>
      <c r="ET28">
        <v>7.0391599999999999E-2</v>
      </c>
      <c r="EU28">
        <v>17050</v>
      </c>
      <c r="EV28">
        <v>0.30093839999999999</v>
      </c>
      <c r="EW28">
        <v>88148</v>
      </c>
      <c r="EX28">
        <v>5.8208900000000001E-2</v>
      </c>
      <c r="EY28">
        <v>17050</v>
      </c>
      <c r="EZ28">
        <v>0.1685044</v>
      </c>
      <c r="FA28">
        <v>135667</v>
      </c>
      <c r="FB28">
        <v>2.1176899999999999E-2</v>
      </c>
      <c r="FC28">
        <v>605361</v>
      </c>
      <c r="FD28">
        <v>0.95169990000000004</v>
      </c>
      <c r="FE28">
        <v>576122</v>
      </c>
      <c r="FF28">
        <v>0.49372179999999999</v>
      </c>
      <c r="FG28">
        <v>296633</v>
      </c>
      <c r="FH28">
        <v>0.95890880000000001</v>
      </c>
      <c r="FI28">
        <v>284444</v>
      </c>
      <c r="FJ28">
        <v>8.0648600000000001E-2</v>
      </c>
      <c r="FK28">
        <v>25519</v>
      </c>
      <c r="FL28">
        <v>0.89893809999999996</v>
      </c>
      <c r="FM28">
        <v>284444</v>
      </c>
      <c r="FN28">
        <v>0.17847450000000001</v>
      </c>
      <c r="FO28">
        <v>53901</v>
      </c>
      <c r="FP28">
        <v>0.94183779999999995</v>
      </c>
      <c r="FQ28">
        <v>284444</v>
      </c>
      <c r="FR28">
        <v>0.2569188</v>
      </c>
      <c r="FS28">
        <v>76850</v>
      </c>
      <c r="FT28">
        <v>0.95093039999999995</v>
      </c>
      <c r="FU28">
        <v>284444</v>
      </c>
      <c r="FV28">
        <v>0.48395820000000001</v>
      </c>
      <c r="FW28">
        <v>140363</v>
      </c>
      <c r="FX28">
        <v>0.98073569999999999</v>
      </c>
      <c r="FY28">
        <v>576122</v>
      </c>
      <c r="FZ28">
        <v>0.50627820000000001</v>
      </c>
      <c r="GA28">
        <v>308728</v>
      </c>
      <c r="GB28">
        <v>0.94477339999999999</v>
      </c>
      <c r="GC28">
        <v>291678</v>
      </c>
      <c r="GD28">
        <v>6.40569E-2</v>
      </c>
      <c r="GE28">
        <v>23400</v>
      </c>
      <c r="GF28">
        <v>0.79846159999999999</v>
      </c>
      <c r="GG28">
        <v>291678</v>
      </c>
      <c r="GH28">
        <v>0.19604840000000001</v>
      </c>
      <c r="GI28">
        <v>61513</v>
      </c>
      <c r="GJ28">
        <v>0.9296084</v>
      </c>
      <c r="GK28">
        <v>291678</v>
      </c>
      <c r="GL28">
        <v>0.2846186</v>
      </c>
      <c r="GM28">
        <v>88148</v>
      </c>
      <c r="GN28">
        <v>0.94179109999999999</v>
      </c>
      <c r="GO28">
        <v>291678</v>
      </c>
      <c r="GP28">
        <v>0.45527600000000001</v>
      </c>
      <c r="GQ28">
        <v>135667</v>
      </c>
      <c r="GR28">
        <v>0.97882309999999995</v>
      </c>
      <c r="GS28">
        <v>711836</v>
      </c>
      <c r="GT28">
        <v>5.79572E-2</v>
      </c>
      <c r="GU28">
        <v>41256</v>
      </c>
      <c r="GV28">
        <v>0.43205840000000001</v>
      </c>
      <c r="GW28">
        <v>17825</v>
      </c>
      <c r="GX28">
        <v>8.1570799999999999E-2</v>
      </c>
      <c r="GY28">
        <v>17825</v>
      </c>
      <c r="GZ28">
        <v>0.52785409999999999</v>
      </c>
      <c r="HA28">
        <v>17825</v>
      </c>
      <c r="HB28">
        <v>0.39057500000000001</v>
      </c>
      <c r="HC28">
        <v>17825</v>
      </c>
      <c r="HD28">
        <v>0.65699859999999999</v>
      </c>
      <c r="HE28">
        <v>17825</v>
      </c>
      <c r="HF28">
        <v>0.34300140000000001</v>
      </c>
      <c r="HG28">
        <v>11711</v>
      </c>
      <c r="HH28">
        <v>0.58679870000000001</v>
      </c>
      <c r="HI28">
        <v>11711</v>
      </c>
      <c r="HJ28">
        <v>0.41320129999999999</v>
      </c>
      <c r="HK28">
        <v>41256</v>
      </c>
      <c r="HL28">
        <v>0.56794160000000005</v>
      </c>
      <c r="HM28">
        <v>23431</v>
      </c>
      <c r="HN28">
        <v>8.1601300000000002E-2</v>
      </c>
      <c r="HO28">
        <v>23431</v>
      </c>
      <c r="HP28">
        <v>0.39469080000000001</v>
      </c>
      <c r="HQ28">
        <v>23431</v>
      </c>
      <c r="HR28">
        <v>0.5237079</v>
      </c>
      <c r="HS28">
        <v>23431</v>
      </c>
      <c r="HT28">
        <v>0.52255560000000001</v>
      </c>
      <c r="HU28">
        <v>23431</v>
      </c>
      <c r="HV28">
        <v>0.47744439999999999</v>
      </c>
      <c r="HW28">
        <v>12244</v>
      </c>
      <c r="HX28">
        <v>0.63884350000000001</v>
      </c>
      <c r="HY28">
        <v>12244</v>
      </c>
      <c r="HZ28">
        <v>0.36115649999999999</v>
      </c>
      <c r="IA28">
        <v>711836</v>
      </c>
      <c r="IB28">
        <v>0.94204279999999996</v>
      </c>
      <c r="IC28">
        <v>670580</v>
      </c>
      <c r="ID28">
        <v>0.49812849999999997</v>
      </c>
      <c r="IE28">
        <v>334035</v>
      </c>
      <c r="IF28">
        <v>0.56862310000000005</v>
      </c>
      <c r="IG28">
        <v>334035</v>
      </c>
      <c r="IH28">
        <v>0.26093670000000002</v>
      </c>
      <c r="II28">
        <v>334035</v>
      </c>
      <c r="IJ28">
        <v>0.17044019999999999</v>
      </c>
      <c r="IK28">
        <v>333515</v>
      </c>
      <c r="IL28">
        <v>0.80937590000000004</v>
      </c>
      <c r="IM28">
        <v>333515</v>
      </c>
      <c r="IN28">
        <v>0.19062409999999999</v>
      </c>
      <c r="IO28">
        <v>269939</v>
      </c>
      <c r="IP28">
        <v>0.90809770000000001</v>
      </c>
      <c r="IQ28">
        <v>269939</v>
      </c>
      <c r="IR28">
        <v>9.1902200000000003E-2</v>
      </c>
      <c r="IS28">
        <v>670580</v>
      </c>
      <c r="IT28">
        <v>0.50187150000000003</v>
      </c>
      <c r="IU28">
        <v>336545</v>
      </c>
      <c r="IV28">
        <v>0.38733899999999999</v>
      </c>
      <c r="IW28">
        <v>336545</v>
      </c>
      <c r="IX28">
        <v>0.30267270000000002</v>
      </c>
      <c r="IY28">
        <v>336545</v>
      </c>
      <c r="IZ28">
        <v>0.30998829999999999</v>
      </c>
      <c r="JA28">
        <v>336207</v>
      </c>
      <c r="JB28">
        <v>0.66786239999999997</v>
      </c>
      <c r="JC28">
        <v>336207</v>
      </c>
      <c r="JD28">
        <v>0.33213759999999998</v>
      </c>
      <c r="JE28">
        <v>224540</v>
      </c>
      <c r="JF28">
        <v>0.92624030000000002</v>
      </c>
      <c r="JG28">
        <v>224540</v>
      </c>
      <c r="JH28">
        <v>7.3759699999999997E-2</v>
      </c>
      <c r="JI28">
        <v>239255</v>
      </c>
      <c r="JJ28">
        <v>6.9010000000000002E-2</v>
      </c>
      <c r="JK28">
        <v>16511</v>
      </c>
      <c r="JL28">
        <v>0.42626130000000001</v>
      </c>
      <c r="JM28">
        <v>7038</v>
      </c>
      <c r="JN28">
        <v>0.66183570000000003</v>
      </c>
      <c r="JO28">
        <v>7038</v>
      </c>
      <c r="JP28">
        <v>0.66183570000000003</v>
      </c>
      <c r="JQ28">
        <v>7038</v>
      </c>
      <c r="JR28">
        <v>0.66183570000000003</v>
      </c>
      <c r="JS28">
        <v>7038</v>
      </c>
      <c r="JT28">
        <v>0.66183570000000003</v>
      </c>
      <c r="JU28">
        <v>7038</v>
      </c>
      <c r="JV28">
        <v>0.33816420000000003</v>
      </c>
      <c r="JW28">
        <v>16511</v>
      </c>
      <c r="JX28">
        <v>0.57373870000000005</v>
      </c>
      <c r="JY28">
        <v>9473</v>
      </c>
      <c r="JZ28">
        <v>0.20479259999999999</v>
      </c>
      <c r="KA28">
        <v>1940</v>
      </c>
      <c r="KB28">
        <v>0.79432990000000003</v>
      </c>
      <c r="KC28">
        <v>1541</v>
      </c>
      <c r="KD28">
        <v>0.38416610000000001</v>
      </c>
      <c r="KE28">
        <v>1541</v>
      </c>
      <c r="KF28">
        <v>0.22323170000000001</v>
      </c>
      <c r="KG28">
        <v>1541</v>
      </c>
      <c r="KH28">
        <v>0.39260220000000001</v>
      </c>
      <c r="KI28">
        <v>1940</v>
      </c>
      <c r="KJ28">
        <v>0.20567009999999999</v>
      </c>
      <c r="KK28">
        <v>9473</v>
      </c>
      <c r="KL28">
        <v>0.79520740000000001</v>
      </c>
      <c r="KM28">
        <v>7533</v>
      </c>
      <c r="KN28">
        <v>0.8245055</v>
      </c>
      <c r="KO28">
        <v>6211</v>
      </c>
      <c r="KP28">
        <v>0.16036059999999999</v>
      </c>
      <c r="KQ28">
        <v>6211</v>
      </c>
      <c r="KR28">
        <v>0.3703108</v>
      </c>
      <c r="KS28">
        <v>6211</v>
      </c>
      <c r="KT28">
        <v>0.46932859999999998</v>
      </c>
      <c r="KU28">
        <v>7533</v>
      </c>
      <c r="KV28">
        <v>0.1754945</v>
      </c>
      <c r="KW28">
        <v>239255</v>
      </c>
      <c r="KX28">
        <v>2.1036099999999999E-2</v>
      </c>
      <c r="KY28">
        <v>5033</v>
      </c>
      <c r="KZ28">
        <v>0.56050069999999996</v>
      </c>
      <c r="LA28">
        <v>2821</v>
      </c>
      <c r="LB28">
        <v>0.72456569999999998</v>
      </c>
      <c r="LC28">
        <v>2821</v>
      </c>
      <c r="LD28">
        <v>0.72456569999999998</v>
      </c>
      <c r="LE28">
        <v>2821</v>
      </c>
      <c r="LF28">
        <v>0.72456569999999998</v>
      </c>
      <c r="LG28">
        <v>2821</v>
      </c>
      <c r="LH28">
        <v>0.72456569999999998</v>
      </c>
      <c r="LI28">
        <v>2821</v>
      </c>
      <c r="LJ28">
        <v>0.27543430000000002</v>
      </c>
      <c r="LK28">
        <v>5033</v>
      </c>
      <c r="LL28">
        <v>0.43949929999999998</v>
      </c>
      <c r="LM28">
        <v>2212</v>
      </c>
      <c r="LN28">
        <v>0.4217902</v>
      </c>
      <c r="LO28">
        <v>933</v>
      </c>
      <c r="LP28">
        <v>1</v>
      </c>
      <c r="LQ28">
        <v>933</v>
      </c>
      <c r="LR28">
        <v>0.23472670000000001</v>
      </c>
      <c r="LS28">
        <v>933</v>
      </c>
      <c r="LT28">
        <v>0.33440520000000001</v>
      </c>
      <c r="LU28">
        <v>933</v>
      </c>
      <c r="LV28">
        <v>0.43086819999999998</v>
      </c>
      <c r="LW28">
        <v>933</v>
      </c>
      <c r="LX28">
        <v>0</v>
      </c>
      <c r="LY28">
        <v>2212</v>
      </c>
      <c r="LZ28">
        <v>0.5782098</v>
      </c>
      <c r="MA28">
        <v>1279</v>
      </c>
      <c r="MB28">
        <v>0.61845190000000005</v>
      </c>
      <c r="MC28">
        <v>791</v>
      </c>
      <c r="MD28">
        <v>8.3438700000000005E-2</v>
      </c>
      <c r="ME28">
        <v>791</v>
      </c>
      <c r="MF28">
        <v>0.34639700000000001</v>
      </c>
      <c r="MG28">
        <v>791</v>
      </c>
      <c r="MH28">
        <v>0.57016429999999996</v>
      </c>
      <c r="MI28">
        <v>1279</v>
      </c>
      <c r="MJ28">
        <v>0.3815481</v>
      </c>
      <c r="MK28">
        <v>239255</v>
      </c>
      <c r="ML28">
        <v>3.7892599999999999E-2</v>
      </c>
      <c r="MM28">
        <v>9066</v>
      </c>
      <c r="MN28">
        <v>0.70405910000000005</v>
      </c>
      <c r="MO28">
        <v>6383</v>
      </c>
      <c r="MP28">
        <v>0.64311450000000003</v>
      </c>
      <c r="MQ28">
        <v>6383</v>
      </c>
      <c r="MR28">
        <v>0.64311450000000003</v>
      </c>
      <c r="MS28">
        <v>6383</v>
      </c>
      <c r="MT28">
        <v>0.64311450000000003</v>
      </c>
      <c r="MU28">
        <v>6383</v>
      </c>
      <c r="MV28">
        <v>0.64311450000000003</v>
      </c>
      <c r="MW28">
        <v>6383</v>
      </c>
      <c r="MX28">
        <v>0.35688550000000002</v>
      </c>
      <c r="MY28">
        <v>9066</v>
      </c>
      <c r="MZ28">
        <v>0.29594090000000001</v>
      </c>
      <c r="NA28">
        <v>2683</v>
      </c>
      <c r="NB28">
        <v>0.21990309999999999</v>
      </c>
      <c r="NC28">
        <v>590</v>
      </c>
      <c r="ND28">
        <v>0.83559320000000004</v>
      </c>
      <c r="NE28">
        <v>493</v>
      </c>
      <c r="NF28">
        <v>0.45030429999999999</v>
      </c>
      <c r="NG28">
        <v>493</v>
      </c>
      <c r="NH28">
        <v>0.1196755</v>
      </c>
      <c r="NI28">
        <v>493</v>
      </c>
      <c r="NJ28">
        <v>0.43002030000000002</v>
      </c>
      <c r="NK28">
        <v>590</v>
      </c>
      <c r="NL28">
        <v>0.16440679999999999</v>
      </c>
      <c r="NM28">
        <v>2683</v>
      </c>
      <c r="NN28">
        <v>0.78009689999999998</v>
      </c>
      <c r="NO28">
        <v>2093</v>
      </c>
      <c r="NP28">
        <v>0.71571899999999999</v>
      </c>
      <c r="NQ28">
        <v>1498</v>
      </c>
      <c r="NR28">
        <v>1.6021400000000002E-2</v>
      </c>
      <c r="NS28">
        <v>1498</v>
      </c>
      <c r="NT28">
        <v>0.2176235</v>
      </c>
      <c r="NU28">
        <v>1498</v>
      </c>
      <c r="NV28">
        <v>0.76635520000000001</v>
      </c>
      <c r="NW28">
        <v>2093</v>
      </c>
      <c r="NX28">
        <v>0.2842809</v>
      </c>
      <c r="NY28">
        <v>239255</v>
      </c>
      <c r="NZ28">
        <v>0.87206119999999998</v>
      </c>
      <c r="OA28">
        <v>208645</v>
      </c>
      <c r="OB28">
        <v>0.86413759999999995</v>
      </c>
      <c r="OC28">
        <v>180298</v>
      </c>
      <c r="OD28">
        <v>0.45201279999999999</v>
      </c>
      <c r="OE28">
        <v>180298</v>
      </c>
      <c r="OF28">
        <v>0.45201279999999999</v>
      </c>
      <c r="OG28">
        <v>180298</v>
      </c>
      <c r="OH28">
        <v>0.45201279999999999</v>
      </c>
      <c r="OI28">
        <v>180298</v>
      </c>
      <c r="OJ28">
        <v>0.45201279999999999</v>
      </c>
      <c r="OK28">
        <v>180298</v>
      </c>
      <c r="OL28">
        <v>0.54798720000000001</v>
      </c>
      <c r="OM28">
        <v>208645</v>
      </c>
      <c r="ON28">
        <v>0.13586239999999999</v>
      </c>
      <c r="OO28">
        <v>28347</v>
      </c>
      <c r="OP28">
        <v>0.32412600000000003</v>
      </c>
      <c r="OQ28">
        <v>9188</v>
      </c>
      <c r="OR28">
        <v>0.42697000000000002</v>
      </c>
      <c r="OS28">
        <v>3923</v>
      </c>
      <c r="OT28">
        <v>0.26051489999999999</v>
      </c>
      <c r="OU28">
        <v>3923</v>
      </c>
      <c r="OV28">
        <v>6.1432599999999997E-2</v>
      </c>
      <c r="OW28">
        <v>3923</v>
      </c>
      <c r="OX28">
        <v>0.67805249999999995</v>
      </c>
      <c r="OY28">
        <v>9188</v>
      </c>
      <c r="OZ28">
        <v>0.57303009999999999</v>
      </c>
      <c r="PA28">
        <v>28347</v>
      </c>
      <c r="PB28">
        <v>0.67587399999999997</v>
      </c>
      <c r="PC28">
        <v>19159</v>
      </c>
      <c r="PD28">
        <v>0.50508900000000001</v>
      </c>
      <c r="PE28">
        <v>9677</v>
      </c>
      <c r="PF28">
        <v>0.1329958</v>
      </c>
      <c r="PG28">
        <v>9677</v>
      </c>
      <c r="PH28">
        <v>7.5643299999999997E-2</v>
      </c>
      <c r="PI28">
        <v>9677</v>
      </c>
      <c r="PJ28">
        <v>0.79136099999999998</v>
      </c>
      <c r="PK28">
        <v>19159</v>
      </c>
      <c r="PL28">
        <v>0.49491099999999999</v>
      </c>
      <c r="PM28">
        <v>932541</v>
      </c>
      <c r="PN28">
        <v>0.49568440000000002</v>
      </c>
      <c r="PO28">
        <v>462246</v>
      </c>
      <c r="PP28">
        <v>6.5902100000000005E-2</v>
      </c>
      <c r="PQ28">
        <v>462246</v>
      </c>
      <c r="PR28">
        <v>6.5824300000000002E-2</v>
      </c>
      <c r="PS28">
        <v>462246</v>
      </c>
      <c r="PT28">
        <v>7.6474399999999998E-2</v>
      </c>
      <c r="PU28">
        <v>462246</v>
      </c>
      <c r="PV28">
        <v>4.4567200000000001E-2</v>
      </c>
      <c r="PW28">
        <v>462246</v>
      </c>
      <c r="PX28">
        <v>2.92182E-2</v>
      </c>
      <c r="PY28">
        <v>462246</v>
      </c>
      <c r="PZ28">
        <v>1.4327899999999999E-2</v>
      </c>
      <c r="QA28">
        <v>462246</v>
      </c>
      <c r="QB28">
        <v>1.12602E-2</v>
      </c>
      <c r="QC28">
        <v>462246</v>
      </c>
      <c r="QD28">
        <v>4.1720199999999999E-2</v>
      </c>
      <c r="QE28">
        <v>462246</v>
      </c>
      <c r="QF28">
        <v>6.5754999999999994E-2</v>
      </c>
      <c r="QG28">
        <v>462246</v>
      </c>
      <c r="QH28">
        <v>6.2339100000000001E-2</v>
      </c>
      <c r="QI28">
        <v>462246</v>
      </c>
      <c r="QJ28">
        <v>7.6589099999999993E-2</v>
      </c>
      <c r="QK28">
        <v>462246</v>
      </c>
      <c r="QL28">
        <v>7.1284600000000004E-2</v>
      </c>
      <c r="QM28">
        <v>462246</v>
      </c>
      <c r="QN28">
        <v>8.3295499999999995E-2</v>
      </c>
      <c r="QO28">
        <v>462246</v>
      </c>
      <c r="QP28">
        <v>7.8659400000000004E-2</v>
      </c>
      <c r="QQ28">
        <v>462246</v>
      </c>
      <c r="QR28">
        <v>6.55279E-2</v>
      </c>
      <c r="QS28">
        <v>462246</v>
      </c>
      <c r="QT28">
        <v>2.2046699999999999E-2</v>
      </c>
      <c r="QU28">
        <v>462246</v>
      </c>
      <c r="QV28">
        <v>2.59256E-2</v>
      </c>
      <c r="QW28">
        <v>462246</v>
      </c>
      <c r="QX28">
        <v>1.6149400000000001E-2</v>
      </c>
      <c r="QY28">
        <v>462246</v>
      </c>
      <c r="QZ28">
        <v>2.09845E-2</v>
      </c>
      <c r="RA28">
        <v>462246</v>
      </c>
      <c r="RB28">
        <v>2.16616E-2</v>
      </c>
      <c r="RC28">
        <v>462246</v>
      </c>
      <c r="RD28">
        <v>1.6411200000000001E-2</v>
      </c>
      <c r="RE28">
        <v>462246</v>
      </c>
      <c r="RF28">
        <v>1.4386299999999999E-2</v>
      </c>
      <c r="RG28">
        <v>462246</v>
      </c>
      <c r="RH28">
        <v>9.6895999999999996E-3</v>
      </c>
      <c r="RI28">
        <v>932541</v>
      </c>
      <c r="RJ28">
        <v>0.50431559999999998</v>
      </c>
      <c r="RK28">
        <v>470295</v>
      </c>
      <c r="RL28">
        <v>6.2435299999999999E-2</v>
      </c>
      <c r="RM28">
        <v>470295</v>
      </c>
      <c r="RN28">
        <v>6.6677299999999995E-2</v>
      </c>
      <c r="RO28">
        <v>470295</v>
      </c>
      <c r="RP28">
        <v>6.8603700000000004E-2</v>
      </c>
      <c r="RQ28">
        <v>470295</v>
      </c>
      <c r="RR28">
        <v>4.3693900000000001E-2</v>
      </c>
      <c r="RS28">
        <v>470295</v>
      </c>
      <c r="RT28">
        <v>2.5881600000000001E-2</v>
      </c>
      <c r="RU28">
        <v>470295</v>
      </c>
      <c r="RV28">
        <v>1.26538E-2</v>
      </c>
      <c r="RW28">
        <v>470295</v>
      </c>
      <c r="RX28">
        <v>1.44101E-2</v>
      </c>
      <c r="RY28">
        <v>470295</v>
      </c>
      <c r="RZ28">
        <v>3.6753500000000001E-2</v>
      </c>
      <c r="SA28">
        <v>470295</v>
      </c>
      <c r="SB28">
        <v>5.84101E-2</v>
      </c>
      <c r="SC28">
        <v>470295</v>
      </c>
      <c r="SD28">
        <v>5.7363999999999998E-2</v>
      </c>
      <c r="SE28">
        <v>470295</v>
      </c>
      <c r="SF28">
        <v>6.8372000000000002E-2</v>
      </c>
      <c r="SG28">
        <v>470295</v>
      </c>
      <c r="SH28">
        <v>7.2428999999999993E-2</v>
      </c>
      <c r="SI28">
        <v>470295</v>
      </c>
      <c r="SJ28">
        <v>8.4821199999999999E-2</v>
      </c>
      <c r="SK28">
        <v>470295</v>
      </c>
      <c r="SL28">
        <v>8.0387799999999995E-2</v>
      </c>
      <c r="SM28">
        <v>470295</v>
      </c>
      <c r="SN28">
        <v>6.5350500000000006E-2</v>
      </c>
      <c r="SO28">
        <v>470295</v>
      </c>
      <c r="SP28">
        <v>2.2796299999999999E-2</v>
      </c>
      <c r="SQ28">
        <v>470295</v>
      </c>
      <c r="SR28">
        <v>2.9428300000000001E-2</v>
      </c>
      <c r="SS28">
        <v>470295</v>
      </c>
      <c r="ST28">
        <v>1.5526399999999999E-2</v>
      </c>
      <c r="SU28">
        <v>470295</v>
      </c>
      <c r="SV28">
        <v>2.18671E-2</v>
      </c>
      <c r="SW28">
        <v>470295</v>
      </c>
      <c r="SX28">
        <v>2.4741900000000001E-2</v>
      </c>
      <c r="SY28">
        <v>470295</v>
      </c>
      <c r="SZ28">
        <v>2.2058500000000002E-2</v>
      </c>
      <c r="TA28">
        <v>470295</v>
      </c>
      <c r="TB28">
        <v>2.0257500000000001E-2</v>
      </c>
      <c r="TC28">
        <v>470295</v>
      </c>
      <c r="TD28">
        <v>2.5080000000000002E-2</v>
      </c>
      <c r="TE28">
        <v>751553</v>
      </c>
      <c r="TF28">
        <v>0.49541420000000003</v>
      </c>
      <c r="TG28">
        <v>42307</v>
      </c>
      <c r="TH28">
        <v>0.4563547</v>
      </c>
      <c r="TI28"/>
      <c r="TJ28"/>
      <c r="TK28">
        <v>93752</v>
      </c>
      <c r="TL28">
        <v>0.48808560000000001</v>
      </c>
      <c r="TM28"/>
      <c r="TN28"/>
      <c r="TO28">
        <v>25006</v>
      </c>
      <c r="TP28">
        <v>0.54938819999999999</v>
      </c>
      <c r="TQ28">
        <v>18729</v>
      </c>
      <c r="TR28">
        <v>0.55438089999999995</v>
      </c>
      <c r="TS28">
        <v>665927</v>
      </c>
      <c r="TT28">
        <v>0.49056280000000002</v>
      </c>
      <c r="TU28">
        <v>117507</v>
      </c>
      <c r="TV28">
        <v>0.54049550000000002</v>
      </c>
      <c r="TW28">
        <v>751553</v>
      </c>
      <c r="TX28">
        <v>0.50458590000000003</v>
      </c>
      <c r="TY28">
        <v>42307</v>
      </c>
      <c r="TZ28">
        <v>0.5436453</v>
      </c>
      <c r="UA28"/>
      <c r="UB28"/>
      <c r="UC28">
        <v>93752</v>
      </c>
      <c r="UD28">
        <v>0.51191439999999999</v>
      </c>
      <c r="UE28"/>
      <c r="UF28"/>
      <c r="UG28">
        <v>25006</v>
      </c>
      <c r="UH28">
        <v>0.45061190000000001</v>
      </c>
      <c r="UI28">
        <v>18729</v>
      </c>
      <c r="UJ28">
        <v>0.44561909999999999</v>
      </c>
      <c r="UK28">
        <v>665927</v>
      </c>
      <c r="UL28">
        <v>0.50943720000000003</v>
      </c>
      <c r="UM28">
        <v>117507</v>
      </c>
      <c r="UN28">
        <v>0.45950449999999998</v>
      </c>
      <c r="UO28">
        <v>234883</v>
      </c>
      <c r="UP28">
        <v>234883</v>
      </c>
      <c r="UQ28">
        <v>234883</v>
      </c>
      <c r="UR28">
        <v>193468</v>
      </c>
      <c r="US28">
        <v>193468</v>
      </c>
      <c r="UT28">
        <v>193468</v>
      </c>
      <c r="UU28">
        <v>2.2139E-3</v>
      </c>
      <c r="UV28">
        <v>0.89716580000000001</v>
      </c>
      <c r="UW28">
        <v>0.1006203</v>
      </c>
      <c r="UX28">
        <v>1.5299999999999999E-3</v>
      </c>
      <c r="UY28">
        <v>0.91277629999999998</v>
      </c>
      <c r="UZ28">
        <v>8.5693800000000001E-2</v>
      </c>
      <c r="VA28">
        <v>16860</v>
      </c>
      <c r="VB28">
        <v>1.29893E-2</v>
      </c>
      <c r="VC28">
        <v>16860</v>
      </c>
      <c r="VD28">
        <v>0.74122180000000004</v>
      </c>
      <c r="VE28">
        <v>16860</v>
      </c>
      <c r="VF28">
        <v>0.2457888</v>
      </c>
      <c r="VG28">
        <v>27843</v>
      </c>
      <c r="VH28">
        <v>0</v>
      </c>
      <c r="VI28">
        <v>27843</v>
      </c>
      <c r="VJ28">
        <v>0.85630139999999999</v>
      </c>
      <c r="VK28">
        <v>27843</v>
      </c>
      <c r="VL28">
        <v>0.14369860000000001</v>
      </c>
      <c r="VM28">
        <v>27604</v>
      </c>
      <c r="VN28">
        <v>1.0904199999999999E-2</v>
      </c>
      <c r="VO28">
        <v>27604</v>
      </c>
      <c r="VP28">
        <v>0.89816700000000005</v>
      </c>
      <c r="VQ28">
        <v>27604</v>
      </c>
      <c r="VR28">
        <v>9.0928899999999993E-2</v>
      </c>
      <c r="VS28">
        <v>64869</v>
      </c>
      <c r="VT28">
        <v>0</v>
      </c>
      <c r="VU28">
        <v>64869</v>
      </c>
      <c r="VV28">
        <v>0.90967949999999997</v>
      </c>
      <c r="VW28">
        <v>64869</v>
      </c>
      <c r="VX28">
        <v>9.0320499999999998E-2</v>
      </c>
      <c r="VY28">
        <v>70651</v>
      </c>
      <c r="VZ28">
        <v>0</v>
      </c>
      <c r="WA28">
        <v>70651</v>
      </c>
      <c r="WB28">
        <v>0.91758079999999997</v>
      </c>
      <c r="WC28">
        <v>70651</v>
      </c>
      <c r="WD28">
        <v>8.2419199999999998E-2</v>
      </c>
      <c r="WE28">
        <v>27056</v>
      </c>
      <c r="WF28">
        <v>0</v>
      </c>
      <c r="WG28">
        <v>27056</v>
      </c>
      <c r="WH28">
        <v>0.95206239999999998</v>
      </c>
      <c r="WI28">
        <v>27056</v>
      </c>
      <c r="WJ28">
        <v>4.7937599999999997E-2</v>
      </c>
      <c r="WK28">
        <v>14262</v>
      </c>
      <c r="WL28">
        <v>0</v>
      </c>
      <c r="WM28">
        <v>14262</v>
      </c>
      <c r="WN28">
        <v>0.91487870000000004</v>
      </c>
      <c r="WO28">
        <v>14262</v>
      </c>
      <c r="WP28">
        <v>8.5121299999999997E-2</v>
      </c>
      <c r="WQ28">
        <v>23339</v>
      </c>
      <c r="WR28">
        <v>1.1183E-2</v>
      </c>
      <c r="WS28">
        <v>23339</v>
      </c>
      <c r="WT28">
        <v>0.87068860000000003</v>
      </c>
      <c r="WU28">
        <v>23339</v>
      </c>
      <c r="WV28">
        <v>0.1181285</v>
      </c>
      <c r="WW28">
        <v>21044</v>
      </c>
      <c r="WX28">
        <v>0</v>
      </c>
      <c r="WY28">
        <v>21044</v>
      </c>
      <c r="WZ28">
        <v>0.91394220000000004</v>
      </c>
      <c r="XA28">
        <v>21044</v>
      </c>
      <c r="XB28">
        <v>8.6057800000000004E-2</v>
      </c>
      <c r="XC28">
        <v>50448</v>
      </c>
      <c r="XD28">
        <v>6.9379999999999995E-4</v>
      </c>
      <c r="XE28">
        <v>50448</v>
      </c>
      <c r="XF28">
        <v>0.89456469999999999</v>
      </c>
      <c r="XG28">
        <v>50448</v>
      </c>
      <c r="XH28">
        <v>0.1047415</v>
      </c>
      <c r="XI28">
        <v>61338</v>
      </c>
      <c r="XJ28">
        <v>0</v>
      </c>
      <c r="XK28">
        <v>61338</v>
      </c>
      <c r="XL28">
        <v>0.9381623</v>
      </c>
      <c r="XM28">
        <v>61338</v>
      </c>
      <c r="XN28">
        <v>6.1837700000000002E-2</v>
      </c>
      <c r="XO28">
        <v>23037</v>
      </c>
      <c r="XP28">
        <v>0</v>
      </c>
      <c r="XQ28">
        <v>23037</v>
      </c>
      <c r="XR28">
        <v>0.92533750000000003</v>
      </c>
      <c r="XS28">
        <v>23037</v>
      </c>
      <c r="XT28">
        <v>7.4662500000000007E-2</v>
      </c>
      <c r="XU28">
        <v>621830</v>
      </c>
      <c r="XV28">
        <v>0.50295900000000004</v>
      </c>
      <c r="XW28">
        <v>312755</v>
      </c>
      <c r="XX28">
        <v>0.8898914</v>
      </c>
      <c r="XY28">
        <v>312755</v>
      </c>
      <c r="XZ28">
        <v>0.1101086</v>
      </c>
      <c r="YA28">
        <v>278318</v>
      </c>
      <c r="YB28">
        <v>0.81970259999999995</v>
      </c>
      <c r="YC28">
        <v>228138</v>
      </c>
      <c r="YD28">
        <v>0.81375750000000002</v>
      </c>
      <c r="YE28">
        <v>228138</v>
      </c>
      <c r="YF28">
        <v>1.9922200000000001E-2</v>
      </c>
      <c r="YG28">
        <v>228138</v>
      </c>
      <c r="YH28">
        <v>4.6919000000000002E-2</v>
      </c>
      <c r="YI28">
        <v>228138</v>
      </c>
      <c r="YJ28">
        <v>4.37718E-2</v>
      </c>
      <c r="YK28">
        <v>228138</v>
      </c>
      <c r="YL28">
        <v>4.0550000000000003E-2</v>
      </c>
      <c r="YM28">
        <v>228138</v>
      </c>
      <c r="YN28">
        <v>3.5079600000000002E-2</v>
      </c>
      <c r="YO28">
        <v>278318</v>
      </c>
      <c r="YP28">
        <v>0.14494570000000001</v>
      </c>
      <c r="YQ28">
        <v>40341</v>
      </c>
      <c r="YR28">
        <v>0.43699959999999999</v>
      </c>
      <c r="YS28">
        <v>40341</v>
      </c>
      <c r="YT28">
        <v>1.8641100000000001E-2</v>
      </c>
      <c r="YU28">
        <v>40341</v>
      </c>
      <c r="YV28">
        <v>7.4514800000000006E-2</v>
      </c>
      <c r="YW28">
        <v>40341</v>
      </c>
      <c r="YX28">
        <v>0.15222730000000001</v>
      </c>
      <c r="YY28">
        <v>40341</v>
      </c>
      <c r="YZ28">
        <v>0.13633770000000001</v>
      </c>
      <c r="ZA28">
        <v>40341</v>
      </c>
      <c r="ZB28">
        <v>0.18127960000000001</v>
      </c>
      <c r="ZC28">
        <v>278318</v>
      </c>
      <c r="ZD28">
        <v>3.5351599999999997E-2</v>
      </c>
      <c r="ZE28">
        <v>9839</v>
      </c>
      <c r="ZF28">
        <v>0.12745200000000001</v>
      </c>
      <c r="ZG28">
        <v>9839</v>
      </c>
      <c r="ZH28">
        <v>4.6854399999999997E-2</v>
      </c>
      <c r="ZI28">
        <v>9839</v>
      </c>
      <c r="ZJ28">
        <v>5.4172199999999997E-2</v>
      </c>
      <c r="ZK28">
        <v>9839</v>
      </c>
      <c r="ZL28">
        <v>0.13802220000000001</v>
      </c>
      <c r="ZM28">
        <v>9839</v>
      </c>
      <c r="ZN28">
        <v>0.2005285</v>
      </c>
      <c r="ZO28">
        <v>9839</v>
      </c>
      <c r="ZP28">
        <v>0.43297079999999999</v>
      </c>
      <c r="ZQ28">
        <v>621830</v>
      </c>
      <c r="ZR28">
        <v>0.49704100000000001</v>
      </c>
      <c r="ZS28">
        <v>309075</v>
      </c>
      <c r="ZT28">
        <v>0.7614301</v>
      </c>
      <c r="ZU28">
        <v>309075</v>
      </c>
      <c r="ZV28">
        <v>0.2385699</v>
      </c>
      <c r="ZW28">
        <v>235339</v>
      </c>
      <c r="ZX28">
        <v>0.65731139999999999</v>
      </c>
      <c r="ZY28">
        <v>154691</v>
      </c>
      <c r="ZZ28">
        <v>0.82825119999999997</v>
      </c>
      <c r="AAA28">
        <v>154691</v>
      </c>
      <c r="AAB28">
        <v>1.40926E-2</v>
      </c>
      <c r="AAC28">
        <v>154691</v>
      </c>
      <c r="AAD28">
        <v>5.1134199999999998E-2</v>
      </c>
      <c r="AAE28">
        <v>154691</v>
      </c>
      <c r="AAF28">
        <v>5.0009400000000002E-2</v>
      </c>
      <c r="AAG28">
        <v>154691</v>
      </c>
      <c r="AAH28">
        <v>2.6989300000000001E-2</v>
      </c>
      <c r="AAI28">
        <v>154691</v>
      </c>
      <c r="AAJ28">
        <v>2.9523400000000002E-2</v>
      </c>
      <c r="AAK28">
        <v>235339</v>
      </c>
      <c r="AAL28">
        <v>0.2603181</v>
      </c>
      <c r="AAM28">
        <v>61263</v>
      </c>
      <c r="AAN28">
        <v>0.52439480000000005</v>
      </c>
      <c r="AAO28">
        <v>61263</v>
      </c>
      <c r="AAP28">
        <v>3.7037E-2</v>
      </c>
      <c r="AAQ28">
        <v>61263</v>
      </c>
      <c r="AAR28">
        <v>0.11542040000000001</v>
      </c>
      <c r="AAS28">
        <v>61263</v>
      </c>
      <c r="AAT28">
        <v>0.129801</v>
      </c>
      <c r="AAU28">
        <v>61263</v>
      </c>
      <c r="AAV28">
        <v>9.5555200000000007E-2</v>
      </c>
      <c r="AAW28">
        <v>61263</v>
      </c>
      <c r="AAX28">
        <v>9.7791500000000003E-2</v>
      </c>
      <c r="AAY28">
        <v>235339</v>
      </c>
      <c r="AAZ28">
        <v>8.2370499999999999E-2</v>
      </c>
      <c r="ABA28">
        <v>19385</v>
      </c>
      <c r="ABB28">
        <v>0.26210990000000001</v>
      </c>
      <c r="ABC28">
        <v>19385</v>
      </c>
      <c r="ABD28">
        <v>3.9773000000000003E-2</v>
      </c>
      <c r="ABE28">
        <v>19385</v>
      </c>
      <c r="ABF28">
        <v>9.6466300000000005E-2</v>
      </c>
      <c r="ABG28">
        <v>19385</v>
      </c>
      <c r="ABH28">
        <v>0.16626260000000001</v>
      </c>
      <c r="ABI28">
        <v>19385</v>
      </c>
      <c r="ABJ28">
        <v>0.1415527</v>
      </c>
      <c r="ABK28">
        <v>19385</v>
      </c>
      <c r="ABL28">
        <v>0.29383540000000002</v>
      </c>
      <c r="ABM28">
        <v>338183</v>
      </c>
      <c r="ABN28">
        <v>0.70747199999999999</v>
      </c>
      <c r="ABO28">
        <v>239255</v>
      </c>
      <c r="ABP28">
        <v>0.82146660000000005</v>
      </c>
      <c r="ABQ28">
        <v>239255</v>
      </c>
      <c r="ABR28">
        <v>0.17853340000000001</v>
      </c>
      <c r="ABS28">
        <v>42715</v>
      </c>
      <c r="ABT28">
        <v>0.2961723</v>
      </c>
      <c r="ABU28">
        <v>42715</v>
      </c>
      <c r="ABV28">
        <v>0.70382769999999995</v>
      </c>
      <c r="ABW28">
        <v>338183</v>
      </c>
      <c r="ABX28">
        <v>0.29252800000000001</v>
      </c>
      <c r="ABY28">
        <v>98928</v>
      </c>
      <c r="ABZ28">
        <v>0.86303169999999996</v>
      </c>
      <c r="ACA28">
        <v>98928</v>
      </c>
      <c r="ACB28">
        <v>0.13696829999999999</v>
      </c>
      <c r="ACC28">
        <v>743316</v>
      </c>
      <c r="ACD28">
        <v>0.49239620000000001</v>
      </c>
      <c r="ACE28">
        <v>366006</v>
      </c>
      <c r="ACF28">
        <v>0.32337719999999998</v>
      </c>
      <c r="ACG28">
        <v>118358</v>
      </c>
      <c r="ACH28">
        <v>0.17405670000000001</v>
      </c>
      <c r="ACI28">
        <v>118358</v>
      </c>
      <c r="ACJ28">
        <v>0.1141114</v>
      </c>
      <c r="ACK28">
        <v>118358</v>
      </c>
      <c r="ACL28">
        <v>0.244918</v>
      </c>
      <c r="ACM28">
        <v>118358</v>
      </c>
      <c r="ACN28">
        <v>0.17495230000000001</v>
      </c>
      <c r="ACO28">
        <v>118358</v>
      </c>
      <c r="ACP28">
        <v>9.9435599999999999E-2</v>
      </c>
      <c r="ACQ28">
        <v>118358</v>
      </c>
      <c r="ACR28">
        <v>6.1575900000000003E-2</v>
      </c>
      <c r="ACS28">
        <v>118358</v>
      </c>
      <c r="ACT28">
        <v>3.6567000000000002E-2</v>
      </c>
      <c r="ACU28">
        <v>118358</v>
      </c>
      <c r="ACV28">
        <v>2.7577299999999999E-2</v>
      </c>
      <c r="ACW28">
        <v>118358</v>
      </c>
      <c r="ACX28">
        <v>1.6593699999999999E-2</v>
      </c>
      <c r="ACY28">
        <v>118358</v>
      </c>
      <c r="ACZ28">
        <v>1.7565399999999998E-2</v>
      </c>
      <c r="ADA28">
        <v>118358</v>
      </c>
      <c r="ADB28">
        <v>1.5123599999999999E-2</v>
      </c>
      <c r="ADC28">
        <v>118358</v>
      </c>
      <c r="ADD28">
        <v>9.0235000000000003E-3</v>
      </c>
      <c r="ADE28">
        <v>118358</v>
      </c>
      <c r="ADF28">
        <v>5.4495999999999998E-3</v>
      </c>
      <c r="ADG28">
        <v>118358</v>
      </c>
      <c r="ADH28">
        <v>3.0501E-3</v>
      </c>
      <c r="ADI28">
        <v>366006</v>
      </c>
      <c r="ADJ28">
        <v>0.58967340000000001</v>
      </c>
      <c r="ADK28">
        <v>215824</v>
      </c>
      <c r="ADL28">
        <v>0.94492730000000003</v>
      </c>
      <c r="ADM28">
        <v>203938</v>
      </c>
      <c r="ADN28">
        <v>0</v>
      </c>
      <c r="ADO28">
        <v>203938</v>
      </c>
      <c r="ADP28">
        <v>0</v>
      </c>
      <c r="ADQ28">
        <v>203938</v>
      </c>
      <c r="ADR28">
        <v>5.3742E-3</v>
      </c>
      <c r="ADS28">
        <v>203938</v>
      </c>
      <c r="ADT28">
        <v>4.09389E-2</v>
      </c>
      <c r="ADU28">
        <v>203938</v>
      </c>
      <c r="ADV28">
        <v>7.3056499999999996E-2</v>
      </c>
      <c r="ADW28">
        <v>203938</v>
      </c>
      <c r="ADX28">
        <v>0.1132599</v>
      </c>
      <c r="ADY28">
        <v>203938</v>
      </c>
      <c r="ADZ28">
        <v>0.11833009999999999</v>
      </c>
      <c r="AEA28">
        <v>203938</v>
      </c>
      <c r="AEB28">
        <v>0.14793709999999999</v>
      </c>
      <c r="AEC28">
        <v>203938</v>
      </c>
      <c r="AED28">
        <v>0.1438084</v>
      </c>
      <c r="AEE28">
        <v>203938</v>
      </c>
      <c r="AEF28">
        <v>0.1123675</v>
      </c>
      <c r="AEG28">
        <v>203938</v>
      </c>
      <c r="AEH28">
        <v>8.3084099999999994E-2</v>
      </c>
      <c r="AEI28">
        <v>203938</v>
      </c>
      <c r="AEJ28">
        <v>0.10753269999999999</v>
      </c>
      <c r="AEK28">
        <v>203938</v>
      </c>
      <c r="AEL28">
        <v>4.5440300000000003E-2</v>
      </c>
      <c r="AEM28">
        <v>203938</v>
      </c>
      <c r="AEN28">
        <v>8.8702999999999994E-3</v>
      </c>
      <c r="AEO28">
        <v>215824</v>
      </c>
      <c r="AEP28">
        <v>5.5072700000000002E-2</v>
      </c>
      <c r="AEQ28">
        <v>11886</v>
      </c>
      <c r="AER28">
        <v>0.2287565</v>
      </c>
      <c r="AES28">
        <v>2719</v>
      </c>
      <c r="AET28">
        <v>0</v>
      </c>
      <c r="AEU28">
        <v>2719</v>
      </c>
      <c r="AEV28">
        <v>0</v>
      </c>
      <c r="AEW28">
        <v>2719</v>
      </c>
      <c r="AEX28">
        <v>0</v>
      </c>
      <c r="AEY28">
        <v>2719</v>
      </c>
      <c r="AEZ28">
        <v>0.13387270000000001</v>
      </c>
      <c r="AFA28">
        <v>2719</v>
      </c>
      <c r="AFB28">
        <v>0.1095991</v>
      </c>
      <c r="AFC28">
        <v>2719</v>
      </c>
      <c r="AFD28">
        <v>0.44611990000000001</v>
      </c>
      <c r="AFE28">
        <v>2719</v>
      </c>
      <c r="AFF28">
        <v>0.12100039999999999</v>
      </c>
      <c r="AFG28">
        <v>2719</v>
      </c>
      <c r="AFH28">
        <v>0</v>
      </c>
      <c r="AFI28">
        <v>2719</v>
      </c>
      <c r="AFJ28">
        <v>0.1287238</v>
      </c>
      <c r="AFK28">
        <v>2719</v>
      </c>
      <c r="AFL28">
        <v>1.6550200000000001E-2</v>
      </c>
      <c r="AFM28">
        <v>2719</v>
      </c>
      <c r="AFN28">
        <v>4.4133899999999997E-2</v>
      </c>
      <c r="AFO28">
        <v>2719</v>
      </c>
      <c r="AFP28">
        <v>0</v>
      </c>
      <c r="AFQ28">
        <v>2719</v>
      </c>
      <c r="AFR28">
        <v>0</v>
      </c>
      <c r="AFS28">
        <v>2719</v>
      </c>
      <c r="AFT28">
        <v>0</v>
      </c>
      <c r="AFU28">
        <v>11886</v>
      </c>
      <c r="AFV28">
        <v>0.77124349999999997</v>
      </c>
      <c r="AFW28">
        <v>9167</v>
      </c>
      <c r="AFX28">
        <v>0</v>
      </c>
      <c r="AFY28">
        <v>9167</v>
      </c>
      <c r="AFZ28">
        <v>0</v>
      </c>
      <c r="AGA28">
        <v>9167</v>
      </c>
      <c r="AGB28">
        <v>0.1027599</v>
      </c>
      <c r="AGC28">
        <v>9167</v>
      </c>
      <c r="AGD28">
        <v>8.0942500000000001E-2</v>
      </c>
      <c r="AGE28">
        <v>9167</v>
      </c>
      <c r="AGF28">
        <v>0.1294862</v>
      </c>
      <c r="AGG28">
        <v>9167</v>
      </c>
      <c r="AGH28">
        <v>0.1181412</v>
      </c>
      <c r="AGI28">
        <v>9167</v>
      </c>
      <c r="AGJ28">
        <v>6.8179299999999998E-2</v>
      </c>
      <c r="AGK28">
        <v>9167</v>
      </c>
      <c r="AGL28">
        <v>8.4215100000000001E-2</v>
      </c>
      <c r="AGM28">
        <v>9167</v>
      </c>
      <c r="AGN28">
        <v>4.6907400000000002E-2</v>
      </c>
      <c r="AGO28">
        <v>9167</v>
      </c>
      <c r="AGP28">
        <v>0.12599540000000001</v>
      </c>
      <c r="AGQ28">
        <v>9167</v>
      </c>
      <c r="AGR28">
        <v>1.97447E-2</v>
      </c>
      <c r="AGS28">
        <v>9167</v>
      </c>
      <c r="AGT28">
        <v>0.10745059999999999</v>
      </c>
      <c r="AGU28">
        <v>9167</v>
      </c>
      <c r="AGV28">
        <v>7.7233599999999999E-2</v>
      </c>
      <c r="AGW28">
        <v>9167</v>
      </c>
      <c r="AGX28">
        <v>3.8943999999999999E-2</v>
      </c>
      <c r="AGY28">
        <v>366006</v>
      </c>
      <c r="AGZ28">
        <v>2.1316600000000002E-2</v>
      </c>
      <c r="AHA28">
        <v>7802</v>
      </c>
      <c r="AHB28">
        <v>0</v>
      </c>
      <c r="AHC28">
        <v>7802</v>
      </c>
      <c r="AHD28">
        <v>0</v>
      </c>
      <c r="AHE28">
        <v>7802</v>
      </c>
      <c r="AHF28">
        <v>0</v>
      </c>
      <c r="AHG28">
        <v>7802</v>
      </c>
      <c r="AHH28">
        <v>0</v>
      </c>
      <c r="AHI28">
        <v>7802</v>
      </c>
      <c r="AHJ28">
        <v>0</v>
      </c>
      <c r="AHK28">
        <v>7802</v>
      </c>
      <c r="AHL28">
        <v>0</v>
      </c>
      <c r="AHM28">
        <v>7802</v>
      </c>
      <c r="AHN28">
        <v>2.79416E-2</v>
      </c>
      <c r="AHO28">
        <v>7802</v>
      </c>
      <c r="AHP28">
        <v>3.0761299999999998E-2</v>
      </c>
      <c r="AHQ28">
        <v>7802</v>
      </c>
      <c r="AHR28">
        <v>5.7805700000000002E-2</v>
      </c>
      <c r="AHS28">
        <v>7802</v>
      </c>
      <c r="AHT28">
        <v>7.7159699999999998E-2</v>
      </c>
      <c r="AHU28">
        <v>7802</v>
      </c>
      <c r="AHV28">
        <v>0.1095873</v>
      </c>
      <c r="AHW28">
        <v>7802</v>
      </c>
      <c r="AHX28">
        <v>0.1124071</v>
      </c>
      <c r="AHY28">
        <v>7802</v>
      </c>
      <c r="AHZ28">
        <v>0.35414000000000001</v>
      </c>
      <c r="AIA28">
        <v>7802</v>
      </c>
      <c r="AIB28">
        <v>0.2301974</v>
      </c>
      <c r="AIC28">
        <v>366006</v>
      </c>
      <c r="AID28">
        <v>6.5632800000000005E-2</v>
      </c>
      <c r="AIE28">
        <v>24022</v>
      </c>
      <c r="AIF28">
        <v>0</v>
      </c>
      <c r="AIG28">
        <v>24022</v>
      </c>
      <c r="AIH28">
        <v>0</v>
      </c>
      <c r="AII28">
        <v>24022</v>
      </c>
      <c r="AIJ28">
        <v>3.6216999999999998E-3</v>
      </c>
      <c r="AIK28">
        <v>24022</v>
      </c>
      <c r="AIL28">
        <v>9.6994000000000004E-3</v>
      </c>
      <c r="AIM28">
        <v>24022</v>
      </c>
      <c r="AIN28">
        <v>2.7599700000000001E-2</v>
      </c>
      <c r="AIO28">
        <v>24022</v>
      </c>
      <c r="AIP28">
        <v>0.1132712</v>
      </c>
      <c r="AIQ28">
        <v>24022</v>
      </c>
      <c r="AIR28">
        <v>0.13816500000000001</v>
      </c>
      <c r="AIS28">
        <v>24022</v>
      </c>
      <c r="AIT28">
        <v>0.16888690000000001</v>
      </c>
      <c r="AIU28">
        <v>24022</v>
      </c>
      <c r="AIV28">
        <v>0.1597286</v>
      </c>
      <c r="AIW28">
        <v>24022</v>
      </c>
      <c r="AIX28">
        <v>0.14540839999999999</v>
      </c>
      <c r="AIY28">
        <v>24022</v>
      </c>
      <c r="AIZ28">
        <v>9.51211E-2</v>
      </c>
      <c r="AJA28">
        <v>24022</v>
      </c>
      <c r="AJB28">
        <v>9.6494899999999995E-2</v>
      </c>
      <c r="AJC28">
        <v>24022</v>
      </c>
      <c r="AJD28">
        <v>3.5509100000000002E-2</v>
      </c>
      <c r="AJE28">
        <v>24022</v>
      </c>
      <c r="AJF28">
        <v>6.4939999999999998E-3</v>
      </c>
      <c r="AJG28">
        <v>743316</v>
      </c>
      <c r="AJH28">
        <v>0.50760380000000005</v>
      </c>
      <c r="AJI28">
        <v>377310</v>
      </c>
      <c r="AJJ28">
        <v>0.27431290000000003</v>
      </c>
      <c r="AJK28">
        <v>103501</v>
      </c>
      <c r="AJL28">
        <v>0.19497400000000001</v>
      </c>
      <c r="AJM28">
        <v>103501</v>
      </c>
      <c r="AJN28">
        <v>0.11713899999999999</v>
      </c>
      <c r="AJO28">
        <v>103501</v>
      </c>
      <c r="AJP28">
        <v>0.2604612</v>
      </c>
      <c r="AJQ28">
        <v>103501</v>
      </c>
      <c r="AJR28">
        <v>0.16076170000000001</v>
      </c>
      <c r="AJS28">
        <v>103501</v>
      </c>
      <c r="AJT28">
        <v>5.8849699999999998E-2</v>
      </c>
      <c r="AJU28">
        <v>103501</v>
      </c>
      <c r="AJV28">
        <v>4.94198E-2</v>
      </c>
      <c r="AJW28">
        <v>103501</v>
      </c>
      <c r="AJX28">
        <v>4.1584099999999999E-2</v>
      </c>
      <c r="AJY28">
        <v>103501</v>
      </c>
      <c r="AJZ28">
        <v>3.28209E-2</v>
      </c>
      <c r="AKA28">
        <v>103501</v>
      </c>
      <c r="AKB28">
        <v>3.08113E-2</v>
      </c>
      <c r="AKC28">
        <v>103501</v>
      </c>
      <c r="AKD28">
        <v>1.6550599999999999E-2</v>
      </c>
      <c r="AKE28">
        <v>103501</v>
      </c>
      <c r="AKF28">
        <v>8.6955999999999995E-3</v>
      </c>
      <c r="AKG28">
        <v>103501</v>
      </c>
      <c r="AKH28">
        <v>1.4753499999999999E-2</v>
      </c>
      <c r="AKI28">
        <v>103501</v>
      </c>
      <c r="AKJ28">
        <v>8.7051999999999997E-3</v>
      </c>
      <c r="AKK28">
        <v>103501</v>
      </c>
      <c r="AKL28">
        <v>4.4733999999999998E-3</v>
      </c>
      <c r="AKM28">
        <v>377310</v>
      </c>
      <c r="AKN28">
        <v>0.54227029999999998</v>
      </c>
      <c r="AKO28">
        <v>204604</v>
      </c>
      <c r="AKP28">
        <v>0.95680920000000003</v>
      </c>
      <c r="AKQ28">
        <v>195767</v>
      </c>
      <c r="AKR28">
        <v>0</v>
      </c>
      <c r="AKS28">
        <v>195767</v>
      </c>
      <c r="AKT28">
        <v>2.452E-4</v>
      </c>
      <c r="AKU28">
        <v>195767</v>
      </c>
      <c r="AKV28">
        <v>1.2315700000000001E-2</v>
      </c>
      <c r="AKW28">
        <v>195767</v>
      </c>
      <c r="AKX28">
        <v>4.9870499999999998E-2</v>
      </c>
      <c r="AKY28">
        <v>195767</v>
      </c>
      <c r="AKZ28">
        <v>8.6715299999999995E-2</v>
      </c>
      <c r="ALA28">
        <v>195767</v>
      </c>
      <c r="ALB28">
        <v>0.1183448</v>
      </c>
      <c r="ALC28">
        <v>195767</v>
      </c>
      <c r="ALD28">
        <v>0.1172976</v>
      </c>
      <c r="ALE28">
        <v>195767</v>
      </c>
      <c r="ALF28">
        <v>0.15868860000000001</v>
      </c>
      <c r="ALG28">
        <v>195767</v>
      </c>
      <c r="ALH28">
        <v>0.13292329999999999</v>
      </c>
      <c r="ALI28">
        <v>195767</v>
      </c>
      <c r="ALJ28">
        <v>0.1136504</v>
      </c>
      <c r="ALK28">
        <v>195767</v>
      </c>
      <c r="ALL28">
        <v>8.2409200000000002E-2</v>
      </c>
      <c r="ALM28">
        <v>195767</v>
      </c>
      <c r="ALN28">
        <v>8.6465E-2</v>
      </c>
      <c r="ALO28">
        <v>195767</v>
      </c>
      <c r="ALP28">
        <v>3.55474E-2</v>
      </c>
      <c r="ALQ28">
        <v>195767</v>
      </c>
      <c r="ALR28">
        <v>5.5269999999999998E-3</v>
      </c>
      <c r="ALS28">
        <v>204604</v>
      </c>
      <c r="ALT28">
        <v>4.3190699999999999E-2</v>
      </c>
      <c r="ALU28">
        <v>8837</v>
      </c>
      <c r="ALV28">
        <v>0.42763380000000001</v>
      </c>
      <c r="ALW28">
        <v>3779</v>
      </c>
      <c r="ALX28">
        <v>0</v>
      </c>
      <c r="ALY28">
        <v>3779</v>
      </c>
      <c r="ALZ28">
        <v>0</v>
      </c>
      <c r="AMA28">
        <v>3779</v>
      </c>
      <c r="AMB28">
        <v>0</v>
      </c>
      <c r="AMC28">
        <v>3779</v>
      </c>
      <c r="AMD28">
        <v>3.6782200000000001E-2</v>
      </c>
      <c r="AME28">
        <v>3779</v>
      </c>
      <c r="AMF28">
        <v>0.1278116</v>
      </c>
      <c r="AMG28">
        <v>3779</v>
      </c>
      <c r="AMH28">
        <v>0.1873512</v>
      </c>
      <c r="AMI28">
        <v>3779</v>
      </c>
      <c r="AMJ28">
        <v>0.14554110000000001</v>
      </c>
      <c r="AMK28">
        <v>3779</v>
      </c>
      <c r="AML28">
        <v>0.1450119</v>
      </c>
      <c r="AMM28">
        <v>3779</v>
      </c>
      <c r="AMN28">
        <v>0.16671079999999999</v>
      </c>
      <c r="AMO28">
        <v>3779</v>
      </c>
      <c r="AMP28">
        <v>3.4665300000000003E-2</v>
      </c>
      <c r="AMQ28">
        <v>3779</v>
      </c>
      <c r="AMR28">
        <v>0</v>
      </c>
      <c r="AMS28">
        <v>3779</v>
      </c>
      <c r="AMT28">
        <v>9.3675599999999998E-2</v>
      </c>
      <c r="AMU28">
        <v>3779</v>
      </c>
      <c r="AMV28">
        <v>0</v>
      </c>
      <c r="AMW28">
        <v>3779</v>
      </c>
      <c r="AMX28">
        <v>6.2450400000000003E-2</v>
      </c>
      <c r="AMY28">
        <v>8837</v>
      </c>
      <c r="AMZ28">
        <v>0.57236620000000005</v>
      </c>
      <c r="ANA28">
        <v>5058</v>
      </c>
      <c r="ANB28">
        <v>5.8125700000000002E-2</v>
      </c>
      <c r="ANC28">
        <v>5058</v>
      </c>
      <c r="AND28">
        <v>0</v>
      </c>
      <c r="ANE28">
        <v>5058</v>
      </c>
      <c r="ANF28">
        <v>0.1014235</v>
      </c>
      <c r="ANG28">
        <v>5058</v>
      </c>
      <c r="ANH28">
        <v>3.9936699999999999E-2</v>
      </c>
      <c r="ANI28">
        <v>5058</v>
      </c>
      <c r="ANJ28">
        <v>0.27738239999999997</v>
      </c>
      <c r="ANK28">
        <v>5058</v>
      </c>
      <c r="ANL28">
        <v>4.4286300000000001E-2</v>
      </c>
      <c r="ANM28">
        <v>5058</v>
      </c>
      <c r="ANN28">
        <v>9.3910599999999997E-2</v>
      </c>
      <c r="ANO28">
        <v>5058</v>
      </c>
      <c r="ANP28">
        <v>5.7137199999999999E-2</v>
      </c>
      <c r="ANQ28">
        <v>5058</v>
      </c>
      <c r="ANR28">
        <v>6.64294E-2</v>
      </c>
      <c r="ANS28">
        <v>5058</v>
      </c>
      <c r="ANT28">
        <v>7.1174399999999999E-2</v>
      </c>
      <c r="ANU28">
        <v>5058</v>
      </c>
      <c r="ANV28">
        <v>4.2902299999999997E-2</v>
      </c>
      <c r="ANW28">
        <v>5058</v>
      </c>
      <c r="ANX28">
        <v>5.1799100000000001E-2</v>
      </c>
      <c r="ANY28">
        <v>5058</v>
      </c>
      <c r="ANZ28">
        <v>4.5670200000000001E-2</v>
      </c>
      <c r="AOA28">
        <v>5058</v>
      </c>
      <c r="AOB28">
        <v>4.9822100000000001E-2</v>
      </c>
      <c r="AOC28">
        <v>377310</v>
      </c>
      <c r="AOD28">
        <v>8.0790299999999995E-2</v>
      </c>
      <c r="AOE28">
        <v>30483</v>
      </c>
      <c r="AOF28">
        <v>0</v>
      </c>
      <c r="AOG28">
        <v>30483</v>
      </c>
      <c r="AOH28">
        <v>0</v>
      </c>
      <c r="AOI28">
        <v>30483</v>
      </c>
      <c r="AOJ28">
        <v>0</v>
      </c>
      <c r="AOK28">
        <v>30483</v>
      </c>
      <c r="AOL28">
        <v>0</v>
      </c>
      <c r="AOM28">
        <v>30483</v>
      </c>
      <c r="AON28">
        <v>0</v>
      </c>
      <c r="AOO28">
        <v>30483</v>
      </c>
      <c r="AOP28">
        <v>0</v>
      </c>
      <c r="AOQ28">
        <v>30483</v>
      </c>
      <c r="AOR28">
        <v>8.2340999999999994E-3</v>
      </c>
      <c r="AOS28">
        <v>30483</v>
      </c>
      <c r="AOT28">
        <v>1.7846000000000001E-2</v>
      </c>
      <c r="AOU28">
        <v>30483</v>
      </c>
      <c r="AOV28">
        <v>3.9399000000000003E-2</v>
      </c>
      <c r="AOW28">
        <v>30483</v>
      </c>
      <c r="AOX28">
        <v>5.7146599999999999E-2</v>
      </c>
      <c r="AOY28">
        <v>30483</v>
      </c>
      <c r="AOZ28">
        <v>6.5282300000000001E-2</v>
      </c>
      <c r="APA28">
        <v>30483</v>
      </c>
      <c r="APB28">
        <v>0.20470430000000001</v>
      </c>
      <c r="APC28">
        <v>30483</v>
      </c>
      <c r="APD28">
        <v>0.32568970000000003</v>
      </c>
      <c r="APE28">
        <v>30483</v>
      </c>
      <c r="APF28">
        <v>0.281698</v>
      </c>
      <c r="APG28">
        <v>377310</v>
      </c>
      <c r="APH28">
        <v>0.1026265</v>
      </c>
      <c r="API28">
        <v>38722</v>
      </c>
      <c r="APJ28">
        <v>1.9369000000000001E-3</v>
      </c>
      <c r="APK28">
        <v>38722</v>
      </c>
      <c r="APL28">
        <v>0</v>
      </c>
      <c r="APM28">
        <v>38722</v>
      </c>
      <c r="APN28">
        <v>3.3831E-3</v>
      </c>
      <c r="APO28">
        <v>38722</v>
      </c>
      <c r="APP28">
        <v>1.8774900000000001E-2</v>
      </c>
      <c r="APQ28">
        <v>38722</v>
      </c>
      <c r="APR28">
        <v>5.2295899999999999E-2</v>
      </c>
      <c r="APS28">
        <v>38722</v>
      </c>
      <c r="APT28">
        <v>7.5925800000000002E-2</v>
      </c>
      <c r="APU28">
        <v>38722</v>
      </c>
      <c r="APV28">
        <v>0.1425546</v>
      </c>
      <c r="APW28">
        <v>38722</v>
      </c>
      <c r="APX28">
        <v>0.1045142</v>
      </c>
      <c r="APY28">
        <v>38722</v>
      </c>
      <c r="APZ28">
        <v>0.16600380000000001</v>
      </c>
      <c r="AQA28">
        <v>38722</v>
      </c>
      <c r="AQB28">
        <v>0.1172202</v>
      </c>
      <c r="AQC28">
        <v>38722</v>
      </c>
      <c r="AQD28">
        <v>0.13741539999999999</v>
      </c>
      <c r="AQE28">
        <v>38722</v>
      </c>
      <c r="AQF28">
        <v>0.1010278</v>
      </c>
      <c r="AQG28">
        <v>38722</v>
      </c>
      <c r="AQH28">
        <v>4.8602899999999997E-2</v>
      </c>
      <c r="AQI28">
        <v>38722</v>
      </c>
      <c r="AQJ28">
        <v>3.03445E-2</v>
      </c>
      <c r="AQK28">
        <v>112307</v>
      </c>
      <c r="AQL28">
        <v>0.15052489999999999</v>
      </c>
      <c r="AQM28">
        <v>338183</v>
      </c>
      <c r="AQN28">
        <v>0.75284680000000004</v>
      </c>
      <c r="AQO28">
        <v>254600</v>
      </c>
      <c r="AQP28">
        <v>0.77234480000000005</v>
      </c>
      <c r="AQQ28">
        <v>196639</v>
      </c>
      <c r="AQR28">
        <v>0.88258689999999995</v>
      </c>
      <c r="AQS28">
        <v>173551</v>
      </c>
      <c r="AQT28">
        <v>0.45343440000000002</v>
      </c>
      <c r="AQU28">
        <v>173551</v>
      </c>
      <c r="AQV28">
        <v>0.54656559999999998</v>
      </c>
      <c r="AQW28">
        <v>196639</v>
      </c>
      <c r="AQX28">
        <v>0.11741310000000001</v>
      </c>
      <c r="AQY28">
        <v>23088</v>
      </c>
      <c r="AQZ28">
        <v>0.28486660000000003</v>
      </c>
      <c r="ARA28">
        <v>6577</v>
      </c>
      <c r="ARB28">
        <v>0.32689679999999999</v>
      </c>
      <c r="ARC28">
        <v>6577</v>
      </c>
      <c r="ARD28">
        <v>0.67310320000000001</v>
      </c>
      <c r="ARE28">
        <v>23088</v>
      </c>
      <c r="ARF28">
        <v>0.71513340000000003</v>
      </c>
      <c r="ARG28">
        <v>16511</v>
      </c>
      <c r="ARH28">
        <v>0.43431649999999999</v>
      </c>
      <c r="ARI28">
        <v>16511</v>
      </c>
      <c r="ARJ28">
        <v>0.56568350000000001</v>
      </c>
      <c r="ARK28">
        <v>254600</v>
      </c>
      <c r="ARL28">
        <v>0.2276551</v>
      </c>
      <c r="ARM28">
        <v>338183</v>
      </c>
      <c r="ARN28">
        <v>0.24715319999999999</v>
      </c>
      <c r="ARO28">
        <v>83583</v>
      </c>
      <c r="ARP28">
        <v>0.5098644</v>
      </c>
      <c r="ARQ28">
        <v>42616</v>
      </c>
      <c r="ARR28">
        <v>0.53944530000000002</v>
      </c>
      <c r="ARS28">
        <v>22989</v>
      </c>
      <c r="ART28">
        <v>0.4622211</v>
      </c>
      <c r="ARU28">
        <v>22989</v>
      </c>
      <c r="ARV28">
        <v>0.53777889999999995</v>
      </c>
      <c r="ARW28">
        <v>42616</v>
      </c>
      <c r="ARX28">
        <v>0.46055469999999998</v>
      </c>
      <c r="ARY28">
        <v>19627</v>
      </c>
      <c r="ARZ28">
        <v>0.30947160000000001</v>
      </c>
      <c r="ASA28">
        <v>6074</v>
      </c>
      <c r="ASB28">
        <v>0.64734939999999996</v>
      </c>
      <c r="ASC28">
        <v>6074</v>
      </c>
      <c r="ASD28">
        <v>0.35265059999999998</v>
      </c>
      <c r="ASE28">
        <v>19627</v>
      </c>
      <c r="ASF28">
        <v>0.69052829999999998</v>
      </c>
      <c r="ASG28">
        <v>13553</v>
      </c>
      <c r="ASH28">
        <v>0.71821740000000001</v>
      </c>
      <c r="ASI28">
        <v>13553</v>
      </c>
      <c r="ASJ28">
        <v>0.28178259999999999</v>
      </c>
      <c r="ASK28">
        <v>83583</v>
      </c>
      <c r="ASL28">
        <v>0.4901356</v>
      </c>
      <c r="ASM28">
        <v>321590</v>
      </c>
      <c r="ASN28">
        <v>0.59138040000000003</v>
      </c>
      <c r="ASO28">
        <v>190182</v>
      </c>
      <c r="ASP28">
        <v>0.49049330000000002</v>
      </c>
      <c r="ASQ28">
        <v>93283</v>
      </c>
      <c r="ASR28">
        <v>0.52914249999999996</v>
      </c>
      <c r="ASS28">
        <v>49360</v>
      </c>
      <c r="AST28">
        <v>0.71306720000000001</v>
      </c>
      <c r="ASU28">
        <v>49360</v>
      </c>
      <c r="ASV28">
        <v>0.28693269999999998</v>
      </c>
      <c r="ASW28">
        <v>93283</v>
      </c>
      <c r="ASX28">
        <v>0.47085749999999998</v>
      </c>
      <c r="ASY28">
        <v>43923</v>
      </c>
      <c r="ASZ28">
        <v>0.3136853</v>
      </c>
      <c r="ATA28">
        <v>43923</v>
      </c>
      <c r="ATB28">
        <v>0.23331740000000001</v>
      </c>
      <c r="ATC28">
        <v>43923</v>
      </c>
      <c r="ATD28">
        <v>3.8954500000000003E-2</v>
      </c>
      <c r="ATE28">
        <v>93283</v>
      </c>
      <c r="ATF28">
        <v>1.9006700000000001E-2</v>
      </c>
      <c r="ATG28">
        <v>1773</v>
      </c>
      <c r="ATH28">
        <v>1.785674</v>
      </c>
      <c r="ATI28">
        <v>1773</v>
      </c>
      <c r="ATJ28">
        <v>2.4698250000000002</v>
      </c>
      <c r="ATK28">
        <v>1773</v>
      </c>
      <c r="ATL28">
        <v>1.6694869999999999</v>
      </c>
      <c r="ATM28">
        <v>1773</v>
      </c>
      <c r="ATN28">
        <v>3.3322050000000001</v>
      </c>
      <c r="ATO28">
        <v>93283</v>
      </c>
      <c r="ATP28">
        <v>5.3235900000000003E-2</v>
      </c>
      <c r="ATQ28">
        <v>4966</v>
      </c>
      <c r="ATR28">
        <v>0.18968989999999999</v>
      </c>
      <c r="ATS28">
        <v>4966</v>
      </c>
      <c r="ATT28">
        <v>3.062827</v>
      </c>
      <c r="ATU28">
        <v>190182</v>
      </c>
      <c r="ATV28">
        <v>4.9531999999999996E-3</v>
      </c>
      <c r="ATW28">
        <v>942</v>
      </c>
      <c r="ATX28">
        <v>4.0955409999999999</v>
      </c>
      <c r="ATY28">
        <v>942</v>
      </c>
      <c r="ATZ28">
        <v>1.976645</v>
      </c>
      <c r="AUA28">
        <v>1862</v>
      </c>
      <c r="AUB28">
        <v>1.071966</v>
      </c>
      <c r="AUC28">
        <v>1862</v>
      </c>
      <c r="AUD28">
        <v>2.4919440000000002</v>
      </c>
      <c r="AUE28">
        <v>942</v>
      </c>
      <c r="AUF28">
        <v>5.3811039999999997</v>
      </c>
      <c r="AUG28">
        <v>942</v>
      </c>
      <c r="AUH28">
        <v>0.74416139999999997</v>
      </c>
      <c r="AUI28">
        <v>942</v>
      </c>
      <c r="AUJ28">
        <v>37.954349999999998</v>
      </c>
      <c r="AUK28">
        <v>190182</v>
      </c>
      <c r="AUL28">
        <v>0.13045399999999999</v>
      </c>
      <c r="AUM28">
        <v>24810</v>
      </c>
      <c r="AUN28">
        <v>0.44107210000000002</v>
      </c>
      <c r="AUO28">
        <v>24810</v>
      </c>
      <c r="AUP28">
        <v>0</v>
      </c>
      <c r="AUQ28">
        <v>190182</v>
      </c>
      <c r="AUR28">
        <v>0.1028751</v>
      </c>
      <c r="AUS28">
        <v>19565</v>
      </c>
      <c r="AUT28">
        <v>0.51643240000000001</v>
      </c>
      <c r="AUU28">
        <v>19565</v>
      </c>
      <c r="AUV28">
        <v>0.48356759999999999</v>
      </c>
      <c r="AUW28">
        <v>19565</v>
      </c>
      <c r="AUX28">
        <v>1.347866</v>
      </c>
      <c r="AUY28">
        <v>190182</v>
      </c>
      <c r="AUZ28">
        <v>6.4995600000000001E-2</v>
      </c>
      <c r="AVA28">
        <v>12361</v>
      </c>
      <c r="AVB28">
        <v>1.1334029999999999</v>
      </c>
      <c r="AVC28">
        <v>12361</v>
      </c>
      <c r="AVD28">
        <v>0.1444058</v>
      </c>
      <c r="AVE28">
        <v>12361</v>
      </c>
      <c r="AVF28">
        <v>0.61694040000000006</v>
      </c>
      <c r="AVG28">
        <v>321590</v>
      </c>
      <c r="AVH28">
        <v>1.4300800000000001E-2</v>
      </c>
      <c r="AVI28">
        <v>4599</v>
      </c>
      <c r="AVJ28">
        <v>28.573170000000001</v>
      </c>
      <c r="AVK28">
        <v>131408</v>
      </c>
      <c r="AVL28">
        <v>0.50473330000000005</v>
      </c>
      <c r="AVM28">
        <v>66326</v>
      </c>
      <c r="AVN28">
        <v>0.45556799999999997</v>
      </c>
      <c r="AVO28">
        <v>66326</v>
      </c>
      <c r="AVP28">
        <v>0.24436869999999999</v>
      </c>
      <c r="AVQ28">
        <v>131408</v>
      </c>
      <c r="AVR28">
        <v>0.10659929999999999</v>
      </c>
      <c r="AVS28">
        <v>14008</v>
      </c>
      <c r="AVT28">
        <v>2.5778129999999999</v>
      </c>
      <c r="AVU28">
        <v>14008</v>
      </c>
      <c r="AVV28">
        <v>0.33852090000000001</v>
      </c>
      <c r="AVW28">
        <v>14008</v>
      </c>
      <c r="AVX28">
        <v>0.10750999999999999</v>
      </c>
      <c r="AVY28">
        <v>131408</v>
      </c>
      <c r="AVZ28">
        <v>7.9371000000000008E-3</v>
      </c>
      <c r="AWA28">
        <v>1043</v>
      </c>
      <c r="AWB28">
        <v>2.441036</v>
      </c>
      <c r="AWC28">
        <v>1043</v>
      </c>
      <c r="AWD28">
        <v>1.012464</v>
      </c>
      <c r="AWE28">
        <v>1043</v>
      </c>
      <c r="AWF28">
        <v>10.249280000000001</v>
      </c>
      <c r="AWG28">
        <v>1043</v>
      </c>
      <c r="AWH28">
        <v>1.6519649999999999</v>
      </c>
      <c r="AWI28">
        <v>131408</v>
      </c>
      <c r="AWJ28">
        <v>9.7436999999999996E-2</v>
      </c>
      <c r="AWK28">
        <v>12804</v>
      </c>
      <c r="AWL28">
        <v>0.77827239999999998</v>
      </c>
      <c r="AWM28">
        <v>12804</v>
      </c>
      <c r="AWN28">
        <v>0.2217276</v>
      </c>
      <c r="AWO28">
        <v>4599</v>
      </c>
      <c r="AWP28">
        <v>2.5131549999999998</v>
      </c>
      <c r="AWQ28">
        <v>11558</v>
      </c>
      <c r="AWR28">
        <v>0.26180999999999999</v>
      </c>
      <c r="AWS28">
        <v>11558</v>
      </c>
      <c r="AWT28">
        <v>3.5213700000000001E-2</v>
      </c>
      <c r="AWU28">
        <v>407</v>
      </c>
      <c r="AWV28">
        <v>0.24815719999999999</v>
      </c>
      <c r="AWW28">
        <v>407</v>
      </c>
      <c r="AWX28">
        <v>0.75184269999999997</v>
      </c>
      <c r="AWY28">
        <v>11558</v>
      </c>
      <c r="AWZ28">
        <v>0.26855859999999998</v>
      </c>
      <c r="AXA28">
        <v>11558</v>
      </c>
      <c r="AXB28">
        <v>0.1442291</v>
      </c>
      <c r="AXC28">
        <v>11558</v>
      </c>
      <c r="AXD28">
        <v>0.29018860000000002</v>
      </c>
      <c r="AXE28">
        <v>4599</v>
      </c>
      <c r="AXF28">
        <v>10.31724</v>
      </c>
      <c r="AXG28">
        <v>47449</v>
      </c>
      <c r="AXH28">
        <v>0.32974350000000002</v>
      </c>
      <c r="AXI28">
        <v>47449</v>
      </c>
      <c r="AXJ28">
        <v>0.67025650000000003</v>
      </c>
      <c r="AXK28">
        <v>4599</v>
      </c>
      <c r="AXL28">
        <v>4.2400500000000001E-2</v>
      </c>
      <c r="AXM28">
        <v>195</v>
      </c>
      <c r="AXN28">
        <v>1.9641029999999999</v>
      </c>
      <c r="AXO28">
        <v>195</v>
      </c>
      <c r="AXP28">
        <v>0.69230769999999997</v>
      </c>
      <c r="AXQ28">
        <v>195</v>
      </c>
      <c r="AXR28">
        <v>1.271795</v>
      </c>
      <c r="AXS28">
        <v>4599</v>
      </c>
      <c r="AXT28">
        <v>1.19526</v>
      </c>
      <c r="AXU28">
        <v>5497</v>
      </c>
      <c r="AXV28">
        <v>0.67473170000000005</v>
      </c>
      <c r="AXW28">
        <v>5497</v>
      </c>
      <c r="AXX28">
        <v>0.32526830000000001</v>
      </c>
      <c r="AXY28">
        <v>5497</v>
      </c>
      <c r="AXZ28">
        <v>5.9668899999999997E-2</v>
      </c>
      <c r="AYA28">
        <v>44619</v>
      </c>
      <c r="AYB28">
        <v>1.47247E-2</v>
      </c>
      <c r="AYC28">
        <v>44619</v>
      </c>
      <c r="AYD28">
        <v>0.1104238</v>
      </c>
      <c r="AYE28">
        <v>44619</v>
      </c>
      <c r="AYF28">
        <v>0.25318810000000003</v>
      </c>
      <c r="AYG28">
        <v>44619</v>
      </c>
      <c r="AYH28">
        <v>0.46011790000000002</v>
      </c>
      <c r="AYI28">
        <v>44619</v>
      </c>
      <c r="AYJ28">
        <v>3.98933E-2</v>
      </c>
      <c r="AYK28">
        <v>44619</v>
      </c>
      <c r="AYL28">
        <v>0.1179766</v>
      </c>
      <c r="AYM28">
        <v>44619</v>
      </c>
      <c r="AYN28">
        <v>3.6755999999999998E-3</v>
      </c>
      <c r="AYO28">
        <v>59211</v>
      </c>
      <c r="AYP28">
        <v>3.0484199999999999E-2</v>
      </c>
      <c r="AYQ28">
        <v>59211</v>
      </c>
      <c r="AYR28">
        <v>7.3635000000000006E-2</v>
      </c>
      <c r="AYS28">
        <v>59211</v>
      </c>
      <c r="AYT28">
        <v>0.16309470000000001</v>
      </c>
      <c r="AYU28">
        <v>59211</v>
      </c>
      <c r="AYV28">
        <v>0.22379289999999999</v>
      </c>
      <c r="AYW28">
        <v>59211</v>
      </c>
      <c r="AYX28">
        <v>6.4075900000000005E-2</v>
      </c>
      <c r="AYY28">
        <v>59211</v>
      </c>
      <c r="AYZ28">
        <v>0.3016838</v>
      </c>
      <c r="AZA28">
        <v>59211</v>
      </c>
      <c r="AZB28">
        <v>0.14323350000000001</v>
      </c>
      <c r="AZC28">
        <v>68354</v>
      </c>
      <c r="AZD28">
        <v>3.5506299999999998E-2</v>
      </c>
      <c r="AZE28">
        <v>68354</v>
      </c>
      <c r="AZF28">
        <v>4.2411600000000001E-2</v>
      </c>
      <c r="AZG28">
        <v>68354</v>
      </c>
      <c r="AZH28">
        <v>0.1815987</v>
      </c>
      <c r="AZI28">
        <v>68354</v>
      </c>
      <c r="AZJ28">
        <v>0.20162679999999999</v>
      </c>
      <c r="AZK28">
        <v>68354</v>
      </c>
      <c r="AZL28">
        <v>5.4466500000000001E-2</v>
      </c>
      <c r="AZM28">
        <v>68354</v>
      </c>
      <c r="AZN28">
        <v>0.28975630000000002</v>
      </c>
      <c r="AZO28">
        <v>68354</v>
      </c>
      <c r="AZP28">
        <v>0.1946338</v>
      </c>
      <c r="AZQ28">
        <v>127328</v>
      </c>
      <c r="AZR28">
        <v>2.7079700000000002E-2</v>
      </c>
      <c r="AZS28">
        <v>127328</v>
      </c>
      <c r="AZT28">
        <v>3.28443E-2</v>
      </c>
      <c r="AZU28">
        <v>127328</v>
      </c>
      <c r="AZV28">
        <v>0.17424290000000001</v>
      </c>
      <c r="AZW28">
        <v>127328</v>
      </c>
      <c r="AZX28">
        <v>0.19302900000000001</v>
      </c>
      <c r="AZY28">
        <v>127328</v>
      </c>
      <c r="AZZ28">
        <v>6.4754000000000006E-2</v>
      </c>
      <c r="BAA28">
        <v>127328</v>
      </c>
      <c r="BAB28">
        <v>0.27712680000000001</v>
      </c>
      <c r="BAC28">
        <v>127328</v>
      </c>
      <c r="BAD28">
        <v>0.2309233</v>
      </c>
      <c r="BAE28">
        <v>45893</v>
      </c>
      <c r="BAF28">
        <v>8.1820799999999999E-2</v>
      </c>
      <c r="BAG28">
        <v>45893</v>
      </c>
      <c r="BAH28">
        <v>8.3041000000000004E-2</v>
      </c>
      <c r="BAI28">
        <v>45893</v>
      </c>
      <c r="BAJ28">
        <v>0.23885999999999999</v>
      </c>
      <c r="BAK28">
        <v>45893</v>
      </c>
      <c r="BAL28">
        <v>0.181008</v>
      </c>
      <c r="BAM28">
        <v>45893</v>
      </c>
      <c r="BAN28">
        <v>4.9942300000000002E-2</v>
      </c>
      <c r="BAO28">
        <v>45893</v>
      </c>
      <c r="BAP28">
        <v>0.21683040000000001</v>
      </c>
      <c r="BAQ28">
        <v>45893</v>
      </c>
      <c r="BAR28">
        <v>0.14849760000000001</v>
      </c>
      <c r="BAS28">
        <v>42185</v>
      </c>
      <c r="BAT28">
        <v>9.2213E-3</v>
      </c>
      <c r="BAU28">
        <v>42185</v>
      </c>
      <c r="BAV28">
        <v>7.4552599999999997E-2</v>
      </c>
      <c r="BAW28">
        <v>42185</v>
      </c>
      <c r="BAX28">
        <v>0.2333057</v>
      </c>
      <c r="BAY28">
        <v>42185</v>
      </c>
      <c r="BAZ28">
        <v>0.42609930000000001</v>
      </c>
      <c r="BBA28">
        <v>42185</v>
      </c>
      <c r="BBB28">
        <v>4.11995E-2</v>
      </c>
      <c r="BBC28">
        <v>42185</v>
      </c>
      <c r="BBD28">
        <v>0.21152070000000001</v>
      </c>
      <c r="BBE28">
        <v>42185</v>
      </c>
      <c r="BBF28">
        <v>4.1009999999999996E-3</v>
      </c>
      <c r="BBG28">
        <v>54448</v>
      </c>
      <c r="BBH28">
        <v>3.6658799999999998E-2</v>
      </c>
      <c r="BBI28">
        <v>54448</v>
      </c>
      <c r="BBJ28">
        <v>4.2774800000000002E-2</v>
      </c>
      <c r="BBK28">
        <v>54448</v>
      </c>
      <c r="BBL28">
        <v>0.11761679999999999</v>
      </c>
      <c r="BBM28">
        <v>54448</v>
      </c>
      <c r="BBN28">
        <v>0.1888407</v>
      </c>
      <c r="BBO28">
        <v>54448</v>
      </c>
      <c r="BBP28">
        <v>7.3115600000000003E-2</v>
      </c>
      <c r="BBQ28">
        <v>54448</v>
      </c>
      <c r="BBR28">
        <v>0.3729614</v>
      </c>
      <c r="BBS28">
        <v>54448</v>
      </c>
      <c r="BBT28">
        <v>0.16803190000000001</v>
      </c>
      <c r="BBU28">
        <v>66218</v>
      </c>
      <c r="BBV28">
        <v>3.40542E-2</v>
      </c>
      <c r="BBW28">
        <v>66218</v>
      </c>
      <c r="BBX28">
        <v>3.7723899999999998E-2</v>
      </c>
      <c r="BBY28">
        <v>66218</v>
      </c>
      <c r="BBZ28">
        <v>0.13734940000000001</v>
      </c>
      <c r="BCA28">
        <v>66218</v>
      </c>
      <c r="BCB28">
        <v>0.20184840000000001</v>
      </c>
      <c r="BCC28">
        <v>66218</v>
      </c>
      <c r="BCD28">
        <v>9.2693800000000007E-2</v>
      </c>
      <c r="BCE28">
        <v>66218</v>
      </c>
      <c r="BCF28">
        <v>0.31316260000000001</v>
      </c>
      <c r="BCG28">
        <v>66218</v>
      </c>
      <c r="BCH28">
        <v>0.18316769999999999</v>
      </c>
      <c r="BCI28">
        <v>132992</v>
      </c>
      <c r="BCJ28">
        <v>2.0760600000000001E-2</v>
      </c>
      <c r="BCK28">
        <v>132992</v>
      </c>
      <c r="BCL28">
        <v>2.9520600000000001E-2</v>
      </c>
      <c r="BCM28">
        <v>132992</v>
      </c>
      <c r="BCN28">
        <v>0.19628999999999999</v>
      </c>
      <c r="BCO28">
        <v>132992</v>
      </c>
      <c r="BCP28">
        <v>0.21047879999999999</v>
      </c>
      <c r="BCQ28">
        <v>132992</v>
      </c>
      <c r="BCR28">
        <v>9.4547000000000006E-2</v>
      </c>
      <c r="BCS28">
        <v>132992</v>
      </c>
      <c r="BCT28">
        <v>0.27133210000000002</v>
      </c>
      <c r="BCU28">
        <v>132992</v>
      </c>
      <c r="BCV28">
        <v>0.1770708</v>
      </c>
      <c r="BCW28">
        <v>60918</v>
      </c>
      <c r="BCX28">
        <v>7.0044999999999996E-2</v>
      </c>
      <c r="BCY28">
        <v>60918</v>
      </c>
      <c r="BCZ28">
        <v>8.2159599999999999E-2</v>
      </c>
      <c r="BDA28">
        <v>60918</v>
      </c>
      <c r="BDB28">
        <v>0.36184709999999998</v>
      </c>
      <c r="BDC28">
        <v>60918</v>
      </c>
      <c r="BDD28">
        <v>0.20102429999999999</v>
      </c>
      <c r="BDE28">
        <v>60918</v>
      </c>
      <c r="BDF28">
        <v>4.6751399999999999E-2</v>
      </c>
      <c r="BDG28">
        <v>60918</v>
      </c>
      <c r="BDH28">
        <v>0.16602649999999999</v>
      </c>
      <c r="BDI28">
        <v>60918</v>
      </c>
      <c r="BDJ28">
        <v>7.2146199999999994E-2</v>
      </c>
      <c r="BDK28">
        <v>224473</v>
      </c>
      <c r="BDL28">
        <v>4.6139199999999998E-2</v>
      </c>
      <c r="BDM28">
        <v>10357</v>
      </c>
      <c r="BDN28">
        <v>0.80428699999999997</v>
      </c>
      <c r="BDO28">
        <v>8330</v>
      </c>
      <c r="BDP28">
        <v>0.60336140000000005</v>
      </c>
      <c r="BDQ28">
        <v>8330</v>
      </c>
      <c r="BDR28">
        <v>0.39663870000000001</v>
      </c>
      <c r="BDS28">
        <v>10357</v>
      </c>
      <c r="BDT28">
        <v>0.195713</v>
      </c>
      <c r="BDU28">
        <v>2027</v>
      </c>
      <c r="BDV28">
        <v>0.69856929999999995</v>
      </c>
      <c r="BDW28">
        <v>2027</v>
      </c>
      <c r="BDX28">
        <v>0.3014307</v>
      </c>
      <c r="BDY28">
        <v>224473</v>
      </c>
      <c r="BDZ28">
        <v>0.95386079999999995</v>
      </c>
      <c r="BEA28">
        <v>214116</v>
      </c>
      <c r="BEB28">
        <v>0.51445479999999999</v>
      </c>
      <c r="BEC28">
        <v>110153</v>
      </c>
      <c r="BED28">
        <v>0.74713359999999995</v>
      </c>
      <c r="BEE28">
        <v>110153</v>
      </c>
      <c r="BEF28">
        <v>0.25286649999999999</v>
      </c>
      <c r="BEG28">
        <v>214116</v>
      </c>
      <c r="BEH28">
        <v>0.48554520000000001</v>
      </c>
      <c r="BEI28">
        <v>103963</v>
      </c>
      <c r="BEJ28">
        <v>0.76465669999999997</v>
      </c>
      <c r="BEK28">
        <v>103963</v>
      </c>
      <c r="BEL28">
        <v>0.23534330000000001</v>
      </c>
      <c r="BEM28">
        <v>463568</v>
      </c>
      <c r="BEN28">
        <v>0.53819070000000002</v>
      </c>
      <c r="BEO28">
        <v>249488</v>
      </c>
      <c r="BEP28">
        <v>0.88798659999999996</v>
      </c>
      <c r="BEQ28">
        <v>221542</v>
      </c>
      <c r="BER28">
        <v>0.18476860000000001</v>
      </c>
      <c r="BES28">
        <v>221542</v>
      </c>
      <c r="BET28">
        <v>0.81523140000000005</v>
      </c>
      <c r="BEU28">
        <v>249488</v>
      </c>
      <c r="BEV28">
        <v>0.1120134</v>
      </c>
      <c r="BEW28">
        <v>463568</v>
      </c>
      <c r="BEX28">
        <v>0.46180929999999998</v>
      </c>
      <c r="BEY28">
        <v>214080</v>
      </c>
      <c r="BEZ28">
        <v>0.89101269999999999</v>
      </c>
      <c r="BFA28">
        <v>190748</v>
      </c>
      <c r="BFB28">
        <v>0.22230900000000001</v>
      </c>
      <c r="BFC28">
        <v>190748</v>
      </c>
      <c r="BFD28">
        <v>0.77769100000000002</v>
      </c>
      <c r="BFE28">
        <v>214080</v>
      </c>
      <c r="BFF28">
        <v>0.1089873</v>
      </c>
      <c r="BFG28">
        <v>462246</v>
      </c>
      <c r="BFH28">
        <v>0.25276799999999999</v>
      </c>
      <c r="BFI28">
        <v>116841</v>
      </c>
      <c r="BFJ28">
        <v>0.94780089999999995</v>
      </c>
      <c r="BFK28">
        <v>116841</v>
      </c>
      <c r="BFL28">
        <v>5.2199099999999998E-2</v>
      </c>
      <c r="BFM28">
        <v>6099</v>
      </c>
      <c r="BFN28">
        <v>0.25627149999999999</v>
      </c>
      <c r="BFO28">
        <v>6099</v>
      </c>
      <c r="BFP28">
        <v>0.74372850000000001</v>
      </c>
      <c r="BFQ28">
        <v>462246</v>
      </c>
      <c r="BFR28">
        <v>0.74723200000000001</v>
      </c>
      <c r="BFS28">
        <v>345405</v>
      </c>
      <c r="BFT28">
        <v>0.76819680000000001</v>
      </c>
      <c r="BFU28">
        <v>345405</v>
      </c>
      <c r="BFV28">
        <v>0.23180319999999999</v>
      </c>
      <c r="BFW28">
        <v>80066</v>
      </c>
      <c r="BFX28">
        <v>0.56412209999999996</v>
      </c>
      <c r="BFY28">
        <v>80066</v>
      </c>
      <c r="BFZ28">
        <v>0.43587789999999998</v>
      </c>
      <c r="BGA28">
        <v>470295</v>
      </c>
      <c r="BGB28">
        <v>0.24141019999999999</v>
      </c>
      <c r="BGC28">
        <v>113534</v>
      </c>
      <c r="BGD28">
        <v>0.94470379999999998</v>
      </c>
      <c r="BGE28">
        <v>113534</v>
      </c>
      <c r="BGF28">
        <v>5.5296199999999997E-2</v>
      </c>
      <c r="BGG28">
        <v>6278</v>
      </c>
      <c r="BGH28">
        <v>0.27954760000000001</v>
      </c>
      <c r="BGI28">
        <v>6278</v>
      </c>
      <c r="BGJ28">
        <v>0.72045239999999999</v>
      </c>
      <c r="BGK28">
        <v>470295</v>
      </c>
      <c r="BGL28">
        <v>0.75858979999999998</v>
      </c>
      <c r="BGM28">
        <v>356761</v>
      </c>
      <c r="BGN28">
        <v>0.77803350000000004</v>
      </c>
      <c r="BGO28">
        <v>356761</v>
      </c>
      <c r="BGP28">
        <v>0.22196650000000001</v>
      </c>
      <c r="BGQ28">
        <v>79189</v>
      </c>
      <c r="BGR28">
        <v>0.60135879999999997</v>
      </c>
      <c r="BGS28">
        <v>79189</v>
      </c>
      <c r="BGT28">
        <v>0.39864119999999997</v>
      </c>
    </row>
    <row r="29" spans="1:1554" x14ac:dyDescent="0.25">
      <c r="A29" t="s">
        <v>135</v>
      </c>
      <c r="B29">
        <v>2010</v>
      </c>
      <c r="C29">
        <v>1</v>
      </c>
      <c r="D29" t="s">
        <v>548</v>
      </c>
      <c r="E29">
        <v>59730</v>
      </c>
      <c r="F29">
        <v>0.43035329999999999</v>
      </c>
      <c r="G29">
        <v>25705</v>
      </c>
      <c r="H29">
        <v>0.10441549999999999</v>
      </c>
      <c r="I29">
        <v>25705</v>
      </c>
      <c r="J29">
        <v>2.1396600000000002E-2</v>
      </c>
      <c r="K29">
        <v>25705</v>
      </c>
      <c r="L29">
        <v>0.11608640000000001</v>
      </c>
      <c r="M29">
        <v>25705</v>
      </c>
      <c r="N29">
        <v>8.2318600000000006E-2</v>
      </c>
      <c r="O29">
        <v>25705</v>
      </c>
      <c r="P29">
        <v>1.5561200000000001E-2</v>
      </c>
      <c r="Q29">
        <v>25705</v>
      </c>
      <c r="R29">
        <v>3.7346799999999999E-2</v>
      </c>
      <c r="S29">
        <v>25705</v>
      </c>
      <c r="T29">
        <v>0.10441549999999999</v>
      </c>
      <c r="U29">
        <v>25705</v>
      </c>
      <c r="V29">
        <v>0.13631589999999999</v>
      </c>
      <c r="W29">
        <v>25705</v>
      </c>
      <c r="X29">
        <v>0.14716979999999999</v>
      </c>
      <c r="Y29">
        <v>25705</v>
      </c>
      <c r="Z29">
        <v>9.8657800000000004E-2</v>
      </c>
      <c r="AA29">
        <v>25705</v>
      </c>
      <c r="AB29">
        <v>5.5086599999999999E-2</v>
      </c>
      <c r="AC29">
        <v>25705</v>
      </c>
      <c r="AD29">
        <v>4.53608E-2</v>
      </c>
      <c r="AE29">
        <v>25705</v>
      </c>
      <c r="AF29">
        <v>3.5868499999999998E-2</v>
      </c>
      <c r="AG29">
        <v>59730</v>
      </c>
      <c r="AH29">
        <v>0.56964669999999995</v>
      </c>
      <c r="AI29">
        <v>34025</v>
      </c>
      <c r="AJ29">
        <v>8.3115400000000006E-2</v>
      </c>
      <c r="AK29">
        <v>34025</v>
      </c>
      <c r="AL29">
        <v>9.6693999999999999E-3</v>
      </c>
      <c r="AM29">
        <v>34025</v>
      </c>
      <c r="AN29">
        <v>6.8332100000000007E-2</v>
      </c>
      <c r="AO29">
        <v>34025</v>
      </c>
      <c r="AP29">
        <v>5.2520200000000003E-2</v>
      </c>
      <c r="AQ29">
        <v>34025</v>
      </c>
      <c r="AR29">
        <v>2.2659800000000001E-2</v>
      </c>
      <c r="AS29">
        <v>34025</v>
      </c>
      <c r="AT29">
        <v>2.1425400000000001E-2</v>
      </c>
      <c r="AU29">
        <v>34025</v>
      </c>
      <c r="AV29">
        <v>0.12684790000000001</v>
      </c>
      <c r="AW29">
        <v>34025</v>
      </c>
      <c r="AX29">
        <v>0.18016160000000001</v>
      </c>
      <c r="AY29">
        <v>34025</v>
      </c>
      <c r="AZ29">
        <v>0.1490081</v>
      </c>
      <c r="BA29">
        <v>34025</v>
      </c>
      <c r="BB29">
        <v>0.1004849</v>
      </c>
      <c r="BC29">
        <v>34025</v>
      </c>
      <c r="BD29">
        <v>8.8258600000000006E-2</v>
      </c>
      <c r="BE29">
        <v>34025</v>
      </c>
      <c r="BF29">
        <v>3.2182200000000001E-2</v>
      </c>
      <c r="BG29">
        <v>34025</v>
      </c>
      <c r="BH29">
        <v>6.5334299999999998E-2</v>
      </c>
      <c r="BI29">
        <v>844929</v>
      </c>
      <c r="BJ29">
        <v>0.49574109999999999</v>
      </c>
      <c r="BK29">
        <v>418866</v>
      </c>
      <c r="BL29">
        <v>6.2580899999999995E-2</v>
      </c>
      <c r="BM29">
        <v>418866</v>
      </c>
      <c r="BN29">
        <v>1.21041E-2</v>
      </c>
      <c r="BO29">
        <v>418866</v>
      </c>
      <c r="BP29">
        <v>8.9123999999999995E-2</v>
      </c>
      <c r="BQ29">
        <v>418866</v>
      </c>
      <c r="BR29">
        <v>4.1306799999999998E-2</v>
      </c>
      <c r="BS29">
        <v>418866</v>
      </c>
      <c r="BT29">
        <v>1.5625500000000001E-2</v>
      </c>
      <c r="BU29">
        <v>418866</v>
      </c>
      <c r="BV29">
        <v>3.3161000000000003E-2</v>
      </c>
      <c r="BW29">
        <v>418866</v>
      </c>
      <c r="BX29">
        <v>8.4958000000000006E-2</v>
      </c>
      <c r="BY29">
        <v>418866</v>
      </c>
      <c r="BZ29">
        <v>0.1312711</v>
      </c>
      <c r="CA29">
        <v>418866</v>
      </c>
      <c r="CB29">
        <v>0.138407</v>
      </c>
      <c r="CC29">
        <v>418866</v>
      </c>
      <c r="CD29">
        <v>0.1636753</v>
      </c>
      <c r="CE29">
        <v>418866</v>
      </c>
      <c r="CF29">
        <v>0.1296118</v>
      </c>
      <c r="CG29">
        <v>418866</v>
      </c>
      <c r="CH29">
        <v>6.0382100000000001E-2</v>
      </c>
      <c r="CI29">
        <v>418866</v>
      </c>
      <c r="CJ29">
        <v>3.77925E-2</v>
      </c>
      <c r="CK29">
        <v>844929</v>
      </c>
      <c r="CL29">
        <v>0.50425889999999995</v>
      </c>
      <c r="CM29">
        <v>426063</v>
      </c>
      <c r="CN29">
        <v>5.8564100000000001E-2</v>
      </c>
      <c r="CO29">
        <v>426063</v>
      </c>
      <c r="CP29">
        <v>1.38008E-2</v>
      </c>
      <c r="CQ29">
        <v>426063</v>
      </c>
      <c r="CR29">
        <v>7.4615699999999993E-2</v>
      </c>
      <c r="CS29">
        <v>426063</v>
      </c>
      <c r="CT29">
        <v>4.8337900000000003E-2</v>
      </c>
      <c r="CU29">
        <v>426063</v>
      </c>
      <c r="CV29">
        <v>1.64107E-2</v>
      </c>
      <c r="CW29">
        <v>426063</v>
      </c>
      <c r="CX29">
        <v>2.7585100000000001E-2</v>
      </c>
      <c r="CY29">
        <v>426063</v>
      </c>
      <c r="CZ29">
        <v>6.9670399999999993E-2</v>
      </c>
      <c r="DA29">
        <v>426063</v>
      </c>
      <c r="DB29">
        <v>0.1221392</v>
      </c>
      <c r="DC29">
        <v>426063</v>
      </c>
      <c r="DD29">
        <v>0.13868140000000001</v>
      </c>
      <c r="DE29">
        <v>426063</v>
      </c>
      <c r="DF29">
        <v>0.17239699999999999</v>
      </c>
      <c r="DG29">
        <v>426063</v>
      </c>
      <c r="DH29">
        <v>0.1310064</v>
      </c>
      <c r="DI29">
        <v>426063</v>
      </c>
      <c r="DJ29">
        <v>6.9276099999999993E-2</v>
      </c>
      <c r="DK29">
        <v>426063</v>
      </c>
      <c r="DL29">
        <v>5.7514999999999997E-2</v>
      </c>
      <c r="DM29">
        <v>605612</v>
      </c>
      <c r="DN29">
        <v>5.6582399999999998E-2</v>
      </c>
      <c r="DO29">
        <v>34267</v>
      </c>
      <c r="DP29">
        <v>0.3889165</v>
      </c>
      <c r="DQ29">
        <v>290256</v>
      </c>
      <c r="DR29">
        <v>4.59146E-2</v>
      </c>
      <c r="DS29">
        <v>13327</v>
      </c>
      <c r="DT29">
        <v>0.1934419</v>
      </c>
      <c r="DU29">
        <v>23316</v>
      </c>
      <c r="DV29">
        <v>0.1105679</v>
      </c>
      <c r="DW29">
        <v>13327</v>
      </c>
      <c r="DX29">
        <v>0.20769870000000001</v>
      </c>
      <c r="DY29">
        <v>52930</v>
      </c>
      <c r="DZ29">
        <v>5.2295500000000002E-2</v>
      </c>
      <c r="EA29">
        <v>13327</v>
      </c>
      <c r="EB29">
        <v>0.25174459999999999</v>
      </c>
      <c r="EC29">
        <v>73798</v>
      </c>
      <c r="ED29">
        <v>4.54619E-2</v>
      </c>
      <c r="EE29">
        <v>13327</v>
      </c>
      <c r="EF29">
        <v>0.3471149</v>
      </c>
      <c r="EG29">
        <v>140212</v>
      </c>
      <c r="EH29">
        <v>3.2992899999999999E-2</v>
      </c>
      <c r="EI29">
        <v>34267</v>
      </c>
      <c r="EJ29">
        <v>0.61108359999999995</v>
      </c>
      <c r="EK29">
        <v>315356</v>
      </c>
      <c r="EL29">
        <v>6.6401100000000005E-2</v>
      </c>
      <c r="EM29">
        <v>20940</v>
      </c>
      <c r="EN29">
        <v>0.26155679999999998</v>
      </c>
      <c r="EO29">
        <v>26006</v>
      </c>
      <c r="EP29">
        <v>0.21060519999999999</v>
      </c>
      <c r="EQ29">
        <v>20940</v>
      </c>
      <c r="ER29">
        <v>0.2531041</v>
      </c>
      <c r="ES29">
        <v>65822</v>
      </c>
      <c r="ET29">
        <v>8.05202E-2</v>
      </c>
      <c r="EU29">
        <v>20940</v>
      </c>
      <c r="EV29">
        <v>0.2287488</v>
      </c>
      <c r="EW29">
        <v>84552</v>
      </c>
      <c r="EX29">
        <v>5.66515E-2</v>
      </c>
      <c r="EY29">
        <v>20940</v>
      </c>
      <c r="EZ29">
        <v>0.25659019999999999</v>
      </c>
      <c r="FA29">
        <v>138976</v>
      </c>
      <c r="FB29">
        <v>3.8661399999999999E-2</v>
      </c>
      <c r="FC29">
        <v>605612</v>
      </c>
      <c r="FD29">
        <v>0.94341750000000002</v>
      </c>
      <c r="FE29">
        <v>571345</v>
      </c>
      <c r="FF29">
        <v>0.48469659999999998</v>
      </c>
      <c r="FG29">
        <v>290256</v>
      </c>
      <c r="FH29">
        <v>0.95408539999999997</v>
      </c>
      <c r="FI29">
        <v>276929</v>
      </c>
      <c r="FJ29">
        <v>7.4885599999999997E-2</v>
      </c>
      <c r="FK29">
        <v>23316</v>
      </c>
      <c r="FL29">
        <v>0.88943209999999995</v>
      </c>
      <c r="FM29">
        <v>276929</v>
      </c>
      <c r="FN29">
        <v>0.18113670000000001</v>
      </c>
      <c r="FO29">
        <v>52930</v>
      </c>
      <c r="FP29">
        <v>0.94770449999999995</v>
      </c>
      <c r="FQ29">
        <v>276929</v>
      </c>
      <c r="FR29">
        <v>0.25437209999999999</v>
      </c>
      <c r="FS29">
        <v>73798</v>
      </c>
      <c r="FT29">
        <v>0.954538</v>
      </c>
      <c r="FU29">
        <v>276929</v>
      </c>
      <c r="FV29">
        <v>0.48960559999999997</v>
      </c>
      <c r="FW29">
        <v>140212</v>
      </c>
      <c r="FX29">
        <v>0.96700710000000001</v>
      </c>
      <c r="FY29">
        <v>571345</v>
      </c>
      <c r="FZ29">
        <v>0.51530339999999997</v>
      </c>
      <c r="GA29">
        <v>315356</v>
      </c>
      <c r="GB29">
        <v>0.93359890000000001</v>
      </c>
      <c r="GC29">
        <v>294416</v>
      </c>
      <c r="GD29">
        <v>6.9727899999999995E-2</v>
      </c>
      <c r="GE29">
        <v>26006</v>
      </c>
      <c r="GF29">
        <v>0.7893947</v>
      </c>
      <c r="GG29">
        <v>294416</v>
      </c>
      <c r="GH29">
        <v>0.20556630000000001</v>
      </c>
      <c r="GI29">
        <v>65822</v>
      </c>
      <c r="GJ29">
        <v>0.91947979999999996</v>
      </c>
      <c r="GK29">
        <v>294416</v>
      </c>
      <c r="GL29">
        <v>0.27091599999999999</v>
      </c>
      <c r="GM29">
        <v>84552</v>
      </c>
      <c r="GN29">
        <v>0.94334850000000003</v>
      </c>
      <c r="GO29">
        <v>294416</v>
      </c>
      <c r="GP29">
        <v>0.45378990000000002</v>
      </c>
      <c r="GQ29">
        <v>138976</v>
      </c>
      <c r="GR29">
        <v>0.96133860000000004</v>
      </c>
      <c r="GS29">
        <v>705214</v>
      </c>
      <c r="GT29">
        <v>6.0912000000000001E-2</v>
      </c>
      <c r="GU29">
        <v>42956</v>
      </c>
      <c r="GV29">
        <v>0.3950787</v>
      </c>
      <c r="GW29">
        <v>16971</v>
      </c>
      <c r="GX29">
        <v>0.15626660000000001</v>
      </c>
      <c r="GY29">
        <v>16971</v>
      </c>
      <c r="GZ29">
        <v>0.45412760000000002</v>
      </c>
      <c r="HA29">
        <v>16971</v>
      </c>
      <c r="HB29">
        <v>0.3896058</v>
      </c>
      <c r="HC29">
        <v>16971</v>
      </c>
      <c r="HD29">
        <v>0.6902952</v>
      </c>
      <c r="HE29">
        <v>16971</v>
      </c>
      <c r="HF29">
        <v>0.3097048</v>
      </c>
      <c r="HG29">
        <v>11715</v>
      </c>
      <c r="HH29">
        <v>0.68425100000000005</v>
      </c>
      <c r="HI29">
        <v>11715</v>
      </c>
      <c r="HJ29">
        <v>0.315749</v>
      </c>
      <c r="HK29">
        <v>42956</v>
      </c>
      <c r="HL29">
        <v>0.6049213</v>
      </c>
      <c r="HM29">
        <v>25985</v>
      </c>
      <c r="HN29">
        <v>6.2228199999999997E-2</v>
      </c>
      <c r="HO29">
        <v>25985</v>
      </c>
      <c r="HP29">
        <v>0.41431590000000001</v>
      </c>
      <c r="HQ29">
        <v>25985</v>
      </c>
      <c r="HR29">
        <v>0.52345589999999997</v>
      </c>
      <c r="HS29">
        <v>25985</v>
      </c>
      <c r="HT29">
        <v>0.5237252</v>
      </c>
      <c r="HU29">
        <v>25985</v>
      </c>
      <c r="HV29">
        <v>0.4762748</v>
      </c>
      <c r="HW29">
        <v>13609</v>
      </c>
      <c r="HX29">
        <v>0.66529499999999997</v>
      </c>
      <c r="HY29">
        <v>13609</v>
      </c>
      <c r="HZ29">
        <v>0.33470499999999997</v>
      </c>
      <c r="IA29">
        <v>705214</v>
      </c>
      <c r="IB29">
        <v>0.93908800000000003</v>
      </c>
      <c r="IC29">
        <v>662258</v>
      </c>
      <c r="ID29">
        <v>0.49286679999999999</v>
      </c>
      <c r="IE29">
        <v>326405</v>
      </c>
      <c r="IF29">
        <v>0.56520890000000001</v>
      </c>
      <c r="IG29">
        <v>326405</v>
      </c>
      <c r="IH29">
        <v>0.2361637</v>
      </c>
      <c r="II29">
        <v>326405</v>
      </c>
      <c r="IJ29">
        <v>0.19862750000000001</v>
      </c>
      <c r="IK29">
        <v>326286</v>
      </c>
      <c r="IL29">
        <v>0.80488590000000004</v>
      </c>
      <c r="IM29">
        <v>326286</v>
      </c>
      <c r="IN29">
        <v>0.19511410000000001</v>
      </c>
      <c r="IO29">
        <v>262623</v>
      </c>
      <c r="IP29">
        <v>0.91139769999999998</v>
      </c>
      <c r="IQ29">
        <v>262623</v>
      </c>
      <c r="IR29">
        <v>8.8602299999999995E-2</v>
      </c>
      <c r="IS29">
        <v>662258</v>
      </c>
      <c r="IT29">
        <v>0.50713319999999995</v>
      </c>
      <c r="IU29">
        <v>335853</v>
      </c>
      <c r="IV29">
        <v>0.39580409999999999</v>
      </c>
      <c r="IW29">
        <v>335853</v>
      </c>
      <c r="IX29">
        <v>0.27989330000000001</v>
      </c>
      <c r="IY29">
        <v>335853</v>
      </c>
      <c r="IZ29">
        <v>0.3243026</v>
      </c>
      <c r="JA29">
        <v>335853</v>
      </c>
      <c r="JB29">
        <v>0.66543699999999995</v>
      </c>
      <c r="JC29">
        <v>335853</v>
      </c>
      <c r="JD29">
        <v>0.334563</v>
      </c>
      <c r="JE29">
        <v>223489</v>
      </c>
      <c r="JF29">
        <v>0.92397390000000001</v>
      </c>
      <c r="JG29">
        <v>223489</v>
      </c>
      <c r="JH29">
        <v>7.6026099999999999E-2</v>
      </c>
      <c r="JI29">
        <v>235629</v>
      </c>
      <c r="JJ29">
        <v>7.0568599999999995E-2</v>
      </c>
      <c r="JK29">
        <v>16628</v>
      </c>
      <c r="JL29">
        <v>0.55550880000000002</v>
      </c>
      <c r="JM29">
        <v>9237</v>
      </c>
      <c r="JN29">
        <v>0.74937750000000003</v>
      </c>
      <c r="JO29">
        <v>9237</v>
      </c>
      <c r="JP29">
        <v>0.74937750000000003</v>
      </c>
      <c r="JQ29">
        <v>9237</v>
      </c>
      <c r="JR29">
        <v>0.74937750000000003</v>
      </c>
      <c r="JS29">
        <v>9237</v>
      </c>
      <c r="JT29">
        <v>0.74937750000000003</v>
      </c>
      <c r="JU29">
        <v>9237</v>
      </c>
      <c r="JV29">
        <v>0.25062250000000003</v>
      </c>
      <c r="JW29">
        <v>16628</v>
      </c>
      <c r="JX29">
        <v>0.44449119999999998</v>
      </c>
      <c r="JY29">
        <v>7391</v>
      </c>
      <c r="JZ29">
        <v>0.19401969999999999</v>
      </c>
      <c r="KA29">
        <v>1434</v>
      </c>
      <c r="KB29">
        <v>0.8305439</v>
      </c>
      <c r="KC29">
        <v>1191</v>
      </c>
      <c r="KD29">
        <v>0</v>
      </c>
      <c r="KE29">
        <v>1191</v>
      </c>
      <c r="KF29">
        <v>0.41729640000000001</v>
      </c>
      <c r="KG29">
        <v>1191</v>
      </c>
      <c r="KH29">
        <v>0.58270359999999999</v>
      </c>
      <c r="KI29">
        <v>1434</v>
      </c>
      <c r="KJ29">
        <v>0.1694561</v>
      </c>
      <c r="KK29">
        <v>7391</v>
      </c>
      <c r="KL29">
        <v>0.80598029999999998</v>
      </c>
      <c r="KM29">
        <v>5957</v>
      </c>
      <c r="KN29">
        <v>0.8232332</v>
      </c>
      <c r="KO29">
        <v>4904</v>
      </c>
      <c r="KP29">
        <v>0.1871941</v>
      </c>
      <c r="KQ29">
        <v>4904</v>
      </c>
      <c r="KR29">
        <v>0.37194129999999997</v>
      </c>
      <c r="KS29">
        <v>4904</v>
      </c>
      <c r="KT29">
        <v>0.4408646</v>
      </c>
      <c r="KU29">
        <v>5957</v>
      </c>
      <c r="KV29">
        <v>0.1767668</v>
      </c>
      <c r="KW29">
        <v>235629</v>
      </c>
      <c r="KX29">
        <v>1.85291E-2</v>
      </c>
      <c r="KY29">
        <v>4366</v>
      </c>
      <c r="KZ29">
        <v>0.46472740000000001</v>
      </c>
      <c r="LA29">
        <v>2029</v>
      </c>
      <c r="LB29">
        <v>0.57565299999999997</v>
      </c>
      <c r="LC29">
        <v>2029</v>
      </c>
      <c r="LD29">
        <v>0.57565299999999997</v>
      </c>
      <c r="LE29">
        <v>2029</v>
      </c>
      <c r="LF29">
        <v>0.57565299999999997</v>
      </c>
      <c r="LG29">
        <v>2029</v>
      </c>
      <c r="LH29">
        <v>0.57565299999999997</v>
      </c>
      <c r="LI29">
        <v>2029</v>
      </c>
      <c r="LJ29">
        <v>0.42434699999999997</v>
      </c>
      <c r="LK29">
        <v>4366</v>
      </c>
      <c r="LL29">
        <v>0.53527250000000004</v>
      </c>
      <c r="LM29">
        <v>2337</v>
      </c>
      <c r="LN29">
        <v>0.1065469</v>
      </c>
      <c r="LO29">
        <v>249</v>
      </c>
      <c r="LP29">
        <v>0.25702809999999998</v>
      </c>
      <c r="LQ29">
        <v>64</v>
      </c>
      <c r="LR29">
        <v>0</v>
      </c>
      <c r="LS29">
        <v>64</v>
      </c>
      <c r="LT29">
        <v>0</v>
      </c>
      <c r="LU29">
        <v>64</v>
      </c>
      <c r="LV29">
        <v>1</v>
      </c>
      <c r="LW29">
        <v>249</v>
      </c>
      <c r="LX29">
        <v>0.74297190000000002</v>
      </c>
      <c r="LY29">
        <v>2337</v>
      </c>
      <c r="LZ29">
        <v>0.8934531</v>
      </c>
      <c r="MA29">
        <v>2088</v>
      </c>
      <c r="MB29">
        <v>0.7547893</v>
      </c>
      <c r="MC29">
        <v>1576</v>
      </c>
      <c r="MD29">
        <v>9.6446699999999996E-2</v>
      </c>
      <c r="ME29">
        <v>1576</v>
      </c>
      <c r="MF29">
        <v>8.3121799999999996E-2</v>
      </c>
      <c r="MG29">
        <v>1576</v>
      </c>
      <c r="MH29">
        <v>0.82043149999999998</v>
      </c>
      <c r="MI29">
        <v>2088</v>
      </c>
      <c r="MJ29">
        <v>0.2452107</v>
      </c>
      <c r="MK29">
        <v>235629</v>
      </c>
      <c r="ML29">
        <v>3.81914E-2</v>
      </c>
      <c r="MM29">
        <v>8999</v>
      </c>
      <c r="MN29">
        <v>0.62440269999999998</v>
      </c>
      <c r="MO29">
        <v>5619</v>
      </c>
      <c r="MP29">
        <v>0.63142909999999997</v>
      </c>
      <c r="MQ29">
        <v>5619</v>
      </c>
      <c r="MR29">
        <v>0.63142909999999997</v>
      </c>
      <c r="MS29">
        <v>5619</v>
      </c>
      <c r="MT29">
        <v>0.63142909999999997</v>
      </c>
      <c r="MU29">
        <v>5619</v>
      </c>
      <c r="MV29">
        <v>0.63142909999999997</v>
      </c>
      <c r="MW29">
        <v>5619</v>
      </c>
      <c r="MX29">
        <v>0.36857089999999998</v>
      </c>
      <c r="MY29">
        <v>8999</v>
      </c>
      <c r="MZ29">
        <v>0.37559730000000002</v>
      </c>
      <c r="NA29">
        <v>3380</v>
      </c>
      <c r="NB29">
        <v>0.32662720000000001</v>
      </c>
      <c r="NC29">
        <v>1104</v>
      </c>
      <c r="ND29">
        <v>0.81521739999999998</v>
      </c>
      <c r="NE29">
        <v>900</v>
      </c>
      <c r="NF29">
        <v>0.3333333</v>
      </c>
      <c r="NG29">
        <v>900</v>
      </c>
      <c r="NH29">
        <v>0.5388889</v>
      </c>
      <c r="NI29">
        <v>900</v>
      </c>
      <c r="NJ29">
        <v>0.1277778</v>
      </c>
      <c r="NK29">
        <v>1104</v>
      </c>
      <c r="NL29">
        <v>0.18478259999999999</v>
      </c>
      <c r="NM29">
        <v>3380</v>
      </c>
      <c r="NN29">
        <v>0.67337279999999999</v>
      </c>
      <c r="NO29">
        <v>2276</v>
      </c>
      <c r="NP29">
        <v>0.69024600000000003</v>
      </c>
      <c r="NQ29">
        <v>1571</v>
      </c>
      <c r="NR29">
        <v>0.11075749999999999</v>
      </c>
      <c r="NS29">
        <v>1571</v>
      </c>
      <c r="NT29">
        <v>0.26543600000000001</v>
      </c>
      <c r="NU29">
        <v>1571</v>
      </c>
      <c r="NV29">
        <v>0.62380650000000004</v>
      </c>
      <c r="NW29">
        <v>2276</v>
      </c>
      <c r="NX29">
        <v>0.30975399999999997</v>
      </c>
      <c r="NY29">
        <v>235629</v>
      </c>
      <c r="NZ29">
        <v>0.87271089999999996</v>
      </c>
      <c r="OA29">
        <v>205636</v>
      </c>
      <c r="OB29">
        <v>0.84717659999999995</v>
      </c>
      <c r="OC29">
        <v>174210</v>
      </c>
      <c r="OD29">
        <v>0.47299239999999998</v>
      </c>
      <c r="OE29">
        <v>174210</v>
      </c>
      <c r="OF29">
        <v>0.47299239999999998</v>
      </c>
      <c r="OG29">
        <v>174210</v>
      </c>
      <c r="OH29">
        <v>0.47299239999999998</v>
      </c>
      <c r="OI29">
        <v>174210</v>
      </c>
      <c r="OJ29">
        <v>0.47299239999999998</v>
      </c>
      <c r="OK29">
        <v>174210</v>
      </c>
      <c r="OL29">
        <v>0.52700760000000002</v>
      </c>
      <c r="OM29">
        <v>205636</v>
      </c>
      <c r="ON29">
        <v>0.1528234</v>
      </c>
      <c r="OO29">
        <v>31426</v>
      </c>
      <c r="OP29">
        <v>0.3101254</v>
      </c>
      <c r="OQ29">
        <v>9746</v>
      </c>
      <c r="OR29">
        <v>0.47711880000000001</v>
      </c>
      <c r="OS29">
        <v>4650</v>
      </c>
      <c r="OT29">
        <v>0.20236560000000001</v>
      </c>
      <c r="OU29">
        <v>4650</v>
      </c>
      <c r="OV29">
        <v>0.12</v>
      </c>
      <c r="OW29">
        <v>4650</v>
      </c>
      <c r="OX29">
        <v>0.67763439999999997</v>
      </c>
      <c r="OY29">
        <v>9746</v>
      </c>
      <c r="OZ29">
        <v>0.52288120000000005</v>
      </c>
      <c r="PA29">
        <v>31426</v>
      </c>
      <c r="PB29">
        <v>0.6898746</v>
      </c>
      <c r="PC29">
        <v>21680</v>
      </c>
      <c r="PD29">
        <v>0.4730627</v>
      </c>
      <c r="PE29">
        <v>10256</v>
      </c>
      <c r="PF29">
        <v>0.12812009999999999</v>
      </c>
      <c r="PG29">
        <v>10256</v>
      </c>
      <c r="PH29">
        <v>0.1075468</v>
      </c>
      <c r="PI29">
        <v>10256</v>
      </c>
      <c r="PJ29">
        <v>0.76433309999999999</v>
      </c>
      <c r="PK29">
        <v>21680</v>
      </c>
      <c r="PL29">
        <v>0.52693719999999999</v>
      </c>
      <c r="PM29">
        <v>918764</v>
      </c>
      <c r="PN29">
        <v>0.4901683</v>
      </c>
      <c r="PO29">
        <v>450349</v>
      </c>
      <c r="PP29">
        <v>6.4263500000000001E-2</v>
      </c>
      <c r="PQ29">
        <v>450349</v>
      </c>
      <c r="PR29">
        <v>7.1240300000000006E-2</v>
      </c>
      <c r="PS29">
        <v>450349</v>
      </c>
      <c r="PT29">
        <v>7.3982599999999996E-2</v>
      </c>
      <c r="PU29">
        <v>450349</v>
      </c>
      <c r="PV29">
        <v>4.8395800000000003E-2</v>
      </c>
      <c r="PW29">
        <v>450349</v>
      </c>
      <c r="PX29">
        <v>2.6099799999999999E-2</v>
      </c>
      <c r="PY29">
        <v>450349</v>
      </c>
      <c r="PZ29">
        <v>1.26036E-2</v>
      </c>
      <c r="QA29">
        <v>450349</v>
      </c>
      <c r="QB29">
        <v>1.19618E-2</v>
      </c>
      <c r="QC29">
        <v>450349</v>
      </c>
      <c r="QD29">
        <v>3.9480500000000002E-2</v>
      </c>
      <c r="QE29">
        <v>450349</v>
      </c>
      <c r="QF29">
        <v>6.8240400000000007E-2</v>
      </c>
      <c r="QG29">
        <v>450349</v>
      </c>
      <c r="QH29">
        <v>6.34797E-2</v>
      </c>
      <c r="QI29">
        <v>450349</v>
      </c>
      <c r="QJ29">
        <v>6.68348E-2</v>
      </c>
      <c r="QK29">
        <v>450349</v>
      </c>
      <c r="QL29">
        <v>7.1115999999999999E-2</v>
      </c>
      <c r="QM29">
        <v>450349</v>
      </c>
      <c r="QN29">
        <v>7.8006199999999998E-2</v>
      </c>
      <c r="QO29">
        <v>450349</v>
      </c>
      <c r="QP29">
        <v>8.0355499999999996E-2</v>
      </c>
      <c r="QQ29">
        <v>450349</v>
      </c>
      <c r="QR29">
        <v>6.7663100000000004E-2</v>
      </c>
      <c r="QS29">
        <v>450349</v>
      </c>
      <c r="QT29">
        <v>2.4614199999999999E-2</v>
      </c>
      <c r="QU29">
        <v>450349</v>
      </c>
      <c r="QV29">
        <v>3.1999600000000003E-2</v>
      </c>
      <c r="QW29">
        <v>450349</v>
      </c>
      <c r="QX29">
        <v>1.40447E-2</v>
      </c>
      <c r="QY29">
        <v>450349</v>
      </c>
      <c r="QZ29">
        <v>2.20407E-2</v>
      </c>
      <c r="RA29">
        <v>450349</v>
      </c>
      <c r="RB29">
        <v>2.35573E-2</v>
      </c>
      <c r="RC29">
        <v>450349</v>
      </c>
      <c r="RD29">
        <v>1.6000899999999998E-2</v>
      </c>
      <c r="RE29">
        <v>450349</v>
      </c>
      <c r="RF29">
        <v>1.28145E-2</v>
      </c>
      <c r="RG29">
        <v>450349</v>
      </c>
      <c r="RH29">
        <v>1.12046E-2</v>
      </c>
      <c r="RI29">
        <v>918764</v>
      </c>
      <c r="RJ29">
        <v>0.5098317</v>
      </c>
      <c r="RK29">
        <v>468415</v>
      </c>
      <c r="RL29">
        <v>5.9872099999999998E-2</v>
      </c>
      <c r="RM29">
        <v>468415</v>
      </c>
      <c r="RN29">
        <v>6.1505299999999999E-2</v>
      </c>
      <c r="RO29">
        <v>468415</v>
      </c>
      <c r="RP29">
        <v>7.3182999999999998E-2</v>
      </c>
      <c r="RQ29">
        <v>468415</v>
      </c>
      <c r="RR29">
        <v>4.32202E-2</v>
      </c>
      <c r="RS29">
        <v>468415</v>
      </c>
      <c r="RT29">
        <v>2.2095799999999999E-2</v>
      </c>
      <c r="RU29">
        <v>468415</v>
      </c>
      <c r="RV29">
        <v>1.17012E-2</v>
      </c>
      <c r="RW29">
        <v>468415</v>
      </c>
      <c r="RX29">
        <v>1.15966E-2</v>
      </c>
      <c r="RY29">
        <v>468415</v>
      </c>
      <c r="RZ29">
        <v>3.3890900000000002E-2</v>
      </c>
      <c r="SA29">
        <v>468415</v>
      </c>
      <c r="SB29">
        <v>6.3552600000000001E-2</v>
      </c>
      <c r="SC29">
        <v>468415</v>
      </c>
      <c r="SD29">
        <v>6.1016399999999998E-2</v>
      </c>
      <c r="SE29">
        <v>468415</v>
      </c>
      <c r="SF29">
        <v>5.9246600000000003E-2</v>
      </c>
      <c r="SG29">
        <v>468415</v>
      </c>
      <c r="SH29">
        <v>7.80227E-2</v>
      </c>
      <c r="SI29">
        <v>468415</v>
      </c>
      <c r="SJ29">
        <v>8.2759899999999997E-2</v>
      </c>
      <c r="SK29">
        <v>468415</v>
      </c>
      <c r="SL29">
        <v>8.2134399999999996E-2</v>
      </c>
      <c r="SM29">
        <v>468415</v>
      </c>
      <c r="SN29">
        <v>6.769E-2</v>
      </c>
      <c r="SO29">
        <v>468415</v>
      </c>
      <c r="SP29">
        <v>2.6666499999999999E-2</v>
      </c>
      <c r="SQ29">
        <v>468415</v>
      </c>
      <c r="SR29">
        <v>3.16151E-2</v>
      </c>
      <c r="SS29">
        <v>468415</v>
      </c>
      <c r="ST29">
        <v>1.8312800000000001E-2</v>
      </c>
      <c r="SU29">
        <v>468415</v>
      </c>
      <c r="SV29">
        <v>2.4192200000000001E-2</v>
      </c>
      <c r="SW29">
        <v>468415</v>
      </c>
      <c r="SX29">
        <v>2.3434300000000002E-2</v>
      </c>
      <c r="SY29">
        <v>468415</v>
      </c>
      <c r="SZ29">
        <v>2.3007400000000001E-2</v>
      </c>
      <c r="TA29">
        <v>468415</v>
      </c>
      <c r="TB29">
        <v>1.6938000000000002E-2</v>
      </c>
      <c r="TC29">
        <v>468415</v>
      </c>
      <c r="TD29">
        <v>2.43459E-2</v>
      </c>
      <c r="TE29">
        <v>739788</v>
      </c>
      <c r="TF29">
        <v>0.49094199999999999</v>
      </c>
      <c r="TG29">
        <v>41839</v>
      </c>
      <c r="TH29">
        <v>0.46411239999999998</v>
      </c>
      <c r="TI29"/>
      <c r="TJ29"/>
      <c r="TK29">
        <v>92698</v>
      </c>
      <c r="TL29">
        <v>0.4825778</v>
      </c>
      <c r="TM29"/>
      <c r="TN29"/>
      <c r="TO29">
        <v>24062</v>
      </c>
      <c r="TP29">
        <v>0.4825451</v>
      </c>
      <c r="TQ29">
        <v>18002</v>
      </c>
      <c r="TR29">
        <v>0.55916010000000005</v>
      </c>
      <c r="TS29">
        <v>646242</v>
      </c>
      <c r="TT29">
        <v>0.48770740000000001</v>
      </c>
      <c r="TU29">
        <v>122354</v>
      </c>
      <c r="TV29">
        <v>0.51704070000000002</v>
      </c>
      <c r="TW29">
        <v>739788</v>
      </c>
      <c r="TX29">
        <v>0.50905800000000001</v>
      </c>
      <c r="TY29">
        <v>41839</v>
      </c>
      <c r="TZ29">
        <v>0.53588749999999996</v>
      </c>
      <c r="UA29"/>
      <c r="UB29"/>
      <c r="UC29">
        <v>92698</v>
      </c>
      <c r="UD29">
        <v>0.5174221</v>
      </c>
      <c r="UE29"/>
      <c r="UF29"/>
      <c r="UG29">
        <v>24062</v>
      </c>
      <c r="UH29">
        <v>0.51745490000000005</v>
      </c>
      <c r="UI29">
        <v>18002</v>
      </c>
      <c r="UJ29">
        <v>0.44083990000000001</v>
      </c>
      <c r="UK29">
        <v>646242</v>
      </c>
      <c r="UL29">
        <v>0.51229259999999999</v>
      </c>
      <c r="UM29">
        <v>122354</v>
      </c>
      <c r="UN29">
        <v>0.48295929999999998</v>
      </c>
      <c r="UO29">
        <v>225619</v>
      </c>
      <c r="UP29">
        <v>225619</v>
      </c>
      <c r="UQ29">
        <v>225619</v>
      </c>
      <c r="UR29">
        <v>195303</v>
      </c>
      <c r="US29">
        <v>195303</v>
      </c>
      <c r="UT29">
        <v>195303</v>
      </c>
      <c r="UU29">
        <v>5.2740000000000003E-4</v>
      </c>
      <c r="UV29">
        <v>0.91365980000000002</v>
      </c>
      <c r="UW29">
        <v>8.5812799999999995E-2</v>
      </c>
      <c r="UX29">
        <v>0</v>
      </c>
      <c r="UY29">
        <v>0.91760489999999995</v>
      </c>
      <c r="UZ29">
        <v>8.2394999999999996E-2</v>
      </c>
      <c r="VA29">
        <v>15927</v>
      </c>
      <c r="VB29">
        <v>3.0764999999999998E-3</v>
      </c>
      <c r="VC29">
        <v>15927</v>
      </c>
      <c r="VD29">
        <v>0.83273680000000005</v>
      </c>
      <c r="VE29">
        <v>15927</v>
      </c>
      <c r="VF29">
        <v>0.16418659999999999</v>
      </c>
      <c r="VG29">
        <v>28380</v>
      </c>
      <c r="VH29">
        <v>0</v>
      </c>
      <c r="VI29">
        <v>28380</v>
      </c>
      <c r="VJ29">
        <v>0.88738550000000005</v>
      </c>
      <c r="VK29">
        <v>28380</v>
      </c>
      <c r="VL29">
        <v>0.11261450000000001</v>
      </c>
      <c r="VM29">
        <v>27527</v>
      </c>
      <c r="VN29">
        <v>2.5430000000000001E-3</v>
      </c>
      <c r="VO29">
        <v>27527</v>
      </c>
      <c r="VP29">
        <v>0.9111418</v>
      </c>
      <c r="VQ29">
        <v>27527</v>
      </c>
      <c r="VR29">
        <v>8.6315299999999998E-2</v>
      </c>
      <c r="VS29">
        <v>59256</v>
      </c>
      <c r="VT29">
        <v>0</v>
      </c>
      <c r="VU29">
        <v>59256</v>
      </c>
      <c r="VV29">
        <v>0.92621849999999994</v>
      </c>
      <c r="VW29">
        <v>59256</v>
      </c>
      <c r="VX29">
        <v>7.3781600000000003E-2</v>
      </c>
      <c r="VY29">
        <v>67879</v>
      </c>
      <c r="VZ29">
        <v>0</v>
      </c>
      <c r="WA29">
        <v>67879</v>
      </c>
      <c r="WB29">
        <v>0.9249252</v>
      </c>
      <c r="WC29">
        <v>67879</v>
      </c>
      <c r="WD29">
        <v>7.5074799999999997E-2</v>
      </c>
      <c r="WE29">
        <v>26650</v>
      </c>
      <c r="WF29">
        <v>0</v>
      </c>
      <c r="WG29">
        <v>26650</v>
      </c>
      <c r="WH29">
        <v>0.93598499999999996</v>
      </c>
      <c r="WI29">
        <v>26650</v>
      </c>
      <c r="WJ29">
        <v>6.4015000000000002E-2</v>
      </c>
      <c r="WK29">
        <v>12721</v>
      </c>
      <c r="WL29">
        <v>0</v>
      </c>
      <c r="WM29">
        <v>12721</v>
      </c>
      <c r="WN29">
        <v>0.89018160000000002</v>
      </c>
      <c r="WO29">
        <v>12721</v>
      </c>
      <c r="WP29">
        <v>0.1098184</v>
      </c>
      <c r="WQ29">
        <v>24791</v>
      </c>
      <c r="WR29">
        <v>0</v>
      </c>
      <c r="WS29">
        <v>24791</v>
      </c>
      <c r="WT29">
        <v>0.88983909999999999</v>
      </c>
      <c r="WU29">
        <v>24791</v>
      </c>
      <c r="WV29">
        <v>0.11016090000000001</v>
      </c>
      <c r="WW29">
        <v>24187</v>
      </c>
      <c r="WX29">
        <v>0</v>
      </c>
      <c r="WY29">
        <v>24187</v>
      </c>
      <c r="WZ29">
        <v>0.94699630000000001</v>
      </c>
      <c r="XA29">
        <v>24187</v>
      </c>
      <c r="XB29">
        <v>5.3003700000000001E-2</v>
      </c>
      <c r="XC29">
        <v>48117</v>
      </c>
      <c r="XD29">
        <v>0</v>
      </c>
      <c r="XE29">
        <v>48117</v>
      </c>
      <c r="XF29">
        <v>0.92248059999999998</v>
      </c>
      <c r="XG29">
        <v>48117</v>
      </c>
      <c r="XH29">
        <v>7.7519400000000002E-2</v>
      </c>
      <c r="XI29">
        <v>62047</v>
      </c>
      <c r="XJ29">
        <v>0</v>
      </c>
      <c r="XK29">
        <v>62047</v>
      </c>
      <c r="XL29">
        <v>0.92114039999999997</v>
      </c>
      <c r="XM29">
        <v>62047</v>
      </c>
      <c r="XN29">
        <v>7.8859600000000002E-2</v>
      </c>
      <c r="XO29">
        <v>23440</v>
      </c>
      <c r="XP29">
        <v>0</v>
      </c>
      <c r="XQ29">
        <v>23440</v>
      </c>
      <c r="XR29">
        <v>0.91215869999999999</v>
      </c>
      <c r="XS29">
        <v>23440</v>
      </c>
      <c r="XT29">
        <v>8.7841299999999997E-2</v>
      </c>
      <c r="XU29">
        <v>612694</v>
      </c>
      <c r="XV29">
        <v>0.4964615</v>
      </c>
      <c r="XW29">
        <v>304179</v>
      </c>
      <c r="XX29">
        <v>0.86042759999999996</v>
      </c>
      <c r="XY29">
        <v>304179</v>
      </c>
      <c r="XZ29">
        <v>0.13957240000000001</v>
      </c>
      <c r="YA29">
        <v>261724</v>
      </c>
      <c r="YB29">
        <v>0.83109310000000003</v>
      </c>
      <c r="YC29">
        <v>217517</v>
      </c>
      <c r="YD29">
        <v>0.83223840000000004</v>
      </c>
      <c r="YE29">
        <v>217517</v>
      </c>
      <c r="YF29">
        <v>1.27852E-2</v>
      </c>
      <c r="YG29">
        <v>217517</v>
      </c>
      <c r="YH29">
        <v>5.0092600000000001E-2</v>
      </c>
      <c r="YI29">
        <v>217517</v>
      </c>
      <c r="YJ29">
        <v>3.8544099999999998E-2</v>
      </c>
      <c r="YK29">
        <v>217517</v>
      </c>
      <c r="YL29">
        <v>3.1905599999999999E-2</v>
      </c>
      <c r="YM29">
        <v>217517</v>
      </c>
      <c r="YN29">
        <v>3.4434100000000002E-2</v>
      </c>
      <c r="YO29">
        <v>261724</v>
      </c>
      <c r="YP29">
        <v>0.12982379999999999</v>
      </c>
      <c r="YQ29">
        <v>33978</v>
      </c>
      <c r="YR29">
        <v>0.48566720000000002</v>
      </c>
      <c r="YS29">
        <v>33978</v>
      </c>
      <c r="YT29">
        <v>2.1131299999999999E-2</v>
      </c>
      <c r="YU29">
        <v>33978</v>
      </c>
      <c r="YV29">
        <v>8.3230299999999993E-2</v>
      </c>
      <c r="YW29">
        <v>33978</v>
      </c>
      <c r="YX29">
        <v>0.13205600000000001</v>
      </c>
      <c r="YY29">
        <v>33978</v>
      </c>
      <c r="YZ29">
        <v>0.13064339999999999</v>
      </c>
      <c r="ZA29">
        <v>33978</v>
      </c>
      <c r="ZB29">
        <v>0.14727180000000001</v>
      </c>
      <c r="ZC29">
        <v>261724</v>
      </c>
      <c r="ZD29">
        <v>3.9083199999999998E-2</v>
      </c>
      <c r="ZE29">
        <v>10229</v>
      </c>
      <c r="ZF29">
        <v>0.2511487</v>
      </c>
      <c r="ZG29">
        <v>10229</v>
      </c>
      <c r="ZH29">
        <v>6.7454999999999998E-3</v>
      </c>
      <c r="ZI29">
        <v>10229</v>
      </c>
      <c r="ZJ29">
        <v>8.3781400000000006E-2</v>
      </c>
      <c r="ZK29">
        <v>10229</v>
      </c>
      <c r="ZL29">
        <v>0.15211649999999999</v>
      </c>
      <c r="ZM29">
        <v>10229</v>
      </c>
      <c r="ZN29">
        <v>0.104018</v>
      </c>
      <c r="ZO29">
        <v>10229</v>
      </c>
      <c r="ZP29">
        <v>0.40218989999999999</v>
      </c>
      <c r="ZQ29">
        <v>612694</v>
      </c>
      <c r="ZR29">
        <v>0.5035385</v>
      </c>
      <c r="ZS29">
        <v>308515</v>
      </c>
      <c r="ZT29">
        <v>0.75250150000000005</v>
      </c>
      <c r="ZU29">
        <v>308515</v>
      </c>
      <c r="ZV29">
        <v>0.24749850000000001</v>
      </c>
      <c r="ZW29">
        <v>232158</v>
      </c>
      <c r="ZX29">
        <v>0.67242999999999997</v>
      </c>
      <c r="ZY29">
        <v>156110</v>
      </c>
      <c r="ZZ29">
        <v>0.83865230000000002</v>
      </c>
      <c r="AAA29">
        <v>156110</v>
      </c>
      <c r="AAB29">
        <v>1.2126100000000001E-2</v>
      </c>
      <c r="AAC29">
        <v>156110</v>
      </c>
      <c r="AAD29">
        <v>5.0650199999999999E-2</v>
      </c>
      <c r="AAE29">
        <v>156110</v>
      </c>
      <c r="AAF29">
        <v>4.3584699999999997E-2</v>
      </c>
      <c r="AAG29">
        <v>156110</v>
      </c>
      <c r="AAH29">
        <v>2.9293400000000001E-2</v>
      </c>
      <c r="AAI29">
        <v>156110</v>
      </c>
      <c r="AAJ29">
        <v>2.5693400000000002E-2</v>
      </c>
      <c r="AAK29">
        <v>232158</v>
      </c>
      <c r="AAL29">
        <v>0.24286479999999999</v>
      </c>
      <c r="AAM29">
        <v>56383</v>
      </c>
      <c r="AAN29">
        <v>0.57127150000000004</v>
      </c>
      <c r="AAO29">
        <v>56383</v>
      </c>
      <c r="AAP29">
        <v>1.8143800000000002E-2</v>
      </c>
      <c r="AAQ29">
        <v>56383</v>
      </c>
      <c r="AAR29">
        <v>8.6267099999999999E-2</v>
      </c>
      <c r="AAS29">
        <v>56383</v>
      </c>
      <c r="AAT29">
        <v>0.12700639999999999</v>
      </c>
      <c r="AAU29">
        <v>56383</v>
      </c>
      <c r="AAV29">
        <v>8.2915100000000005E-2</v>
      </c>
      <c r="AAW29">
        <v>56383</v>
      </c>
      <c r="AAX29">
        <v>0.1143962</v>
      </c>
      <c r="AAY29">
        <v>232158</v>
      </c>
      <c r="AAZ29">
        <v>8.4705199999999994E-2</v>
      </c>
      <c r="ABA29">
        <v>19665</v>
      </c>
      <c r="ABB29">
        <v>0.26483600000000002</v>
      </c>
      <c r="ABC29">
        <v>19665</v>
      </c>
      <c r="ABD29">
        <v>2.6239499999999999E-2</v>
      </c>
      <c r="ABE29">
        <v>19665</v>
      </c>
      <c r="ABF29">
        <v>0.1023138</v>
      </c>
      <c r="ABG29">
        <v>19665</v>
      </c>
      <c r="ABH29">
        <v>0.1743199</v>
      </c>
      <c r="ABI29">
        <v>19665</v>
      </c>
      <c r="ABJ29">
        <v>0.1319603</v>
      </c>
      <c r="ABK29">
        <v>19665</v>
      </c>
      <c r="ABL29">
        <v>0.3003305</v>
      </c>
      <c r="ABM29">
        <v>333295</v>
      </c>
      <c r="ABN29">
        <v>0.70696829999999999</v>
      </c>
      <c r="ABO29">
        <v>235629</v>
      </c>
      <c r="ABP29">
        <v>0.81099949999999998</v>
      </c>
      <c r="ABQ29">
        <v>235629</v>
      </c>
      <c r="ABR29">
        <v>0.18900049999999999</v>
      </c>
      <c r="ABS29">
        <v>44534</v>
      </c>
      <c r="ABT29">
        <v>0.28142539999999999</v>
      </c>
      <c r="ABU29">
        <v>44534</v>
      </c>
      <c r="ABV29">
        <v>0.71857459999999995</v>
      </c>
      <c r="ABW29">
        <v>333295</v>
      </c>
      <c r="ABX29">
        <v>0.29303170000000001</v>
      </c>
      <c r="ABY29">
        <v>97666</v>
      </c>
      <c r="ABZ29">
        <v>0.83600229999999998</v>
      </c>
      <c r="ACA29">
        <v>97666</v>
      </c>
      <c r="ACB29">
        <v>0.1639977</v>
      </c>
      <c r="ACC29">
        <v>733287</v>
      </c>
      <c r="ACD29">
        <v>0.4854948</v>
      </c>
      <c r="ACE29">
        <v>356007</v>
      </c>
      <c r="ACF29">
        <v>0.32163409999999998</v>
      </c>
      <c r="ACG29">
        <v>114504</v>
      </c>
      <c r="ACH29">
        <v>0.1903427</v>
      </c>
      <c r="ACI29">
        <v>114504</v>
      </c>
      <c r="ACJ29">
        <v>0.10211000000000001</v>
      </c>
      <c r="ACK29">
        <v>114504</v>
      </c>
      <c r="ACL29">
        <v>0.23627119999999999</v>
      </c>
      <c r="ACM29">
        <v>114504</v>
      </c>
      <c r="ACN29">
        <v>0.17748729999999999</v>
      </c>
      <c r="ACO29">
        <v>114504</v>
      </c>
      <c r="ACP29">
        <v>9.4005500000000006E-2</v>
      </c>
      <c r="ACQ29">
        <v>114504</v>
      </c>
      <c r="ACR29">
        <v>6.2390800000000003E-2</v>
      </c>
      <c r="ACS29">
        <v>114504</v>
      </c>
      <c r="ACT29">
        <v>4.2216900000000002E-2</v>
      </c>
      <c r="ACU29">
        <v>114504</v>
      </c>
      <c r="ACV29">
        <v>3.4723700000000003E-2</v>
      </c>
      <c r="ACW29">
        <v>114504</v>
      </c>
      <c r="ACX29">
        <v>2.2662999999999999E-2</v>
      </c>
      <c r="ACY29">
        <v>114504</v>
      </c>
      <c r="ACZ29">
        <v>1.6802899999999999E-2</v>
      </c>
      <c r="ADA29">
        <v>114504</v>
      </c>
      <c r="ADB29">
        <v>8.6198000000000004E-3</v>
      </c>
      <c r="ADC29">
        <v>114504</v>
      </c>
      <c r="ADD29">
        <v>5.5893000000000002E-3</v>
      </c>
      <c r="ADE29">
        <v>114504</v>
      </c>
      <c r="ADF29">
        <v>5.8513000000000003E-3</v>
      </c>
      <c r="ADG29">
        <v>114504</v>
      </c>
      <c r="ADH29">
        <v>9.257E-4</v>
      </c>
      <c r="ADI29">
        <v>356007</v>
      </c>
      <c r="ADJ29">
        <v>0.57955599999999996</v>
      </c>
      <c r="ADK29">
        <v>206326</v>
      </c>
      <c r="ADL29">
        <v>0.94887699999999997</v>
      </c>
      <c r="ADM29">
        <v>195778</v>
      </c>
      <c r="ADN29">
        <v>0</v>
      </c>
      <c r="ADO29">
        <v>195778</v>
      </c>
      <c r="ADP29">
        <v>0</v>
      </c>
      <c r="ADQ29">
        <v>195778</v>
      </c>
      <c r="ADR29">
        <v>5.5215999999999998E-3</v>
      </c>
      <c r="ADS29">
        <v>195778</v>
      </c>
      <c r="ADT29">
        <v>4.4101000000000001E-2</v>
      </c>
      <c r="ADU29">
        <v>195778</v>
      </c>
      <c r="ADV29">
        <v>7.3557800000000007E-2</v>
      </c>
      <c r="ADW29">
        <v>195778</v>
      </c>
      <c r="ADX29">
        <v>0.1019062</v>
      </c>
      <c r="ADY29">
        <v>195778</v>
      </c>
      <c r="ADZ29">
        <v>0.1148086</v>
      </c>
      <c r="AEA29">
        <v>195778</v>
      </c>
      <c r="AEB29">
        <v>0.13444310000000001</v>
      </c>
      <c r="AEC29">
        <v>195778</v>
      </c>
      <c r="AED29">
        <v>0.14200779999999999</v>
      </c>
      <c r="AEE29">
        <v>195778</v>
      </c>
      <c r="AEF29">
        <v>0.1181542</v>
      </c>
      <c r="AEG29">
        <v>195778</v>
      </c>
      <c r="AEH29">
        <v>0.1008336</v>
      </c>
      <c r="AEI29">
        <v>195778</v>
      </c>
      <c r="AEJ29">
        <v>0.10683529999999999</v>
      </c>
      <c r="AEK29">
        <v>195778</v>
      </c>
      <c r="AEL29">
        <v>4.5612899999999998E-2</v>
      </c>
      <c r="AEM29">
        <v>195778</v>
      </c>
      <c r="AEN29">
        <v>1.22179E-2</v>
      </c>
      <c r="AEO29">
        <v>206326</v>
      </c>
      <c r="AEP29">
        <v>5.1123000000000002E-2</v>
      </c>
      <c r="AEQ29">
        <v>10548</v>
      </c>
      <c r="AER29">
        <v>0.29967769999999999</v>
      </c>
      <c r="AES29">
        <v>3161</v>
      </c>
      <c r="AET29">
        <v>0</v>
      </c>
      <c r="AEU29">
        <v>3161</v>
      </c>
      <c r="AEV29">
        <v>0</v>
      </c>
      <c r="AEW29">
        <v>3161</v>
      </c>
      <c r="AEX29">
        <v>9.3008499999999994E-2</v>
      </c>
      <c r="AEY29">
        <v>3161</v>
      </c>
      <c r="AEZ29">
        <v>0</v>
      </c>
      <c r="AFA29">
        <v>3161</v>
      </c>
      <c r="AFB29">
        <v>7.4343599999999996E-2</v>
      </c>
      <c r="AFC29">
        <v>3161</v>
      </c>
      <c r="AFD29">
        <v>0.15279970000000001</v>
      </c>
      <c r="AFE29">
        <v>3161</v>
      </c>
      <c r="AFF29">
        <v>0.17431189999999999</v>
      </c>
      <c r="AFG29">
        <v>3161</v>
      </c>
      <c r="AFH29">
        <v>0.1142044</v>
      </c>
      <c r="AFI29">
        <v>3161</v>
      </c>
      <c r="AFJ29">
        <v>6.0740299999999997E-2</v>
      </c>
      <c r="AFK29">
        <v>3161</v>
      </c>
      <c r="AFL29">
        <v>0.24517559999999999</v>
      </c>
      <c r="AFM29">
        <v>3161</v>
      </c>
      <c r="AFN29">
        <v>3.89117E-2</v>
      </c>
      <c r="AFO29">
        <v>3161</v>
      </c>
      <c r="AFP29">
        <v>2.0563100000000001E-2</v>
      </c>
      <c r="AFQ29">
        <v>3161</v>
      </c>
      <c r="AFR29">
        <v>2.5941200000000001E-2</v>
      </c>
      <c r="AFS29">
        <v>3161</v>
      </c>
      <c r="AFT29">
        <v>0</v>
      </c>
      <c r="AFU29">
        <v>10548</v>
      </c>
      <c r="AFV29">
        <v>0.70032229999999995</v>
      </c>
      <c r="AFW29">
        <v>7387</v>
      </c>
      <c r="AFX29">
        <v>0</v>
      </c>
      <c r="AFY29">
        <v>7387</v>
      </c>
      <c r="AFZ29">
        <v>8.3931000000000006E-3</v>
      </c>
      <c r="AGA29">
        <v>7387</v>
      </c>
      <c r="AGB29">
        <v>3.5738499999999999E-2</v>
      </c>
      <c r="AGC29">
        <v>7387</v>
      </c>
      <c r="AGD29">
        <v>0.10437250000000001</v>
      </c>
      <c r="AGE29">
        <v>7387</v>
      </c>
      <c r="AGF29">
        <v>0.16068769999999999</v>
      </c>
      <c r="AGG29">
        <v>7387</v>
      </c>
      <c r="AGH29">
        <v>8.5149600000000006E-2</v>
      </c>
      <c r="AGI29">
        <v>7387</v>
      </c>
      <c r="AGJ29">
        <v>0.1169622</v>
      </c>
      <c r="AGK29">
        <v>7387</v>
      </c>
      <c r="AGL29">
        <v>2.35549E-2</v>
      </c>
      <c r="AGM29">
        <v>7387</v>
      </c>
      <c r="AGN29">
        <v>8.2712900000000006E-2</v>
      </c>
      <c r="AGO29">
        <v>7387</v>
      </c>
      <c r="AGP29">
        <v>5.9970200000000001E-2</v>
      </c>
      <c r="AGQ29">
        <v>7387</v>
      </c>
      <c r="AGR29">
        <v>7.4184399999999998E-2</v>
      </c>
      <c r="AGS29">
        <v>7387</v>
      </c>
      <c r="AGT29">
        <v>8.4743499999999999E-2</v>
      </c>
      <c r="AGU29">
        <v>7387</v>
      </c>
      <c r="AGV29">
        <v>7.8787099999999999E-2</v>
      </c>
      <c r="AGW29">
        <v>7387</v>
      </c>
      <c r="AGX29">
        <v>8.4743499999999999E-2</v>
      </c>
      <c r="AGY29">
        <v>356007</v>
      </c>
      <c r="AGZ29">
        <v>1.9822599999999999E-2</v>
      </c>
      <c r="AHA29">
        <v>7057</v>
      </c>
      <c r="AHB29">
        <v>0</v>
      </c>
      <c r="AHC29">
        <v>7057</v>
      </c>
      <c r="AHD29">
        <v>0</v>
      </c>
      <c r="AHE29">
        <v>7057</v>
      </c>
      <c r="AHF29">
        <v>0</v>
      </c>
      <c r="AHG29">
        <v>7057</v>
      </c>
      <c r="AHH29">
        <v>0</v>
      </c>
      <c r="AHI29">
        <v>7057</v>
      </c>
      <c r="AHJ29">
        <v>0</v>
      </c>
      <c r="AHK29">
        <v>7057</v>
      </c>
      <c r="AHL29">
        <v>6.0932E-3</v>
      </c>
      <c r="AHM29">
        <v>7057</v>
      </c>
      <c r="AHN29">
        <v>6.9435E-3</v>
      </c>
      <c r="AHO29">
        <v>7057</v>
      </c>
      <c r="AHP29">
        <v>3.6984599999999999E-2</v>
      </c>
      <c r="AHQ29">
        <v>7057</v>
      </c>
      <c r="AHR29">
        <v>3.9818600000000003E-2</v>
      </c>
      <c r="AHS29">
        <v>7057</v>
      </c>
      <c r="AHT29">
        <v>0.12044779999999999</v>
      </c>
      <c r="AHU29">
        <v>7057</v>
      </c>
      <c r="AHV29">
        <v>6.75925E-2</v>
      </c>
      <c r="AHW29">
        <v>7057</v>
      </c>
      <c r="AHX29">
        <v>0.23409379999999999</v>
      </c>
      <c r="AHY29">
        <v>7057</v>
      </c>
      <c r="AHZ29">
        <v>0.25577440000000001</v>
      </c>
      <c r="AIA29">
        <v>7057</v>
      </c>
      <c r="AIB29">
        <v>0.23225170000000001</v>
      </c>
      <c r="AIC29">
        <v>356007</v>
      </c>
      <c r="AID29">
        <v>7.8987199999999994E-2</v>
      </c>
      <c r="AIE29">
        <v>28120</v>
      </c>
      <c r="AIF29">
        <v>0</v>
      </c>
      <c r="AIG29">
        <v>28120</v>
      </c>
      <c r="AIH29">
        <v>0</v>
      </c>
      <c r="AII29">
        <v>28120</v>
      </c>
      <c r="AIJ29">
        <v>5.3343000000000002E-3</v>
      </c>
      <c r="AIK29">
        <v>28120</v>
      </c>
      <c r="AIL29">
        <v>3.5704100000000003E-2</v>
      </c>
      <c r="AIM29">
        <v>28120</v>
      </c>
      <c r="AIN29">
        <v>7.1159299999999995E-2</v>
      </c>
      <c r="AIO29">
        <v>28120</v>
      </c>
      <c r="AIP29">
        <v>6.5753900000000004E-2</v>
      </c>
      <c r="AIQ29">
        <v>28120</v>
      </c>
      <c r="AIR29">
        <v>0.11564720000000001</v>
      </c>
      <c r="AIS29">
        <v>28120</v>
      </c>
      <c r="AIT29">
        <v>0.1435633</v>
      </c>
      <c r="AIU29">
        <v>28120</v>
      </c>
      <c r="AIV29">
        <v>0.16738980000000001</v>
      </c>
      <c r="AIW29">
        <v>28120</v>
      </c>
      <c r="AIX29">
        <v>0.11906120000000001</v>
      </c>
      <c r="AIY29">
        <v>28120</v>
      </c>
      <c r="AIZ29">
        <v>0.12873399999999999</v>
      </c>
      <c r="AJA29">
        <v>28120</v>
      </c>
      <c r="AJB29">
        <v>0.1052987</v>
      </c>
      <c r="AJC29">
        <v>28120</v>
      </c>
      <c r="AJD29">
        <v>3.2290199999999998E-2</v>
      </c>
      <c r="AJE29">
        <v>28120</v>
      </c>
      <c r="AJF29">
        <v>1.0064E-2</v>
      </c>
      <c r="AJG29">
        <v>733287</v>
      </c>
      <c r="AJH29">
        <v>0.5145052</v>
      </c>
      <c r="AJI29">
        <v>377280</v>
      </c>
      <c r="AJJ29">
        <v>0.26235950000000002</v>
      </c>
      <c r="AJK29">
        <v>98983</v>
      </c>
      <c r="AJL29">
        <v>0.20400470000000001</v>
      </c>
      <c r="AJM29">
        <v>98983</v>
      </c>
      <c r="AJN29">
        <v>0.1027146</v>
      </c>
      <c r="AJO29">
        <v>98983</v>
      </c>
      <c r="AJP29">
        <v>0.2357475</v>
      </c>
      <c r="AJQ29">
        <v>98983</v>
      </c>
      <c r="AJR29">
        <v>0.15879489999999999</v>
      </c>
      <c r="AJS29">
        <v>98983</v>
      </c>
      <c r="AJT29">
        <v>7.1264800000000003E-2</v>
      </c>
      <c r="AJU29">
        <v>98983</v>
      </c>
      <c r="AJV29">
        <v>4.4138900000000002E-2</v>
      </c>
      <c r="AJW29">
        <v>98983</v>
      </c>
      <c r="AJX29">
        <v>4.8038600000000001E-2</v>
      </c>
      <c r="AJY29">
        <v>98983</v>
      </c>
      <c r="AJZ29">
        <v>3.1843900000000001E-2</v>
      </c>
      <c r="AKA29">
        <v>98983</v>
      </c>
      <c r="AKB29">
        <v>3.7945899999999998E-2</v>
      </c>
      <c r="AKC29">
        <v>98983</v>
      </c>
      <c r="AKD29">
        <v>2.4064700000000001E-2</v>
      </c>
      <c r="AKE29">
        <v>98983</v>
      </c>
      <c r="AKF29">
        <v>1.3012299999999999E-2</v>
      </c>
      <c r="AKG29">
        <v>98983</v>
      </c>
      <c r="AKH29">
        <v>1.27093E-2</v>
      </c>
      <c r="AKI29">
        <v>98983</v>
      </c>
      <c r="AKJ29">
        <v>7.6276E-3</v>
      </c>
      <c r="AKK29">
        <v>98983</v>
      </c>
      <c r="AKL29">
        <v>8.0923000000000002E-3</v>
      </c>
      <c r="AKM29">
        <v>377280</v>
      </c>
      <c r="AKN29">
        <v>0.55854009999999998</v>
      </c>
      <c r="AKO29">
        <v>210726</v>
      </c>
      <c r="AKP29">
        <v>0.93434600000000001</v>
      </c>
      <c r="AKQ29">
        <v>196891</v>
      </c>
      <c r="AKR29">
        <v>0</v>
      </c>
      <c r="AKS29">
        <v>196891</v>
      </c>
      <c r="AKT29">
        <v>0</v>
      </c>
      <c r="AKU29">
        <v>196891</v>
      </c>
      <c r="AKV29">
        <v>1.34541E-2</v>
      </c>
      <c r="AKW29">
        <v>196891</v>
      </c>
      <c r="AKX29">
        <v>5.9281500000000001E-2</v>
      </c>
      <c r="AKY29">
        <v>196891</v>
      </c>
      <c r="AKZ29">
        <v>9.1883300000000001E-2</v>
      </c>
      <c r="ALA29">
        <v>196891</v>
      </c>
      <c r="ALB29">
        <v>9.7393999999999994E-2</v>
      </c>
      <c r="ALC29">
        <v>196891</v>
      </c>
      <c r="ALD29">
        <v>0.13580610000000001</v>
      </c>
      <c r="ALE29">
        <v>196891</v>
      </c>
      <c r="ALF29">
        <v>0.1442118</v>
      </c>
      <c r="ALG29">
        <v>196891</v>
      </c>
      <c r="ALH29">
        <v>0.12896479999999999</v>
      </c>
      <c r="ALI29">
        <v>196891</v>
      </c>
      <c r="ALJ29">
        <v>0.10894860000000001</v>
      </c>
      <c r="ALK29">
        <v>196891</v>
      </c>
      <c r="ALL29">
        <v>9.3589900000000004E-2</v>
      </c>
      <c r="ALM29">
        <v>196891</v>
      </c>
      <c r="ALN29">
        <v>8.74138E-2</v>
      </c>
      <c r="ALO29">
        <v>196891</v>
      </c>
      <c r="ALP29">
        <v>3.2652599999999997E-2</v>
      </c>
      <c r="ALQ29">
        <v>196891</v>
      </c>
      <c r="ALR29">
        <v>6.3994999999999998E-3</v>
      </c>
      <c r="ALS29">
        <v>210726</v>
      </c>
      <c r="ALT29">
        <v>6.5654000000000004E-2</v>
      </c>
      <c r="ALU29">
        <v>13835</v>
      </c>
      <c r="ALV29">
        <v>0.43975419999999998</v>
      </c>
      <c r="ALW29">
        <v>6084</v>
      </c>
      <c r="ALX29">
        <v>0</v>
      </c>
      <c r="ALY29">
        <v>6084</v>
      </c>
      <c r="ALZ29">
        <v>0</v>
      </c>
      <c r="AMA29">
        <v>6084</v>
      </c>
      <c r="AMB29">
        <v>0</v>
      </c>
      <c r="AMC29">
        <v>6084</v>
      </c>
      <c r="AMD29">
        <v>7.5115100000000004E-2</v>
      </c>
      <c r="AME29">
        <v>6084</v>
      </c>
      <c r="AMF29">
        <v>0.1952663</v>
      </c>
      <c r="AMG29">
        <v>6084</v>
      </c>
      <c r="AMH29">
        <v>0.26331359999999998</v>
      </c>
      <c r="AMI29">
        <v>6084</v>
      </c>
      <c r="AMJ29">
        <v>0.11522019999999999</v>
      </c>
      <c r="AMK29">
        <v>6084</v>
      </c>
      <c r="AML29">
        <v>9.2702199999999998E-2</v>
      </c>
      <c r="AMM29">
        <v>6084</v>
      </c>
      <c r="AMN29">
        <v>0.15450359999999999</v>
      </c>
      <c r="AMO29">
        <v>6084</v>
      </c>
      <c r="AMP29">
        <v>5.5884299999999998E-2</v>
      </c>
      <c r="AMQ29">
        <v>6084</v>
      </c>
      <c r="AMR29">
        <v>4.7994700000000001E-2</v>
      </c>
      <c r="AMS29">
        <v>6084</v>
      </c>
      <c r="AMT29">
        <v>0</v>
      </c>
      <c r="AMU29">
        <v>6084</v>
      </c>
      <c r="AMV29">
        <v>0</v>
      </c>
      <c r="AMW29">
        <v>6084</v>
      </c>
      <c r="AMX29">
        <v>0</v>
      </c>
      <c r="AMY29">
        <v>13835</v>
      </c>
      <c r="AMZ29">
        <v>0.56024580000000002</v>
      </c>
      <c r="ANA29">
        <v>7751</v>
      </c>
      <c r="ANB29">
        <v>6.7088E-3</v>
      </c>
      <c r="ANC29">
        <v>7751</v>
      </c>
      <c r="AND29">
        <v>2.36099E-2</v>
      </c>
      <c r="ANE29">
        <v>7751</v>
      </c>
      <c r="ANF29">
        <v>6.9152400000000003E-2</v>
      </c>
      <c r="ANG29">
        <v>7751</v>
      </c>
      <c r="ANH29">
        <v>0.13675660000000001</v>
      </c>
      <c r="ANI29">
        <v>7751</v>
      </c>
      <c r="ANJ29">
        <v>0.1165011</v>
      </c>
      <c r="ANK29">
        <v>7751</v>
      </c>
      <c r="ANL29">
        <v>2.8254399999999999E-2</v>
      </c>
      <c r="ANM29">
        <v>7751</v>
      </c>
      <c r="ANN29">
        <v>9.3665300000000007E-2</v>
      </c>
      <c r="ANO29">
        <v>7751</v>
      </c>
      <c r="ANP29">
        <v>9.5600599999999994E-2</v>
      </c>
      <c r="ANQ29">
        <v>7751</v>
      </c>
      <c r="ANR29">
        <v>0.15701200000000001</v>
      </c>
      <c r="ANS29">
        <v>7751</v>
      </c>
      <c r="ANT29">
        <v>7.1087600000000001E-2</v>
      </c>
      <c r="ANU29">
        <v>7751</v>
      </c>
      <c r="ANV29">
        <v>3.5866299999999997E-2</v>
      </c>
      <c r="ANW29">
        <v>7751</v>
      </c>
      <c r="ANX29">
        <v>8.0892800000000001E-2</v>
      </c>
      <c r="ANY29">
        <v>7751</v>
      </c>
      <c r="ANZ29">
        <v>4.24461E-2</v>
      </c>
      <c r="AOA29">
        <v>7751</v>
      </c>
      <c r="AOB29">
        <v>4.24461E-2</v>
      </c>
      <c r="AOC29">
        <v>377280</v>
      </c>
      <c r="AOD29">
        <v>8.0279900000000001E-2</v>
      </c>
      <c r="AOE29">
        <v>30288</v>
      </c>
      <c r="AOF29">
        <v>0</v>
      </c>
      <c r="AOG29">
        <v>30288</v>
      </c>
      <c r="AOH29">
        <v>0</v>
      </c>
      <c r="AOI29">
        <v>30288</v>
      </c>
      <c r="AOJ29">
        <v>0</v>
      </c>
      <c r="AOK29">
        <v>30288</v>
      </c>
      <c r="AOL29">
        <v>0</v>
      </c>
      <c r="AOM29">
        <v>30288</v>
      </c>
      <c r="AON29">
        <v>0</v>
      </c>
      <c r="AOO29">
        <v>30288</v>
      </c>
      <c r="AOP29">
        <v>3.0704999999999999E-3</v>
      </c>
      <c r="AOQ29">
        <v>30288</v>
      </c>
      <c r="AOR29">
        <v>0</v>
      </c>
      <c r="AOS29">
        <v>30288</v>
      </c>
      <c r="AOT29">
        <v>1.29424E-2</v>
      </c>
      <c r="AOU29">
        <v>30288</v>
      </c>
      <c r="AOV29">
        <v>3.5129399999999998E-2</v>
      </c>
      <c r="AOW29">
        <v>30288</v>
      </c>
      <c r="AOX29">
        <v>3.8166899999999997E-2</v>
      </c>
      <c r="AOY29">
        <v>30288</v>
      </c>
      <c r="AOZ29">
        <v>9.5978599999999997E-2</v>
      </c>
      <c r="APA29">
        <v>30288</v>
      </c>
      <c r="APB29">
        <v>0.21896460000000001</v>
      </c>
      <c r="APC29">
        <v>30288</v>
      </c>
      <c r="APD29">
        <v>0.31471209999999999</v>
      </c>
      <c r="APE29">
        <v>30288</v>
      </c>
      <c r="APF29">
        <v>0.28103539999999999</v>
      </c>
      <c r="APG29">
        <v>377280</v>
      </c>
      <c r="APH29">
        <v>9.8820500000000006E-2</v>
      </c>
      <c r="API29">
        <v>37283</v>
      </c>
      <c r="APJ29">
        <v>0</v>
      </c>
      <c r="APK29">
        <v>37283</v>
      </c>
      <c r="APL29">
        <v>0</v>
      </c>
      <c r="APM29">
        <v>37283</v>
      </c>
      <c r="APN29">
        <v>7.1882999999999999E-3</v>
      </c>
      <c r="APO29">
        <v>37283</v>
      </c>
      <c r="APP29">
        <v>2.3120499999999999E-2</v>
      </c>
      <c r="APQ29">
        <v>37283</v>
      </c>
      <c r="APR29">
        <v>3.6075400000000001E-2</v>
      </c>
      <c r="APS29">
        <v>37283</v>
      </c>
      <c r="APT29">
        <v>6.1502599999999998E-2</v>
      </c>
      <c r="APU29">
        <v>37283</v>
      </c>
      <c r="APV29">
        <v>9.7256099999999998E-2</v>
      </c>
      <c r="APW29">
        <v>37283</v>
      </c>
      <c r="APX29">
        <v>0.1481372</v>
      </c>
      <c r="APY29">
        <v>37283</v>
      </c>
      <c r="APZ29">
        <v>0.1637207</v>
      </c>
      <c r="AQA29">
        <v>37283</v>
      </c>
      <c r="AQB29">
        <v>0.15629109999999999</v>
      </c>
      <c r="AQC29">
        <v>37283</v>
      </c>
      <c r="AQD29">
        <v>0.1101843</v>
      </c>
      <c r="AQE29">
        <v>37283</v>
      </c>
      <c r="AQF29">
        <v>0.1383741</v>
      </c>
      <c r="AQG29">
        <v>37283</v>
      </c>
      <c r="AQH29">
        <v>4.4685200000000001E-2</v>
      </c>
      <c r="AQI29">
        <v>37283</v>
      </c>
      <c r="AQJ29">
        <v>1.34646E-2</v>
      </c>
      <c r="AQK29">
        <v>114409</v>
      </c>
      <c r="AQL29">
        <v>0.14603749999999999</v>
      </c>
      <c r="AQM29">
        <v>333295</v>
      </c>
      <c r="AQN29">
        <v>0.74837909999999996</v>
      </c>
      <c r="AQO29">
        <v>249431</v>
      </c>
      <c r="AQP29">
        <v>0.77328399999999997</v>
      </c>
      <c r="AQQ29">
        <v>192881</v>
      </c>
      <c r="AQR29">
        <v>0.86032839999999999</v>
      </c>
      <c r="AQS29">
        <v>165941</v>
      </c>
      <c r="AQT29">
        <v>0.46554499999999999</v>
      </c>
      <c r="AQU29">
        <v>165941</v>
      </c>
      <c r="AQV29">
        <v>0.53445500000000001</v>
      </c>
      <c r="AQW29">
        <v>192881</v>
      </c>
      <c r="AQX29">
        <v>0.13967160000000001</v>
      </c>
      <c r="AQY29">
        <v>26940</v>
      </c>
      <c r="AQZ29">
        <v>0.30386039999999997</v>
      </c>
      <c r="ARA29">
        <v>8186</v>
      </c>
      <c r="ARB29">
        <v>0.40960170000000001</v>
      </c>
      <c r="ARC29">
        <v>8186</v>
      </c>
      <c r="ARD29">
        <v>0.59039830000000004</v>
      </c>
      <c r="ARE29">
        <v>26940</v>
      </c>
      <c r="ARF29">
        <v>0.69613959999999997</v>
      </c>
      <c r="ARG29">
        <v>18754</v>
      </c>
      <c r="ARH29">
        <v>0.38525110000000001</v>
      </c>
      <c r="ARI29">
        <v>18754</v>
      </c>
      <c r="ARJ29">
        <v>0.61474879999999998</v>
      </c>
      <c r="ARK29">
        <v>249431</v>
      </c>
      <c r="ARL29">
        <v>0.226716</v>
      </c>
      <c r="ARM29">
        <v>333295</v>
      </c>
      <c r="ARN29">
        <v>0.25162089999999998</v>
      </c>
      <c r="ARO29">
        <v>83864</v>
      </c>
      <c r="ARP29">
        <v>0.50973000000000002</v>
      </c>
      <c r="ARQ29">
        <v>42748</v>
      </c>
      <c r="ARR29">
        <v>0.58842519999999998</v>
      </c>
      <c r="ARS29">
        <v>25154</v>
      </c>
      <c r="ART29">
        <v>0.57366620000000002</v>
      </c>
      <c r="ARU29">
        <v>25154</v>
      </c>
      <c r="ARV29">
        <v>0.42633379999999998</v>
      </c>
      <c r="ARW29">
        <v>42748</v>
      </c>
      <c r="ARX29">
        <v>0.41157480000000002</v>
      </c>
      <c r="ARY29">
        <v>17594</v>
      </c>
      <c r="ARZ29">
        <v>0.24707290000000001</v>
      </c>
      <c r="ASA29">
        <v>4347</v>
      </c>
      <c r="ASB29">
        <v>0.61306649999999996</v>
      </c>
      <c r="ASC29">
        <v>4347</v>
      </c>
      <c r="ASD29">
        <v>0.38693349999999999</v>
      </c>
      <c r="ASE29">
        <v>17594</v>
      </c>
      <c r="ASF29">
        <v>0.75292709999999996</v>
      </c>
      <c r="ASG29">
        <v>13247</v>
      </c>
      <c r="ASH29">
        <v>0.71586019999999995</v>
      </c>
      <c r="ASI29">
        <v>13247</v>
      </c>
      <c r="ASJ29">
        <v>0.2841398</v>
      </c>
      <c r="ASK29">
        <v>83864</v>
      </c>
      <c r="ASL29">
        <v>0.49026999999999998</v>
      </c>
      <c r="ASM29">
        <v>320243</v>
      </c>
      <c r="ASN29">
        <v>0.58104630000000002</v>
      </c>
      <c r="ASO29">
        <v>186076</v>
      </c>
      <c r="ASP29">
        <v>0.4661805</v>
      </c>
      <c r="ASQ29">
        <v>86745</v>
      </c>
      <c r="ASR29">
        <v>0.55950200000000005</v>
      </c>
      <c r="ASS29">
        <v>48534</v>
      </c>
      <c r="AST29">
        <v>0.72367820000000005</v>
      </c>
      <c r="ASU29">
        <v>48534</v>
      </c>
      <c r="ASV29">
        <v>0.2763217</v>
      </c>
      <c r="ASW29">
        <v>86745</v>
      </c>
      <c r="ASX29">
        <v>0.22792090000000001</v>
      </c>
      <c r="ASY29">
        <v>19771</v>
      </c>
      <c r="ASZ29">
        <v>0.50240249999999997</v>
      </c>
      <c r="ATA29">
        <v>19771</v>
      </c>
      <c r="ATB29">
        <v>0.37064390000000003</v>
      </c>
      <c r="ATC29">
        <v>19771</v>
      </c>
      <c r="ATD29">
        <v>0.1269536</v>
      </c>
      <c r="ATE29">
        <v>86745</v>
      </c>
      <c r="ATF29">
        <v>0.14252119999999999</v>
      </c>
      <c r="ATG29">
        <v>12363</v>
      </c>
      <c r="ATH29">
        <v>0.12553590000000001</v>
      </c>
      <c r="ATI29">
        <v>12363</v>
      </c>
      <c r="ATJ29">
        <v>0.30300090000000002</v>
      </c>
      <c r="ATK29">
        <v>12363</v>
      </c>
      <c r="ATL29">
        <v>0.39982210000000001</v>
      </c>
      <c r="ATM29">
        <v>12363</v>
      </c>
      <c r="ATN29">
        <v>0.17164119999999999</v>
      </c>
      <c r="ATO29">
        <v>86745</v>
      </c>
      <c r="ATP29">
        <v>7.0055900000000004E-2</v>
      </c>
      <c r="ATQ29">
        <v>6077</v>
      </c>
      <c r="ATR29">
        <v>0.74691459999999998</v>
      </c>
      <c r="ATS29">
        <v>6077</v>
      </c>
      <c r="ATT29">
        <v>0.25308540000000002</v>
      </c>
      <c r="ATU29">
        <v>186076</v>
      </c>
      <c r="ATV29">
        <v>8.8544499999999998E-2</v>
      </c>
      <c r="ATW29">
        <v>16476</v>
      </c>
      <c r="ATX29">
        <v>6.1179900000000002E-2</v>
      </c>
      <c r="ATY29">
        <v>16476</v>
      </c>
      <c r="ATZ29">
        <v>0.28817670000000001</v>
      </c>
      <c r="AUA29">
        <v>4748</v>
      </c>
      <c r="AUB29">
        <v>0.5309604</v>
      </c>
      <c r="AUC29">
        <v>4748</v>
      </c>
      <c r="AUD29">
        <v>0.4690396</v>
      </c>
      <c r="AUE29">
        <v>16476</v>
      </c>
      <c r="AUF29">
        <v>0.4110221</v>
      </c>
      <c r="AUG29">
        <v>16476</v>
      </c>
      <c r="AUH29">
        <v>0.21394759999999999</v>
      </c>
      <c r="AUI29">
        <v>16476</v>
      </c>
      <c r="AUJ29">
        <v>2.5673700000000001E-2</v>
      </c>
      <c r="AUK29">
        <v>186076</v>
      </c>
      <c r="AUL29">
        <v>0.2062437</v>
      </c>
      <c r="AUM29">
        <v>38377</v>
      </c>
      <c r="AUN29">
        <v>0.64468300000000001</v>
      </c>
      <c r="AUO29">
        <v>38377</v>
      </c>
      <c r="AUP29">
        <v>0.35531699999999999</v>
      </c>
      <c r="AUQ29">
        <v>186076</v>
      </c>
      <c r="AUR29">
        <v>9.8954200000000006E-2</v>
      </c>
      <c r="AUS29">
        <v>18413</v>
      </c>
      <c r="AUT29">
        <v>0</v>
      </c>
      <c r="AUU29">
        <v>18413</v>
      </c>
      <c r="AUV29">
        <v>0.44501170000000001</v>
      </c>
      <c r="AUW29">
        <v>18413</v>
      </c>
      <c r="AUX29">
        <v>0.55498829999999999</v>
      </c>
      <c r="AUY29">
        <v>186076</v>
      </c>
      <c r="AUZ29">
        <v>0.14007720000000001</v>
      </c>
      <c r="AVA29">
        <v>26065</v>
      </c>
      <c r="AVB29">
        <v>0.40057549999999997</v>
      </c>
      <c r="AVC29">
        <v>26065</v>
      </c>
      <c r="AVD29">
        <v>0.4107807</v>
      </c>
      <c r="AVE29">
        <v>26065</v>
      </c>
      <c r="AVF29">
        <v>0.1886438</v>
      </c>
      <c r="AVG29">
        <v>320243</v>
      </c>
      <c r="AVH29">
        <v>0.41895369999999998</v>
      </c>
      <c r="AVI29">
        <v>134167</v>
      </c>
      <c r="AVJ29">
        <v>0.50709190000000004</v>
      </c>
      <c r="AVK29">
        <v>68035</v>
      </c>
      <c r="AVL29">
        <v>0.39885350000000003</v>
      </c>
      <c r="AVM29">
        <v>27136</v>
      </c>
      <c r="AVN29">
        <v>0.61423939999999999</v>
      </c>
      <c r="AVO29">
        <v>27136</v>
      </c>
      <c r="AVP29">
        <v>0.38576060000000001</v>
      </c>
      <c r="AVQ29">
        <v>68035</v>
      </c>
      <c r="AVR29">
        <v>9.2864000000000002E-2</v>
      </c>
      <c r="AVS29">
        <v>6318</v>
      </c>
      <c r="AVT29">
        <v>0.64593230000000001</v>
      </c>
      <c r="AVU29">
        <v>6318</v>
      </c>
      <c r="AVV29">
        <v>0.14403289999999999</v>
      </c>
      <c r="AVW29">
        <v>6318</v>
      </c>
      <c r="AVX29">
        <v>0.21003479999999999</v>
      </c>
      <c r="AVY29">
        <v>68035</v>
      </c>
      <c r="AVZ29">
        <v>0.3214669</v>
      </c>
      <c r="AWA29">
        <v>21871</v>
      </c>
      <c r="AWB29">
        <v>9.8715200000000003E-2</v>
      </c>
      <c r="AWC29">
        <v>21871</v>
      </c>
      <c r="AWD29">
        <v>0.1024187</v>
      </c>
      <c r="AWE29">
        <v>21871</v>
      </c>
      <c r="AWF29">
        <v>0.65451970000000004</v>
      </c>
      <c r="AWG29">
        <v>21871</v>
      </c>
      <c r="AWH29">
        <v>0.14434640000000001</v>
      </c>
      <c r="AWI29">
        <v>68035</v>
      </c>
      <c r="AWJ29">
        <v>0.1868156</v>
      </c>
      <c r="AWK29">
        <v>12710</v>
      </c>
      <c r="AWL29">
        <v>0.77206920000000001</v>
      </c>
      <c r="AWM29">
        <v>12710</v>
      </c>
      <c r="AWN29">
        <v>0.22793079999999999</v>
      </c>
      <c r="AWO29">
        <v>134167</v>
      </c>
      <c r="AWP29">
        <v>0.1199624</v>
      </c>
      <c r="AWQ29">
        <v>16095</v>
      </c>
      <c r="AWR29">
        <v>0.27430880000000002</v>
      </c>
      <c r="AWS29">
        <v>16095</v>
      </c>
      <c r="AWT29">
        <v>3.6035999999999999E-2</v>
      </c>
      <c r="AWU29">
        <v>580</v>
      </c>
      <c r="AWV29">
        <v>0.21379310000000001</v>
      </c>
      <c r="AWW29">
        <v>580</v>
      </c>
      <c r="AWX29">
        <v>0.78620690000000004</v>
      </c>
      <c r="AWY29">
        <v>16095</v>
      </c>
      <c r="AWZ29">
        <v>0.21329609999999999</v>
      </c>
      <c r="AXA29">
        <v>16095</v>
      </c>
      <c r="AXB29">
        <v>0.19111529999999999</v>
      </c>
      <c r="AXC29">
        <v>16095</v>
      </c>
      <c r="AXD29">
        <v>0.28524389999999999</v>
      </c>
      <c r="AXE29">
        <v>134167</v>
      </c>
      <c r="AXF29">
        <v>0.31919180000000003</v>
      </c>
      <c r="AXG29">
        <v>42825</v>
      </c>
      <c r="AXH29">
        <v>0.30865150000000002</v>
      </c>
      <c r="AXI29">
        <v>42825</v>
      </c>
      <c r="AXJ29">
        <v>0.69134850000000003</v>
      </c>
      <c r="AXK29">
        <v>134167</v>
      </c>
      <c r="AXL29">
        <v>2.8024999999999999E-3</v>
      </c>
      <c r="AXM29">
        <v>376</v>
      </c>
      <c r="AXN29">
        <v>0.1569149</v>
      </c>
      <c r="AXO29">
        <v>376</v>
      </c>
      <c r="AXP29">
        <v>0.38297870000000001</v>
      </c>
      <c r="AXQ29">
        <v>376</v>
      </c>
      <c r="AXR29">
        <v>0.46010640000000003</v>
      </c>
      <c r="AXS29">
        <v>134167</v>
      </c>
      <c r="AXT29">
        <v>5.0951400000000001E-2</v>
      </c>
      <c r="AXU29">
        <v>6836</v>
      </c>
      <c r="AXV29">
        <v>0.68300179999999999</v>
      </c>
      <c r="AXW29">
        <v>6836</v>
      </c>
      <c r="AXX29">
        <v>0.13004679999999999</v>
      </c>
      <c r="AXY29">
        <v>6836</v>
      </c>
      <c r="AXZ29">
        <v>0.18695139999999999</v>
      </c>
      <c r="AYA29">
        <v>40597</v>
      </c>
      <c r="AYB29">
        <v>2.98298E-2</v>
      </c>
      <c r="AYC29">
        <v>40597</v>
      </c>
      <c r="AYD29">
        <v>0.13500999999999999</v>
      </c>
      <c r="AYE29">
        <v>40597</v>
      </c>
      <c r="AYF29">
        <v>0.27110380000000001</v>
      </c>
      <c r="AYG29">
        <v>40597</v>
      </c>
      <c r="AYH29">
        <v>0.38803359999999998</v>
      </c>
      <c r="AYI29">
        <v>40597</v>
      </c>
      <c r="AYJ29">
        <v>3.2366899999999997E-2</v>
      </c>
      <c r="AYK29">
        <v>40597</v>
      </c>
      <c r="AYL29">
        <v>0.13757169999999999</v>
      </c>
      <c r="AYM29">
        <v>40597</v>
      </c>
      <c r="AYN29">
        <v>6.0841999999999997E-3</v>
      </c>
      <c r="AYO29">
        <v>59320</v>
      </c>
      <c r="AYP29">
        <v>3.0765299999999999E-2</v>
      </c>
      <c r="AYQ29">
        <v>59320</v>
      </c>
      <c r="AYR29">
        <v>4.81457E-2</v>
      </c>
      <c r="AYS29">
        <v>59320</v>
      </c>
      <c r="AYT29">
        <v>0.20721510000000001</v>
      </c>
      <c r="AYU29">
        <v>59320</v>
      </c>
      <c r="AYV29">
        <v>0.2414868</v>
      </c>
      <c r="AYW29">
        <v>59320</v>
      </c>
      <c r="AYX29">
        <v>5.3860400000000003E-2</v>
      </c>
      <c r="AYY29">
        <v>59320</v>
      </c>
      <c r="AYZ29">
        <v>0.3038941</v>
      </c>
      <c r="AZA29">
        <v>59320</v>
      </c>
      <c r="AZB29">
        <v>0.1146325</v>
      </c>
      <c r="AZC29">
        <v>62126</v>
      </c>
      <c r="AZD29">
        <v>3.9178400000000002E-2</v>
      </c>
      <c r="AZE29">
        <v>62126</v>
      </c>
      <c r="AZF29">
        <v>5.0719500000000001E-2</v>
      </c>
      <c r="AZG29">
        <v>62126</v>
      </c>
      <c r="AZH29">
        <v>0.17709169999999999</v>
      </c>
      <c r="AZI29">
        <v>62126</v>
      </c>
      <c r="AZJ29">
        <v>0.19486210000000001</v>
      </c>
      <c r="AZK29">
        <v>62126</v>
      </c>
      <c r="AZL29">
        <v>6.1922499999999998E-2</v>
      </c>
      <c r="AZM29">
        <v>62126</v>
      </c>
      <c r="AZN29">
        <v>0.27505390000000002</v>
      </c>
      <c r="AZO29">
        <v>62126</v>
      </c>
      <c r="AZP29">
        <v>0.20117180000000001</v>
      </c>
      <c r="AZQ29">
        <v>127286</v>
      </c>
      <c r="AZR29">
        <v>3.3420800000000001E-2</v>
      </c>
      <c r="AZS29">
        <v>127286</v>
      </c>
      <c r="AZT29">
        <v>3.4952799999999999E-2</v>
      </c>
      <c r="AZU29">
        <v>127286</v>
      </c>
      <c r="AZV29">
        <v>0.1540704</v>
      </c>
      <c r="AZW29">
        <v>127286</v>
      </c>
      <c r="AZX29">
        <v>0.1710322</v>
      </c>
      <c r="AZY29">
        <v>127286</v>
      </c>
      <c r="AZZ29">
        <v>7.1846099999999996E-2</v>
      </c>
      <c r="BAA29">
        <v>127286</v>
      </c>
      <c r="BAB29">
        <v>0.31829109999999999</v>
      </c>
      <c r="BAC29">
        <v>127286</v>
      </c>
      <c r="BAD29">
        <v>0.21638669999999999</v>
      </c>
      <c r="BAE29">
        <v>44883</v>
      </c>
      <c r="BAF29">
        <v>3.69851E-2</v>
      </c>
      <c r="BAG29">
        <v>44883</v>
      </c>
      <c r="BAH29">
        <v>7.2120799999999999E-2</v>
      </c>
      <c r="BAI29">
        <v>44883</v>
      </c>
      <c r="BAJ29">
        <v>0.23140160000000001</v>
      </c>
      <c r="BAK29">
        <v>44883</v>
      </c>
      <c r="BAL29">
        <v>0.19726850000000001</v>
      </c>
      <c r="BAM29">
        <v>44883</v>
      </c>
      <c r="BAN29">
        <v>3.4601100000000003E-2</v>
      </c>
      <c r="BAO29">
        <v>44883</v>
      </c>
      <c r="BAP29">
        <v>0.22636629999999999</v>
      </c>
      <c r="BAQ29">
        <v>44883</v>
      </c>
      <c r="BAR29">
        <v>0.20125660000000001</v>
      </c>
      <c r="BAS29">
        <v>37138</v>
      </c>
      <c r="BAT29">
        <v>0</v>
      </c>
      <c r="BAU29">
        <v>37138</v>
      </c>
      <c r="BAV29">
        <v>8.24762E-2</v>
      </c>
      <c r="BAW29">
        <v>37138</v>
      </c>
      <c r="BAX29">
        <v>0.23447680000000001</v>
      </c>
      <c r="BAY29">
        <v>37138</v>
      </c>
      <c r="BAZ29">
        <v>0.44404650000000001</v>
      </c>
      <c r="BBA29">
        <v>37138</v>
      </c>
      <c r="BBB29">
        <v>4.4832799999999999E-2</v>
      </c>
      <c r="BBC29">
        <v>37138</v>
      </c>
      <c r="BBD29">
        <v>0.17572299999999999</v>
      </c>
      <c r="BBE29">
        <v>37138</v>
      </c>
      <c r="BBF29">
        <v>1.8444700000000001E-2</v>
      </c>
      <c r="BBG29">
        <v>58350</v>
      </c>
      <c r="BBH29">
        <v>1.25278E-2</v>
      </c>
      <c r="BBI29">
        <v>58350</v>
      </c>
      <c r="BBJ29">
        <v>5.5012900000000003E-2</v>
      </c>
      <c r="BBK29">
        <v>58350</v>
      </c>
      <c r="BBL29">
        <v>0.16095970000000001</v>
      </c>
      <c r="BBM29">
        <v>58350</v>
      </c>
      <c r="BBN29">
        <v>0.15842329999999999</v>
      </c>
      <c r="BBO29">
        <v>58350</v>
      </c>
      <c r="BBP29">
        <v>5.3487600000000003E-2</v>
      </c>
      <c r="BBQ29">
        <v>58350</v>
      </c>
      <c r="BBR29">
        <v>0.36083979999999999</v>
      </c>
      <c r="BBS29">
        <v>58350</v>
      </c>
      <c r="BBT29">
        <v>0.19874890000000001</v>
      </c>
      <c r="BBU29">
        <v>64299</v>
      </c>
      <c r="BBV29">
        <v>4.8274499999999998E-2</v>
      </c>
      <c r="BBW29">
        <v>64299</v>
      </c>
      <c r="BBX29">
        <v>4.1820200000000002E-2</v>
      </c>
      <c r="BBY29">
        <v>64299</v>
      </c>
      <c r="BBZ29">
        <v>0.12441869999999999</v>
      </c>
      <c r="BCA29">
        <v>64299</v>
      </c>
      <c r="BCB29">
        <v>0.17529040000000001</v>
      </c>
      <c r="BCC29">
        <v>64299</v>
      </c>
      <c r="BCD29">
        <v>8.8601700000000005E-2</v>
      </c>
      <c r="BCE29">
        <v>64299</v>
      </c>
      <c r="BCF29">
        <v>0.35086079999999997</v>
      </c>
      <c r="BCG29">
        <v>64299</v>
      </c>
      <c r="BCH29">
        <v>0.17073360000000001</v>
      </c>
      <c r="BCI29">
        <v>136246</v>
      </c>
      <c r="BCJ29">
        <v>2.8419199999999999E-2</v>
      </c>
      <c r="BCK29">
        <v>136246</v>
      </c>
      <c r="BCL29">
        <v>3.81149E-2</v>
      </c>
      <c r="BCM29">
        <v>136246</v>
      </c>
      <c r="BCN29">
        <v>0.19956550000000001</v>
      </c>
      <c r="BCO29">
        <v>136246</v>
      </c>
      <c r="BCP29">
        <v>0.2045565</v>
      </c>
      <c r="BCQ29">
        <v>136246</v>
      </c>
      <c r="BCR29">
        <v>8.3430000000000004E-2</v>
      </c>
      <c r="BCS29">
        <v>136246</v>
      </c>
      <c r="BCT29">
        <v>0.28122659999999999</v>
      </c>
      <c r="BCU29">
        <v>136246</v>
      </c>
      <c r="BCV29">
        <v>0.16468740000000001</v>
      </c>
      <c r="BCW29">
        <v>61002</v>
      </c>
      <c r="BCX29">
        <v>7.1063200000000007E-2</v>
      </c>
      <c r="BCY29">
        <v>61002</v>
      </c>
      <c r="BCZ29">
        <v>5.9473499999999999E-2</v>
      </c>
      <c r="BDA29">
        <v>61002</v>
      </c>
      <c r="BDB29">
        <v>0.38646269999999999</v>
      </c>
      <c r="BDC29">
        <v>61002</v>
      </c>
      <c r="BDD29">
        <v>0.21791089999999999</v>
      </c>
      <c r="BDE29">
        <v>61002</v>
      </c>
      <c r="BDF29">
        <v>5.5244099999999997E-2</v>
      </c>
      <c r="BDG29">
        <v>61002</v>
      </c>
      <c r="BDH29">
        <v>0.13215959999999999</v>
      </c>
      <c r="BDI29">
        <v>61002</v>
      </c>
      <c r="BDJ29">
        <v>7.7686000000000005E-2</v>
      </c>
      <c r="BDK29">
        <v>219685</v>
      </c>
      <c r="BDL29">
        <v>4.8801700000000003E-2</v>
      </c>
      <c r="BDM29">
        <v>10721</v>
      </c>
      <c r="BDN29">
        <v>0.79861950000000004</v>
      </c>
      <c r="BDO29">
        <v>8562</v>
      </c>
      <c r="BDP29">
        <v>0.67145529999999998</v>
      </c>
      <c r="BDQ29">
        <v>8562</v>
      </c>
      <c r="BDR29">
        <v>0.32854470000000002</v>
      </c>
      <c r="BDS29">
        <v>10721</v>
      </c>
      <c r="BDT29">
        <v>0.20138049999999999</v>
      </c>
      <c r="BDU29">
        <v>2159</v>
      </c>
      <c r="BDV29">
        <v>0.77072719999999995</v>
      </c>
      <c r="BDW29">
        <v>2159</v>
      </c>
      <c r="BDX29">
        <v>0.2292728</v>
      </c>
      <c r="BDY29">
        <v>219685</v>
      </c>
      <c r="BDZ29">
        <v>0.95119830000000005</v>
      </c>
      <c r="BEA29">
        <v>208964</v>
      </c>
      <c r="BEB29">
        <v>0.54343330000000001</v>
      </c>
      <c r="BEC29">
        <v>113558</v>
      </c>
      <c r="BED29">
        <v>0.74815509999999996</v>
      </c>
      <c r="BEE29">
        <v>113558</v>
      </c>
      <c r="BEF29">
        <v>0.25184489999999998</v>
      </c>
      <c r="BEG29">
        <v>208964</v>
      </c>
      <c r="BEH29">
        <v>0.45656669999999999</v>
      </c>
      <c r="BEI29">
        <v>95406</v>
      </c>
      <c r="BEJ29">
        <v>0.77564310000000003</v>
      </c>
      <c r="BEK29">
        <v>95406</v>
      </c>
      <c r="BEL29">
        <v>0.224357</v>
      </c>
      <c r="BEM29">
        <v>454598</v>
      </c>
      <c r="BEN29">
        <v>0.53741989999999995</v>
      </c>
      <c r="BEO29">
        <v>244310</v>
      </c>
      <c r="BEP29">
        <v>0.89204700000000003</v>
      </c>
      <c r="BEQ29">
        <v>217936</v>
      </c>
      <c r="BER29">
        <v>0.19077160000000001</v>
      </c>
      <c r="BES29">
        <v>217936</v>
      </c>
      <c r="BET29">
        <v>0.80922839999999996</v>
      </c>
      <c r="BEU29">
        <v>244310</v>
      </c>
      <c r="BEV29">
        <v>0.10795299999999999</v>
      </c>
      <c r="BEW29">
        <v>454598</v>
      </c>
      <c r="BEX29">
        <v>0.46258009999999999</v>
      </c>
      <c r="BEY29">
        <v>210288</v>
      </c>
      <c r="BEZ29">
        <v>0.8919435</v>
      </c>
      <c r="BFA29">
        <v>187565</v>
      </c>
      <c r="BFB29">
        <v>0.22225900000000001</v>
      </c>
      <c r="BFC29">
        <v>187565</v>
      </c>
      <c r="BFD29">
        <v>0.77774109999999996</v>
      </c>
      <c r="BFE29">
        <v>210288</v>
      </c>
      <c r="BFF29">
        <v>0.1080566</v>
      </c>
      <c r="BFG29">
        <v>450349</v>
      </c>
      <c r="BFH29">
        <v>0.25788220000000001</v>
      </c>
      <c r="BFI29">
        <v>116137</v>
      </c>
      <c r="BFJ29">
        <v>0.94928400000000002</v>
      </c>
      <c r="BFK29">
        <v>116137</v>
      </c>
      <c r="BFL29">
        <v>5.0715999999999997E-2</v>
      </c>
      <c r="BFM29">
        <v>5890</v>
      </c>
      <c r="BFN29">
        <v>0.19202040000000001</v>
      </c>
      <c r="BFO29">
        <v>5890</v>
      </c>
      <c r="BFP29">
        <v>0.80797960000000002</v>
      </c>
      <c r="BFQ29">
        <v>450349</v>
      </c>
      <c r="BFR29">
        <v>0.74211780000000005</v>
      </c>
      <c r="BFS29">
        <v>334212</v>
      </c>
      <c r="BFT29">
        <v>0.76997539999999998</v>
      </c>
      <c r="BFU29">
        <v>334212</v>
      </c>
      <c r="BFV29">
        <v>0.2300247</v>
      </c>
      <c r="BFW29">
        <v>76877</v>
      </c>
      <c r="BFX29">
        <v>0.49134329999999998</v>
      </c>
      <c r="BFY29">
        <v>76877</v>
      </c>
      <c r="BFZ29">
        <v>0.50865669999999996</v>
      </c>
      <c r="BGA29">
        <v>468415</v>
      </c>
      <c r="BGB29">
        <v>0.23778060000000001</v>
      </c>
      <c r="BGC29">
        <v>111380</v>
      </c>
      <c r="BGD29">
        <v>0.93042740000000002</v>
      </c>
      <c r="BGE29">
        <v>111380</v>
      </c>
      <c r="BGF29">
        <v>6.9572599999999998E-2</v>
      </c>
      <c r="BGG29">
        <v>7749</v>
      </c>
      <c r="BGH29">
        <v>0.18157180000000001</v>
      </c>
      <c r="BGI29">
        <v>7749</v>
      </c>
      <c r="BGJ29">
        <v>0.81842820000000005</v>
      </c>
      <c r="BGK29">
        <v>468415</v>
      </c>
      <c r="BGL29">
        <v>0.76221939999999999</v>
      </c>
      <c r="BGM29">
        <v>357035</v>
      </c>
      <c r="BGN29">
        <v>0.77260209999999996</v>
      </c>
      <c r="BGO29">
        <v>357035</v>
      </c>
      <c r="BGP29">
        <v>0.22739789999999999</v>
      </c>
      <c r="BGQ29">
        <v>81189</v>
      </c>
      <c r="BGR29">
        <v>0.5182968</v>
      </c>
      <c r="BGS29">
        <v>81189</v>
      </c>
      <c r="BGT29">
        <v>0.4817032</v>
      </c>
    </row>
    <row r="30" spans="1:1554" x14ac:dyDescent="0.25">
      <c r="A30" t="s">
        <v>135</v>
      </c>
      <c r="B30">
        <v>2011</v>
      </c>
      <c r="C30">
        <v>1</v>
      </c>
      <c r="D30" t="s">
        <v>554</v>
      </c>
      <c r="E30">
        <v>70073</v>
      </c>
      <c r="F30">
        <v>0.45693780000000001</v>
      </c>
      <c r="G30">
        <v>32019</v>
      </c>
      <c r="H30">
        <v>6.9833500000000007E-2</v>
      </c>
      <c r="I30">
        <v>32019</v>
      </c>
      <c r="J30">
        <v>2.6984000000000001E-2</v>
      </c>
      <c r="K30">
        <v>32019</v>
      </c>
      <c r="L30">
        <v>0.15646959999999999</v>
      </c>
      <c r="M30">
        <v>32019</v>
      </c>
      <c r="N30">
        <v>6.8865399999999993E-2</v>
      </c>
      <c r="O30">
        <v>32019</v>
      </c>
      <c r="P30">
        <v>1.44289E-2</v>
      </c>
      <c r="Q30">
        <v>32019</v>
      </c>
      <c r="R30">
        <v>4.7534300000000002E-2</v>
      </c>
      <c r="S30">
        <v>32019</v>
      </c>
      <c r="T30">
        <v>0.14856800000000001</v>
      </c>
      <c r="U30">
        <v>32019</v>
      </c>
      <c r="V30">
        <v>0.1237703</v>
      </c>
      <c r="W30">
        <v>32019</v>
      </c>
      <c r="X30">
        <v>0.1127768</v>
      </c>
      <c r="Y30">
        <v>32019</v>
      </c>
      <c r="Z30">
        <v>8.7260699999999997E-2</v>
      </c>
      <c r="AA30">
        <v>32019</v>
      </c>
      <c r="AB30">
        <v>0.1027827</v>
      </c>
      <c r="AC30">
        <v>32019</v>
      </c>
      <c r="AD30">
        <v>2.0237999999999999E-2</v>
      </c>
      <c r="AE30">
        <v>32019</v>
      </c>
      <c r="AF30">
        <v>2.04878E-2</v>
      </c>
      <c r="AG30">
        <v>70073</v>
      </c>
      <c r="AH30">
        <v>0.54306220000000005</v>
      </c>
      <c r="AI30">
        <v>38054</v>
      </c>
      <c r="AJ30">
        <v>0.1107899</v>
      </c>
      <c r="AK30">
        <v>38054</v>
      </c>
      <c r="AL30">
        <v>3.2532699999999998E-2</v>
      </c>
      <c r="AM30">
        <v>38054</v>
      </c>
      <c r="AN30">
        <v>9.4050599999999998E-2</v>
      </c>
      <c r="AO30">
        <v>38054</v>
      </c>
      <c r="AP30">
        <v>3.5948899999999999E-2</v>
      </c>
      <c r="AQ30">
        <v>38054</v>
      </c>
      <c r="AR30">
        <v>1.88679E-2</v>
      </c>
      <c r="AS30">
        <v>38054</v>
      </c>
      <c r="AT30">
        <v>5.5053299999999999E-2</v>
      </c>
      <c r="AU30">
        <v>38054</v>
      </c>
      <c r="AV30">
        <v>0.1121827</v>
      </c>
      <c r="AW30">
        <v>38054</v>
      </c>
      <c r="AX30">
        <v>0.1437957</v>
      </c>
      <c r="AY30">
        <v>38054</v>
      </c>
      <c r="AZ30">
        <v>0.13420399999999999</v>
      </c>
      <c r="BA30">
        <v>38054</v>
      </c>
      <c r="BB30">
        <v>9.0555499999999997E-2</v>
      </c>
      <c r="BC30">
        <v>38054</v>
      </c>
      <c r="BD30">
        <v>8.0490900000000004E-2</v>
      </c>
      <c r="BE30">
        <v>38054</v>
      </c>
      <c r="BF30">
        <v>3.1507899999999998E-2</v>
      </c>
      <c r="BG30">
        <v>38054</v>
      </c>
      <c r="BH30">
        <v>6.0019999999999997E-2</v>
      </c>
      <c r="BI30">
        <v>840605</v>
      </c>
      <c r="BJ30">
        <v>0.49316270000000001</v>
      </c>
      <c r="BK30">
        <v>414555</v>
      </c>
      <c r="BL30">
        <v>6.0966600000000003E-2</v>
      </c>
      <c r="BM30">
        <v>414555</v>
      </c>
      <c r="BN30">
        <v>1.38534E-2</v>
      </c>
      <c r="BO30">
        <v>414555</v>
      </c>
      <c r="BP30">
        <v>8.2802000000000001E-2</v>
      </c>
      <c r="BQ30">
        <v>414555</v>
      </c>
      <c r="BR30">
        <v>3.9714899999999997E-2</v>
      </c>
      <c r="BS30">
        <v>414555</v>
      </c>
      <c r="BT30">
        <v>1.42273E-2</v>
      </c>
      <c r="BU30">
        <v>414555</v>
      </c>
      <c r="BV30">
        <v>3.2866600000000003E-2</v>
      </c>
      <c r="BW30">
        <v>414555</v>
      </c>
      <c r="BX30">
        <v>8.1617599999999998E-2</v>
      </c>
      <c r="BY30">
        <v>414555</v>
      </c>
      <c r="BZ30">
        <v>0.1337265</v>
      </c>
      <c r="CA30">
        <v>414555</v>
      </c>
      <c r="CB30">
        <v>0.138879</v>
      </c>
      <c r="CC30">
        <v>414555</v>
      </c>
      <c r="CD30">
        <v>0.16347890000000001</v>
      </c>
      <c r="CE30">
        <v>414555</v>
      </c>
      <c r="CF30">
        <v>0.13071369999999999</v>
      </c>
      <c r="CG30">
        <v>414555</v>
      </c>
      <c r="CH30">
        <v>6.5943000000000002E-2</v>
      </c>
      <c r="CI30">
        <v>414555</v>
      </c>
      <c r="CJ30">
        <v>4.1210499999999997E-2</v>
      </c>
      <c r="CK30">
        <v>840605</v>
      </c>
      <c r="CL30">
        <v>0.50683730000000005</v>
      </c>
      <c r="CM30">
        <v>426050</v>
      </c>
      <c r="CN30">
        <v>5.6291500000000001E-2</v>
      </c>
      <c r="CO30">
        <v>426050</v>
      </c>
      <c r="CP30">
        <v>1.0510500000000001E-2</v>
      </c>
      <c r="CQ30">
        <v>426050</v>
      </c>
      <c r="CR30">
        <v>8.1621899999999997E-2</v>
      </c>
      <c r="CS30">
        <v>426050</v>
      </c>
      <c r="CT30">
        <v>3.9279399999999999E-2</v>
      </c>
      <c r="CU30">
        <v>426050</v>
      </c>
      <c r="CV30">
        <v>1.14447E-2</v>
      </c>
      <c r="CW30">
        <v>426050</v>
      </c>
      <c r="CX30">
        <v>2.9238400000000001E-2</v>
      </c>
      <c r="CY30">
        <v>426050</v>
      </c>
      <c r="CZ30">
        <v>6.9832199999999997E-2</v>
      </c>
      <c r="DA30">
        <v>426050</v>
      </c>
      <c r="DB30">
        <v>0.12641469999999999</v>
      </c>
      <c r="DC30">
        <v>426050</v>
      </c>
      <c r="DD30">
        <v>0.13623279999999999</v>
      </c>
      <c r="DE30">
        <v>426050</v>
      </c>
      <c r="DF30">
        <v>0.17055980000000001</v>
      </c>
      <c r="DG30">
        <v>426050</v>
      </c>
      <c r="DH30">
        <v>0.13524700000000001</v>
      </c>
      <c r="DI30">
        <v>426050</v>
      </c>
      <c r="DJ30">
        <v>7.1010400000000001E-2</v>
      </c>
      <c r="DK30">
        <v>426050</v>
      </c>
      <c r="DL30">
        <v>6.23166E-2</v>
      </c>
      <c r="DM30">
        <v>613918</v>
      </c>
      <c r="DN30">
        <v>5.78807E-2</v>
      </c>
      <c r="DO30">
        <v>35534</v>
      </c>
      <c r="DP30">
        <v>0.42108960000000001</v>
      </c>
      <c r="DQ30">
        <v>294353</v>
      </c>
      <c r="DR30">
        <v>5.0833499999999997E-2</v>
      </c>
      <c r="DS30">
        <v>14963</v>
      </c>
      <c r="DT30">
        <v>0.2162</v>
      </c>
      <c r="DU30">
        <v>21521</v>
      </c>
      <c r="DV30">
        <v>0.15031829999999999</v>
      </c>
      <c r="DW30">
        <v>14963</v>
      </c>
      <c r="DX30">
        <v>0.28383340000000001</v>
      </c>
      <c r="DY30">
        <v>56709</v>
      </c>
      <c r="DZ30">
        <v>7.4891100000000002E-2</v>
      </c>
      <c r="EA30">
        <v>14963</v>
      </c>
      <c r="EB30">
        <v>0.28804380000000002</v>
      </c>
      <c r="EC30">
        <v>77213</v>
      </c>
      <c r="ED30">
        <v>5.5819599999999997E-2</v>
      </c>
      <c r="EE30">
        <v>14963</v>
      </c>
      <c r="EF30">
        <v>0.21192269999999999</v>
      </c>
      <c r="EG30">
        <v>138910</v>
      </c>
      <c r="EH30">
        <v>2.2827699999999999E-2</v>
      </c>
      <c r="EI30">
        <v>35534</v>
      </c>
      <c r="EJ30">
        <v>0.57891040000000005</v>
      </c>
      <c r="EK30">
        <v>319565</v>
      </c>
      <c r="EL30">
        <v>6.4371899999999996E-2</v>
      </c>
      <c r="EM30">
        <v>20571</v>
      </c>
      <c r="EN30">
        <v>0.22517139999999999</v>
      </c>
      <c r="EO30">
        <v>25953</v>
      </c>
      <c r="EP30">
        <v>0.17847650000000001</v>
      </c>
      <c r="EQ30">
        <v>20571</v>
      </c>
      <c r="ER30">
        <v>0.27903359999999999</v>
      </c>
      <c r="ES30">
        <v>65124</v>
      </c>
      <c r="ET30">
        <v>8.8139499999999996E-2</v>
      </c>
      <c r="EU30">
        <v>20571</v>
      </c>
      <c r="EV30">
        <v>0.2790822</v>
      </c>
      <c r="EW30">
        <v>88592</v>
      </c>
      <c r="EX30">
        <v>6.4802700000000005E-2</v>
      </c>
      <c r="EY30">
        <v>20571</v>
      </c>
      <c r="EZ30">
        <v>0.21671280000000001</v>
      </c>
      <c r="FA30">
        <v>139896</v>
      </c>
      <c r="FB30">
        <v>3.1866499999999999E-2</v>
      </c>
      <c r="FC30">
        <v>613918</v>
      </c>
      <c r="FD30">
        <v>0.94211929999999999</v>
      </c>
      <c r="FE30">
        <v>578384</v>
      </c>
      <c r="FF30">
        <v>0.4830528</v>
      </c>
      <c r="FG30">
        <v>294353</v>
      </c>
      <c r="FH30">
        <v>0.94916650000000002</v>
      </c>
      <c r="FI30">
        <v>279390</v>
      </c>
      <c r="FJ30">
        <v>6.54497E-2</v>
      </c>
      <c r="FK30">
        <v>21521</v>
      </c>
      <c r="FL30">
        <v>0.84968169999999998</v>
      </c>
      <c r="FM30">
        <v>279390</v>
      </c>
      <c r="FN30">
        <v>0.18777340000000001</v>
      </c>
      <c r="FO30">
        <v>56709</v>
      </c>
      <c r="FP30">
        <v>0.92510890000000001</v>
      </c>
      <c r="FQ30">
        <v>279390</v>
      </c>
      <c r="FR30">
        <v>0.26093630000000001</v>
      </c>
      <c r="FS30">
        <v>77213</v>
      </c>
      <c r="FT30">
        <v>0.94418040000000003</v>
      </c>
      <c r="FU30">
        <v>279390</v>
      </c>
      <c r="FV30">
        <v>0.48584060000000001</v>
      </c>
      <c r="FW30">
        <v>138910</v>
      </c>
      <c r="FX30">
        <v>0.97717229999999999</v>
      </c>
      <c r="FY30">
        <v>578384</v>
      </c>
      <c r="FZ30">
        <v>0.51694720000000005</v>
      </c>
      <c r="GA30">
        <v>319565</v>
      </c>
      <c r="GB30">
        <v>0.93562809999999996</v>
      </c>
      <c r="GC30">
        <v>298994</v>
      </c>
      <c r="GD30">
        <v>7.13091E-2</v>
      </c>
      <c r="GE30">
        <v>25953</v>
      </c>
      <c r="GF30">
        <v>0.82152349999999996</v>
      </c>
      <c r="GG30">
        <v>298994</v>
      </c>
      <c r="GH30">
        <v>0.1986127</v>
      </c>
      <c r="GI30">
        <v>65124</v>
      </c>
      <c r="GJ30">
        <v>0.91186049999999996</v>
      </c>
      <c r="GK30">
        <v>298994</v>
      </c>
      <c r="GL30">
        <v>0.27709919999999999</v>
      </c>
      <c r="GM30">
        <v>88592</v>
      </c>
      <c r="GN30">
        <v>0.93519730000000001</v>
      </c>
      <c r="GO30">
        <v>298994</v>
      </c>
      <c r="GP30">
        <v>0.45297900000000002</v>
      </c>
      <c r="GQ30">
        <v>139896</v>
      </c>
      <c r="GR30">
        <v>0.96813340000000003</v>
      </c>
      <c r="GS30">
        <v>716230</v>
      </c>
      <c r="GT30">
        <v>6.7264699999999997E-2</v>
      </c>
      <c r="GU30">
        <v>48177</v>
      </c>
      <c r="GV30">
        <v>0.44091580000000002</v>
      </c>
      <c r="GW30">
        <v>21242</v>
      </c>
      <c r="GX30">
        <v>0.14956220000000001</v>
      </c>
      <c r="GY30">
        <v>21242</v>
      </c>
      <c r="GZ30">
        <v>0.38249699999999998</v>
      </c>
      <c r="HA30">
        <v>21242</v>
      </c>
      <c r="HB30">
        <v>0.46794089999999999</v>
      </c>
      <c r="HC30">
        <v>21242</v>
      </c>
      <c r="HD30">
        <v>0.5866209</v>
      </c>
      <c r="HE30">
        <v>21242</v>
      </c>
      <c r="HF30">
        <v>0.4133792</v>
      </c>
      <c r="HG30">
        <v>12461</v>
      </c>
      <c r="HH30">
        <v>0.71695690000000001</v>
      </c>
      <c r="HI30">
        <v>12461</v>
      </c>
      <c r="HJ30">
        <v>0.28304309999999999</v>
      </c>
      <c r="HK30">
        <v>48177</v>
      </c>
      <c r="HL30">
        <v>0.55908420000000003</v>
      </c>
      <c r="HM30">
        <v>26935</v>
      </c>
      <c r="HN30">
        <v>6.8498199999999995E-2</v>
      </c>
      <c r="HO30">
        <v>26935</v>
      </c>
      <c r="HP30">
        <v>0.40701690000000001</v>
      </c>
      <c r="HQ30">
        <v>26935</v>
      </c>
      <c r="HR30">
        <v>0.52448490000000003</v>
      </c>
      <c r="HS30">
        <v>26935</v>
      </c>
      <c r="HT30">
        <v>0.52069799999999999</v>
      </c>
      <c r="HU30">
        <v>26935</v>
      </c>
      <c r="HV30">
        <v>0.47930200000000001</v>
      </c>
      <c r="HW30">
        <v>14025</v>
      </c>
      <c r="HX30">
        <v>0.68691619999999998</v>
      </c>
      <c r="HY30">
        <v>14025</v>
      </c>
      <c r="HZ30">
        <v>0.31308380000000002</v>
      </c>
      <c r="IA30">
        <v>716230</v>
      </c>
      <c r="IB30">
        <v>0.93273530000000004</v>
      </c>
      <c r="IC30">
        <v>668053</v>
      </c>
      <c r="ID30">
        <v>0.48925760000000001</v>
      </c>
      <c r="IE30">
        <v>326850</v>
      </c>
      <c r="IF30">
        <v>0.56509719999999997</v>
      </c>
      <c r="IG30">
        <v>326850</v>
      </c>
      <c r="IH30">
        <v>0.2292305</v>
      </c>
      <c r="II30">
        <v>326850</v>
      </c>
      <c r="IJ30">
        <v>0.2056723</v>
      </c>
      <c r="IK30">
        <v>326448</v>
      </c>
      <c r="IL30">
        <v>0.79850699999999997</v>
      </c>
      <c r="IM30">
        <v>326448</v>
      </c>
      <c r="IN30">
        <v>0.20149300000000001</v>
      </c>
      <c r="IO30">
        <v>260671</v>
      </c>
      <c r="IP30">
        <v>0.91180459999999997</v>
      </c>
      <c r="IQ30">
        <v>260671</v>
      </c>
      <c r="IR30">
        <v>8.8195499999999996E-2</v>
      </c>
      <c r="IS30">
        <v>668053</v>
      </c>
      <c r="IT30">
        <v>0.51074240000000004</v>
      </c>
      <c r="IU30">
        <v>341203</v>
      </c>
      <c r="IV30">
        <v>0.40080250000000001</v>
      </c>
      <c r="IW30">
        <v>341203</v>
      </c>
      <c r="IX30">
        <v>0.282055</v>
      </c>
      <c r="IY30">
        <v>341203</v>
      </c>
      <c r="IZ30">
        <v>0.3171426</v>
      </c>
      <c r="JA30">
        <v>341203</v>
      </c>
      <c r="JB30">
        <v>0.66658260000000003</v>
      </c>
      <c r="JC30">
        <v>341203</v>
      </c>
      <c r="JD30">
        <v>0.33341739999999997</v>
      </c>
      <c r="JE30">
        <v>227440</v>
      </c>
      <c r="JF30">
        <v>0.92691699999999999</v>
      </c>
      <c r="JG30">
        <v>227440</v>
      </c>
      <c r="JH30">
        <v>7.3082999999999995E-2</v>
      </c>
      <c r="JI30">
        <v>239338</v>
      </c>
      <c r="JJ30">
        <v>7.6327199999999998E-2</v>
      </c>
      <c r="JK30">
        <v>18268</v>
      </c>
      <c r="JL30">
        <v>0.57652720000000002</v>
      </c>
      <c r="JM30">
        <v>10532</v>
      </c>
      <c r="JN30">
        <v>0.72977590000000003</v>
      </c>
      <c r="JO30">
        <v>10532</v>
      </c>
      <c r="JP30">
        <v>0.72977590000000003</v>
      </c>
      <c r="JQ30">
        <v>10532</v>
      </c>
      <c r="JR30">
        <v>0.72977590000000003</v>
      </c>
      <c r="JS30">
        <v>10532</v>
      </c>
      <c r="JT30">
        <v>0.72977590000000003</v>
      </c>
      <c r="JU30">
        <v>10532</v>
      </c>
      <c r="JV30">
        <v>0.27022410000000002</v>
      </c>
      <c r="JW30">
        <v>18268</v>
      </c>
      <c r="JX30">
        <v>0.42347269999999998</v>
      </c>
      <c r="JY30">
        <v>7736</v>
      </c>
      <c r="JZ30">
        <v>0.23539299999999999</v>
      </c>
      <c r="KA30">
        <v>1821</v>
      </c>
      <c r="KB30">
        <v>0.76606260000000004</v>
      </c>
      <c r="KC30">
        <v>1395</v>
      </c>
      <c r="KD30">
        <v>0.14695340000000001</v>
      </c>
      <c r="KE30">
        <v>1395</v>
      </c>
      <c r="KF30">
        <v>0.20143369999999999</v>
      </c>
      <c r="KG30">
        <v>1395</v>
      </c>
      <c r="KH30">
        <v>0.65161290000000005</v>
      </c>
      <c r="KI30">
        <v>1821</v>
      </c>
      <c r="KJ30">
        <v>0.23393739999999999</v>
      </c>
      <c r="KK30">
        <v>7736</v>
      </c>
      <c r="KL30">
        <v>0.76460700000000004</v>
      </c>
      <c r="KM30">
        <v>5915</v>
      </c>
      <c r="KN30">
        <v>0.83956039999999998</v>
      </c>
      <c r="KO30">
        <v>4966</v>
      </c>
      <c r="KP30">
        <v>3.5843699999999999E-2</v>
      </c>
      <c r="KQ30">
        <v>4966</v>
      </c>
      <c r="KR30">
        <v>0.1604913</v>
      </c>
      <c r="KS30">
        <v>4966</v>
      </c>
      <c r="KT30">
        <v>0.80366490000000002</v>
      </c>
      <c r="KU30">
        <v>5915</v>
      </c>
      <c r="KV30">
        <v>0.16043959999999999</v>
      </c>
      <c r="KW30">
        <v>239338</v>
      </c>
      <c r="KX30">
        <v>1.5810299999999999E-2</v>
      </c>
      <c r="KY30">
        <v>3784</v>
      </c>
      <c r="KZ30">
        <v>0.653277</v>
      </c>
      <c r="LA30">
        <v>2472</v>
      </c>
      <c r="LB30">
        <v>0.52508089999999996</v>
      </c>
      <c r="LC30">
        <v>2472</v>
      </c>
      <c r="LD30">
        <v>0.52508089999999996</v>
      </c>
      <c r="LE30">
        <v>2472</v>
      </c>
      <c r="LF30">
        <v>0.52508089999999996</v>
      </c>
      <c r="LG30">
        <v>2472</v>
      </c>
      <c r="LH30">
        <v>0.52508089999999996</v>
      </c>
      <c r="LI30">
        <v>2472</v>
      </c>
      <c r="LJ30">
        <v>0.47491909999999998</v>
      </c>
      <c r="LK30">
        <v>3784</v>
      </c>
      <c r="LL30">
        <v>0.346723</v>
      </c>
      <c r="LM30">
        <v>1312</v>
      </c>
      <c r="LN30">
        <v>0.2545732</v>
      </c>
      <c r="LO30">
        <v>334</v>
      </c>
      <c r="LP30">
        <v>0.37125750000000002</v>
      </c>
      <c r="LQ30">
        <v>124</v>
      </c>
      <c r="LR30">
        <v>0</v>
      </c>
      <c r="LS30">
        <v>124</v>
      </c>
      <c r="LT30">
        <v>0.55645160000000005</v>
      </c>
      <c r="LU30">
        <v>124</v>
      </c>
      <c r="LV30">
        <v>0.44354840000000001</v>
      </c>
      <c r="LW30">
        <v>334</v>
      </c>
      <c r="LX30">
        <v>0.62874249999999998</v>
      </c>
      <c r="LY30">
        <v>1312</v>
      </c>
      <c r="LZ30">
        <v>0.74542679999999995</v>
      </c>
      <c r="MA30">
        <v>978</v>
      </c>
      <c r="MB30">
        <v>0.85991819999999997</v>
      </c>
      <c r="MC30">
        <v>841</v>
      </c>
      <c r="MD30">
        <v>0.2984542</v>
      </c>
      <c r="ME30">
        <v>841</v>
      </c>
      <c r="MF30">
        <v>6.6587400000000005E-2</v>
      </c>
      <c r="MG30">
        <v>841</v>
      </c>
      <c r="MH30">
        <v>0.63495840000000003</v>
      </c>
      <c r="MI30">
        <v>978</v>
      </c>
      <c r="MJ30">
        <v>0.14008180000000001</v>
      </c>
      <c r="MK30">
        <v>239338</v>
      </c>
      <c r="ML30">
        <v>3.5606499999999999E-2</v>
      </c>
      <c r="MM30">
        <v>8522</v>
      </c>
      <c r="MN30">
        <v>0.72436049999999996</v>
      </c>
      <c r="MO30">
        <v>6173</v>
      </c>
      <c r="MP30">
        <v>0.5870727</v>
      </c>
      <c r="MQ30">
        <v>6173</v>
      </c>
      <c r="MR30">
        <v>0.5870727</v>
      </c>
      <c r="MS30">
        <v>6173</v>
      </c>
      <c r="MT30">
        <v>0.5870727</v>
      </c>
      <c r="MU30">
        <v>6173</v>
      </c>
      <c r="MV30">
        <v>0.5870727</v>
      </c>
      <c r="MW30">
        <v>6173</v>
      </c>
      <c r="MX30">
        <v>0.4129273</v>
      </c>
      <c r="MY30">
        <v>8522</v>
      </c>
      <c r="MZ30">
        <v>0.27563949999999998</v>
      </c>
      <c r="NA30">
        <v>2349</v>
      </c>
      <c r="NB30">
        <v>0.18518519999999999</v>
      </c>
      <c r="NC30">
        <v>435</v>
      </c>
      <c r="ND30">
        <v>0.42758620000000003</v>
      </c>
      <c r="NE30">
        <v>186</v>
      </c>
      <c r="NF30">
        <v>0</v>
      </c>
      <c r="NG30">
        <v>186</v>
      </c>
      <c r="NH30">
        <v>1</v>
      </c>
      <c r="NI30">
        <v>186</v>
      </c>
      <c r="NJ30">
        <v>0</v>
      </c>
      <c r="NK30">
        <v>435</v>
      </c>
      <c r="NL30">
        <v>0.57241379999999997</v>
      </c>
      <c r="NM30">
        <v>2349</v>
      </c>
      <c r="NN30">
        <v>0.81481479999999995</v>
      </c>
      <c r="NO30">
        <v>1914</v>
      </c>
      <c r="NP30">
        <v>0.66718909999999998</v>
      </c>
      <c r="NQ30">
        <v>1277</v>
      </c>
      <c r="NR30">
        <v>0.24588879999999999</v>
      </c>
      <c r="NS30">
        <v>1277</v>
      </c>
      <c r="NT30">
        <v>7.8308500000000003E-2</v>
      </c>
      <c r="NU30">
        <v>1277</v>
      </c>
      <c r="NV30">
        <v>0.67580260000000003</v>
      </c>
      <c r="NW30">
        <v>1914</v>
      </c>
      <c r="NX30">
        <v>0.33281090000000002</v>
      </c>
      <c r="NY30">
        <v>239338</v>
      </c>
      <c r="NZ30">
        <v>0.87225600000000003</v>
      </c>
      <c r="OA30">
        <v>208764</v>
      </c>
      <c r="OB30">
        <v>0.83538829999999997</v>
      </c>
      <c r="OC30">
        <v>174399</v>
      </c>
      <c r="OD30">
        <v>0.43831100000000001</v>
      </c>
      <c r="OE30">
        <v>174399</v>
      </c>
      <c r="OF30">
        <v>0.43831100000000001</v>
      </c>
      <c r="OG30">
        <v>174399</v>
      </c>
      <c r="OH30">
        <v>0.43831100000000001</v>
      </c>
      <c r="OI30">
        <v>174399</v>
      </c>
      <c r="OJ30">
        <v>0.43831100000000001</v>
      </c>
      <c r="OK30">
        <v>174399</v>
      </c>
      <c r="OL30">
        <v>0.56168899999999999</v>
      </c>
      <c r="OM30">
        <v>208764</v>
      </c>
      <c r="ON30">
        <v>0.1646117</v>
      </c>
      <c r="OO30">
        <v>34365</v>
      </c>
      <c r="OP30">
        <v>0.30795869999999997</v>
      </c>
      <c r="OQ30">
        <v>10583</v>
      </c>
      <c r="OR30">
        <v>0.46121139999999999</v>
      </c>
      <c r="OS30">
        <v>4881</v>
      </c>
      <c r="OT30">
        <v>0.25752920000000001</v>
      </c>
      <c r="OU30">
        <v>4881</v>
      </c>
      <c r="OV30">
        <v>2.8682599999999999E-2</v>
      </c>
      <c r="OW30">
        <v>4881</v>
      </c>
      <c r="OX30">
        <v>0.71378819999999998</v>
      </c>
      <c r="OY30">
        <v>10583</v>
      </c>
      <c r="OZ30">
        <v>0.53878859999999995</v>
      </c>
      <c r="PA30">
        <v>34365</v>
      </c>
      <c r="PB30">
        <v>0.69204129999999997</v>
      </c>
      <c r="PC30">
        <v>23782</v>
      </c>
      <c r="PD30">
        <v>0.48734339999999998</v>
      </c>
      <c r="PE30">
        <v>11590</v>
      </c>
      <c r="PF30">
        <v>0.14270920000000001</v>
      </c>
      <c r="PG30">
        <v>11590</v>
      </c>
      <c r="PH30">
        <v>5.2545300000000003E-2</v>
      </c>
      <c r="PI30">
        <v>11590</v>
      </c>
      <c r="PJ30">
        <v>0.8047455</v>
      </c>
      <c r="PK30">
        <v>23782</v>
      </c>
      <c r="PL30">
        <v>0.51265660000000002</v>
      </c>
      <c r="PM30">
        <v>923222</v>
      </c>
      <c r="PN30">
        <v>0.48948140000000001</v>
      </c>
      <c r="PO30">
        <v>451900</v>
      </c>
      <c r="PP30">
        <v>6.09759E-2</v>
      </c>
      <c r="PQ30">
        <v>451900</v>
      </c>
      <c r="PR30">
        <v>7.2241600000000003E-2</v>
      </c>
      <c r="PS30">
        <v>451900</v>
      </c>
      <c r="PT30">
        <v>7.1422899999999998E-2</v>
      </c>
      <c r="PU30">
        <v>451900</v>
      </c>
      <c r="PV30">
        <v>4.7771599999999997E-2</v>
      </c>
      <c r="PW30">
        <v>451900</v>
      </c>
      <c r="PX30">
        <v>2.9223300000000001E-2</v>
      </c>
      <c r="PY30">
        <v>451900</v>
      </c>
      <c r="PZ30">
        <v>1.09958E-2</v>
      </c>
      <c r="QA30">
        <v>451900</v>
      </c>
      <c r="QB30">
        <v>1.10046E-2</v>
      </c>
      <c r="QC30">
        <v>451900</v>
      </c>
      <c r="QD30">
        <v>3.8946700000000001E-2</v>
      </c>
      <c r="QE30">
        <v>451900</v>
      </c>
      <c r="QF30">
        <v>6.8316000000000002E-2</v>
      </c>
      <c r="QG30">
        <v>451900</v>
      </c>
      <c r="QH30">
        <v>6.4638200000000007E-2</v>
      </c>
      <c r="QI30">
        <v>451900</v>
      </c>
      <c r="QJ30">
        <v>6.7191899999999999E-2</v>
      </c>
      <c r="QK30">
        <v>451900</v>
      </c>
      <c r="QL30">
        <v>6.83116E-2</v>
      </c>
      <c r="QM30">
        <v>451900</v>
      </c>
      <c r="QN30">
        <v>7.7074599999999993E-2</v>
      </c>
      <c r="QO30">
        <v>451900</v>
      </c>
      <c r="QP30">
        <v>8.0219100000000002E-2</v>
      </c>
      <c r="QQ30">
        <v>451900</v>
      </c>
      <c r="QR30">
        <v>7.1664099999999994E-2</v>
      </c>
      <c r="QS30">
        <v>451900</v>
      </c>
      <c r="QT30">
        <v>2.5282099999999998E-2</v>
      </c>
      <c r="QU30">
        <v>451900</v>
      </c>
      <c r="QV30">
        <v>3.07856E-2</v>
      </c>
      <c r="QW30">
        <v>451900</v>
      </c>
      <c r="QX30">
        <v>2.0504499999999998E-2</v>
      </c>
      <c r="QY30">
        <v>451900</v>
      </c>
      <c r="QZ30">
        <v>2.0703699999999998E-2</v>
      </c>
      <c r="RA30">
        <v>451900</v>
      </c>
      <c r="RB30">
        <v>2.1462700000000001E-2</v>
      </c>
      <c r="RC30">
        <v>451900</v>
      </c>
      <c r="RD30">
        <v>1.6959499999999999E-2</v>
      </c>
      <c r="RE30">
        <v>451900</v>
      </c>
      <c r="RF30">
        <v>1.2208500000000001E-2</v>
      </c>
      <c r="RG30">
        <v>451900</v>
      </c>
      <c r="RH30">
        <v>1.20956E-2</v>
      </c>
      <c r="RI30">
        <v>923222</v>
      </c>
      <c r="RJ30">
        <v>0.51051860000000004</v>
      </c>
      <c r="RK30">
        <v>471322</v>
      </c>
      <c r="RL30">
        <v>6.0012000000000003E-2</v>
      </c>
      <c r="RM30">
        <v>471322</v>
      </c>
      <c r="RN30">
        <v>6.9610599999999995E-2</v>
      </c>
      <c r="RO30">
        <v>471322</v>
      </c>
      <c r="RP30">
        <v>6.3461900000000002E-2</v>
      </c>
      <c r="RQ30">
        <v>471322</v>
      </c>
      <c r="RR30">
        <v>4.2964299999999997E-2</v>
      </c>
      <c r="RS30">
        <v>471322</v>
      </c>
      <c r="RT30">
        <v>2.44716E-2</v>
      </c>
      <c r="RU30">
        <v>471322</v>
      </c>
      <c r="RV30">
        <v>1.04154E-2</v>
      </c>
      <c r="RW30">
        <v>471322</v>
      </c>
      <c r="RX30">
        <v>1.04133E-2</v>
      </c>
      <c r="RY30">
        <v>471322</v>
      </c>
      <c r="RZ30">
        <v>3.36628E-2</v>
      </c>
      <c r="SA30">
        <v>471322</v>
      </c>
      <c r="SB30">
        <v>6.3073699999999996E-2</v>
      </c>
      <c r="SC30">
        <v>471322</v>
      </c>
      <c r="SD30">
        <v>6.28084E-2</v>
      </c>
      <c r="SE30">
        <v>471322</v>
      </c>
      <c r="SF30">
        <v>6.2401100000000001E-2</v>
      </c>
      <c r="SG30">
        <v>471322</v>
      </c>
      <c r="SH30">
        <v>7.1921100000000002E-2</v>
      </c>
      <c r="SI30">
        <v>471322</v>
      </c>
      <c r="SJ30">
        <v>7.9434000000000005E-2</v>
      </c>
      <c r="SK30">
        <v>471322</v>
      </c>
      <c r="SL30">
        <v>8.2117999999999997E-2</v>
      </c>
      <c r="SM30">
        <v>471322</v>
      </c>
      <c r="SN30">
        <v>7.2457900000000006E-2</v>
      </c>
      <c r="SO30">
        <v>471322</v>
      </c>
      <c r="SP30">
        <v>2.48641E-2</v>
      </c>
      <c r="SQ30">
        <v>471322</v>
      </c>
      <c r="SR30">
        <v>3.19739E-2</v>
      </c>
      <c r="SS30">
        <v>471322</v>
      </c>
      <c r="ST30">
        <v>1.75634E-2</v>
      </c>
      <c r="SU30">
        <v>471322</v>
      </c>
      <c r="SV30">
        <v>2.1768599999999999E-2</v>
      </c>
      <c r="SW30">
        <v>471322</v>
      </c>
      <c r="SX30">
        <v>2.8078499999999999E-2</v>
      </c>
      <c r="SY30">
        <v>471322</v>
      </c>
      <c r="SZ30">
        <v>2.2269299999999999E-2</v>
      </c>
      <c r="TA30">
        <v>471322</v>
      </c>
      <c r="TB30">
        <v>1.69926E-2</v>
      </c>
      <c r="TC30">
        <v>471322</v>
      </c>
      <c r="TD30">
        <v>2.7263699999999998E-2</v>
      </c>
      <c r="TE30">
        <v>743229</v>
      </c>
      <c r="TF30">
        <v>0.49106939999999999</v>
      </c>
      <c r="TG30">
        <v>42836</v>
      </c>
      <c r="TH30">
        <v>0.46001029999999998</v>
      </c>
      <c r="TI30"/>
      <c r="TJ30"/>
      <c r="TK30">
        <v>93438</v>
      </c>
      <c r="TL30">
        <v>0.47858469999999997</v>
      </c>
      <c r="TM30"/>
      <c r="TN30"/>
      <c r="TO30">
        <v>22103</v>
      </c>
      <c r="TP30">
        <v>0.54268649999999996</v>
      </c>
      <c r="TQ30">
        <v>20463</v>
      </c>
      <c r="TR30">
        <v>0.4797439</v>
      </c>
      <c r="TS30">
        <v>642745</v>
      </c>
      <c r="TT30">
        <v>0.4878016</v>
      </c>
      <c r="TU30">
        <v>125814</v>
      </c>
      <c r="TV30">
        <v>0.5182253</v>
      </c>
      <c r="TW30">
        <v>743229</v>
      </c>
      <c r="TX30">
        <v>0.50893060000000001</v>
      </c>
      <c r="TY30">
        <v>42836</v>
      </c>
      <c r="TZ30">
        <v>0.53998970000000002</v>
      </c>
      <c r="UA30"/>
      <c r="UB30"/>
      <c r="UC30">
        <v>93438</v>
      </c>
      <c r="UD30">
        <v>0.52141530000000003</v>
      </c>
      <c r="UE30"/>
      <c r="UF30"/>
      <c r="UG30">
        <v>22103</v>
      </c>
      <c r="UH30">
        <v>0.45731349999999998</v>
      </c>
      <c r="UI30">
        <v>20463</v>
      </c>
      <c r="UJ30">
        <v>0.52025600000000005</v>
      </c>
      <c r="UK30">
        <v>642745</v>
      </c>
      <c r="UL30">
        <v>0.51219840000000005</v>
      </c>
      <c r="UM30">
        <v>125814</v>
      </c>
      <c r="UN30">
        <v>0.4817747</v>
      </c>
      <c r="UO30">
        <v>225007</v>
      </c>
      <c r="UP30">
        <v>225007</v>
      </c>
      <c r="UQ30">
        <v>225007</v>
      </c>
      <c r="UR30">
        <v>199506</v>
      </c>
      <c r="US30">
        <v>199506</v>
      </c>
      <c r="UT30">
        <v>199506</v>
      </c>
      <c r="UU30">
        <v>1.5154999999999999E-3</v>
      </c>
      <c r="UV30">
        <v>0.91957580000000005</v>
      </c>
      <c r="UW30">
        <v>7.8908699999999998E-2</v>
      </c>
      <c r="UX30">
        <v>0</v>
      </c>
      <c r="UY30">
        <v>0.92242840000000004</v>
      </c>
      <c r="UZ30">
        <v>7.7571600000000004E-2</v>
      </c>
      <c r="VA30">
        <v>14962</v>
      </c>
      <c r="VB30">
        <v>5.5474000000000001E-3</v>
      </c>
      <c r="VC30">
        <v>14962</v>
      </c>
      <c r="VD30">
        <v>0.8639888</v>
      </c>
      <c r="VE30">
        <v>14962</v>
      </c>
      <c r="VF30">
        <v>0.13046379999999999</v>
      </c>
      <c r="VG30">
        <v>29088</v>
      </c>
      <c r="VH30">
        <v>0</v>
      </c>
      <c r="VI30">
        <v>29088</v>
      </c>
      <c r="VJ30">
        <v>0.90387790000000001</v>
      </c>
      <c r="VK30">
        <v>29088</v>
      </c>
      <c r="VL30">
        <v>9.6122100000000002E-2</v>
      </c>
      <c r="VM30">
        <v>27609</v>
      </c>
      <c r="VN30">
        <v>9.3448000000000003E-3</v>
      </c>
      <c r="VO30">
        <v>27609</v>
      </c>
      <c r="VP30">
        <v>0.90810970000000002</v>
      </c>
      <c r="VQ30">
        <v>27609</v>
      </c>
      <c r="VR30">
        <v>8.2545499999999994E-2</v>
      </c>
      <c r="VS30">
        <v>58056</v>
      </c>
      <c r="VT30">
        <v>0</v>
      </c>
      <c r="VU30">
        <v>58056</v>
      </c>
      <c r="VV30">
        <v>0.94403680000000001</v>
      </c>
      <c r="VW30">
        <v>58056</v>
      </c>
      <c r="VX30">
        <v>5.5963199999999998E-2</v>
      </c>
      <c r="VY30">
        <v>66412</v>
      </c>
      <c r="VZ30">
        <v>0</v>
      </c>
      <c r="WA30">
        <v>66412</v>
      </c>
      <c r="WB30">
        <v>0.92275490000000004</v>
      </c>
      <c r="WC30">
        <v>66412</v>
      </c>
      <c r="WD30">
        <v>7.7245099999999997E-2</v>
      </c>
      <c r="WE30">
        <v>28880</v>
      </c>
      <c r="WF30">
        <v>0</v>
      </c>
      <c r="WG30">
        <v>28880</v>
      </c>
      <c r="WH30">
        <v>0.91866340000000002</v>
      </c>
      <c r="WI30">
        <v>28880</v>
      </c>
      <c r="WJ30">
        <v>8.1336599999999995E-2</v>
      </c>
      <c r="WK30">
        <v>13162</v>
      </c>
      <c r="WL30">
        <v>0</v>
      </c>
      <c r="WM30">
        <v>13162</v>
      </c>
      <c r="WN30">
        <v>0.88375630000000005</v>
      </c>
      <c r="WO30">
        <v>13162</v>
      </c>
      <c r="WP30">
        <v>0.11624370000000001</v>
      </c>
      <c r="WQ30">
        <v>25375</v>
      </c>
      <c r="WR30">
        <v>0</v>
      </c>
      <c r="WS30">
        <v>25375</v>
      </c>
      <c r="WT30">
        <v>0.93083749999999998</v>
      </c>
      <c r="WU30">
        <v>25375</v>
      </c>
      <c r="WV30">
        <v>6.9162600000000005E-2</v>
      </c>
      <c r="WW30">
        <v>23316</v>
      </c>
      <c r="WX30">
        <v>0</v>
      </c>
      <c r="WY30">
        <v>23316</v>
      </c>
      <c r="WZ30">
        <v>0.91194889999999995</v>
      </c>
      <c r="XA30">
        <v>23316</v>
      </c>
      <c r="XB30">
        <v>8.8051099999999993E-2</v>
      </c>
      <c r="XC30">
        <v>48141</v>
      </c>
      <c r="XD30">
        <v>0</v>
      </c>
      <c r="XE30">
        <v>48141</v>
      </c>
      <c r="XF30">
        <v>0.89964900000000003</v>
      </c>
      <c r="XG30">
        <v>48141</v>
      </c>
      <c r="XH30">
        <v>0.1003511</v>
      </c>
      <c r="XI30">
        <v>61897</v>
      </c>
      <c r="XJ30">
        <v>0</v>
      </c>
      <c r="XK30">
        <v>61897</v>
      </c>
      <c r="XL30">
        <v>0.93266230000000006</v>
      </c>
      <c r="XM30">
        <v>61897</v>
      </c>
      <c r="XN30">
        <v>6.73377E-2</v>
      </c>
      <c r="XO30">
        <v>27615</v>
      </c>
      <c r="XP30">
        <v>0</v>
      </c>
      <c r="XQ30">
        <v>27615</v>
      </c>
      <c r="XR30">
        <v>0.95875429999999995</v>
      </c>
      <c r="XS30">
        <v>27615</v>
      </c>
      <c r="XT30">
        <v>4.1245700000000003E-2</v>
      </c>
      <c r="XU30">
        <v>617681</v>
      </c>
      <c r="XV30">
        <v>0.49555519999999997</v>
      </c>
      <c r="XW30">
        <v>306095</v>
      </c>
      <c r="XX30">
        <v>0.84784139999999997</v>
      </c>
      <c r="XY30">
        <v>306095</v>
      </c>
      <c r="XZ30">
        <v>0.1521586</v>
      </c>
      <c r="YA30">
        <v>259520</v>
      </c>
      <c r="YB30">
        <v>0.82673010000000002</v>
      </c>
      <c r="YC30">
        <v>214553</v>
      </c>
      <c r="YD30">
        <v>0.84322759999999997</v>
      </c>
      <c r="YE30">
        <v>214553</v>
      </c>
      <c r="YF30">
        <v>1.7249799999999999E-2</v>
      </c>
      <c r="YG30">
        <v>214553</v>
      </c>
      <c r="YH30">
        <v>3.4303899999999998E-2</v>
      </c>
      <c r="YI30">
        <v>214553</v>
      </c>
      <c r="YJ30">
        <v>4.8808499999999998E-2</v>
      </c>
      <c r="YK30">
        <v>214553</v>
      </c>
      <c r="YL30">
        <v>2.3556000000000001E-2</v>
      </c>
      <c r="YM30">
        <v>214553</v>
      </c>
      <c r="YN30">
        <v>3.2854399999999999E-2</v>
      </c>
      <c r="YO30">
        <v>259520</v>
      </c>
      <c r="YP30">
        <v>0.1328453</v>
      </c>
      <c r="YQ30">
        <v>34476</v>
      </c>
      <c r="YR30">
        <v>0.41695670000000001</v>
      </c>
      <c r="YS30">
        <v>34476</v>
      </c>
      <c r="YT30">
        <v>1.3951699999999999E-2</v>
      </c>
      <c r="YU30">
        <v>34476</v>
      </c>
      <c r="YV30">
        <v>9.6066799999999994E-2</v>
      </c>
      <c r="YW30">
        <v>34476</v>
      </c>
      <c r="YX30">
        <v>0.1871157</v>
      </c>
      <c r="YY30">
        <v>34476</v>
      </c>
      <c r="YZ30">
        <v>0.13452839999999999</v>
      </c>
      <c r="ZA30">
        <v>34476</v>
      </c>
      <c r="ZB30">
        <v>0.15138070000000001</v>
      </c>
      <c r="ZC30">
        <v>259520</v>
      </c>
      <c r="ZD30">
        <v>4.0424599999999998E-2</v>
      </c>
      <c r="ZE30">
        <v>10491</v>
      </c>
      <c r="ZF30">
        <v>0.1991231</v>
      </c>
      <c r="ZG30">
        <v>10491</v>
      </c>
      <c r="ZH30">
        <v>2.9453799999999999E-2</v>
      </c>
      <c r="ZI30">
        <v>10491</v>
      </c>
      <c r="ZJ30">
        <v>6.8534899999999996E-2</v>
      </c>
      <c r="ZK30">
        <v>10491</v>
      </c>
      <c r="ZL30">
        <v>9.7130900000000006E-2</v>
      </c>
      <c r="ZM30">
        <v>10491</v>
      </c>
      <c r="ZN30">
        <v>0.15880279999999999</v>
      </c>
      <c r="ZO30">
        <v>10491</v>
      </c>
      <c r="ZP30">
        <v>0.44695449999999998</v>
      </c>
      <c r="ZQ30">
        <v>617681</v>
      </c>
      <c r="ZR30">
        <v>0.50444480000000003</v>
      </c>
      <c r="ZS30">
        <v>311586</v>
      </c>
      <c r="ZT30">
        <v>0.76339109999999999</v>
      </c>
      <c r="ZU30">
        <v>311586</v>
      </c>
      <c r="ZV30">
        <v>0.23660880000000001</v>
      </c>
      <c r="ZW30">
        <v>237862</v>
      </c>
      <c r="ZX30">
        <v>0.66833290000000001</v>
      </c>
      <c r="ZY30">
        <v>158971</v>
      </c>
      <c r="ZZ30">
        <v>0.84555670000000005</v>
      </c>
      <c r="AAA30">
        <v>158971</v>
      </c>
      <c r="AAB30">
        <v>1.7959300000000001E-2</v>
      </c>
      <c r="AAC30">
        <v>158971</v>
      </c>
      <c r="AAD30">
        <v>4.1504399999999997E-2</v>
      </c>
      <c r="AAE30">
        <v>158971</v>
      </c>
      <c r="AAF30">
        <v>3.04584E-2</v>
      </c>
      <c r="AAG30">
        <v>158971</v>
      </c>
      <c r="AAH30">
        <v>2.7143299999999999E-2</v>
      </c>
      <c r="AAI30">
        <v>158971</v>
      </c>
      <c r="AAJ30">
        <v>3.7377899999999999E-2</v>
      </c>
      <c r="AAK30">
        <v>237862</v>
      </c>
      <c r="AAL30">
        <v>0.26010460000000002</v>
      </c>
      <c r="AAM30">
        <v>61869</v>
      </c>
      <c r="AAN30">
        <v>0.53673079999999995</v>
      </c>
      <c r="AAO30">
        <v>61869</v>
      </c>
      <c r="AAP30">
        <v>1.9638300000000001E-2</v>
      </c>
      <c r="AAQ30">
        <v>61869</v>
      </c>
      <c r="AAR30">
        <v>9.6397200000000002E-2</v>
      </c>
      <c r="AAS30">
        <v>61869</v>
      </c>
      <c r="AAT30">
        <v>0.12786690000000001</v>
      </c>
      <c r="AAU30">
        <v>61869</v>
      </c>
      <c r="AAV30">
        <v>0.1048829</v>
      </c>
      <c r="AAW30">
        <v>61869</v>
      </c>
      <c r="AAX30">
        <v>0.1144838</v>
      </c>
      <c r="AAY30">
        <v>237862</v>
      </c>
      <c r="AAZ30">
        <v>7.1562500000000001E-2</v>
      </c>
      <c r="ABA30">
        <v>17022</v>
      </c>
      <c r="ABB30">
        <v>0.2147809</v>
      </c>
      <c r="ABC30">
        <v>17022</v>
      </c>
      <c r="ABD30">
        <v>2.79638E-2</v>
      </c>
      <c r="ABE30">
        <v>17022</v>
      </c>
      <c r="ABF30">
        <v>8.5947599999999999E-2</v>
      </c>
      <c r="ABG30">
        <v>17022</v>
      </c>
      <c r="ABH30">
        <v>0.15303729999999999</v>
      </c>
      <c r="ABI30">
        <v>17022</v>
      </c>
      <c r="ABJ30">
        <v>0.1588532</v>
      </c>
      <c r="ABK30">
        <v>17022</v>
      </c>
      <c r="ABL30">
        <v>0.35941719999999999</v>
      </c>
      <c r="ABM30">
        <v>335379</v>
      </c>
      <c r="ABN30">
        <v>0.7136344</v>
      </c>
      <c r="ABO30">
        <v>239338</v>
      </c>
      <c r="ABP30">
        <v>0.80879760000000001</v>
      </c>
      <c r="ABQ30">
        <v>239338</v>
      </c>
      <c r="ABR30">
        <v>0.19120239999999999</v>
      </c>
      <c r="ABS30">
        <v>45762</v>
      </c>
      <c r="ABT30">
        <v>0.28785889999999997</v>
      </c>
      <c r="ABU30">
        <v>45762</v>
      </c>
      <c r="ABV30">
        <v>0.71214109999999997</v>
      </c>
      <c r="ABW30">
        <v>335379</v>
      </c>
      <c r="ABX30">
        <v>0.2863656</v>
      </c>
      <c r="ABY30">
        <v>96041</v>
      </c>
      <c r="ABZ30">
        <v>0.84605529999999995</v>
      </c>
      <c r="ACA30">
        <v>96041</v>
      </c>
      <c r="ACB30">
        <v>0.15394469999999999</v>
      </c>
      <c r="ACC30">
        <v>739740</v>
      </c>
      <c r="ACD30">
        <v>0.48587750000000002</v>
      </c>
      <c r="ACE30">
        <v>359423</v>
      </c>
      <c r="ACF30">
        <v>0.3146043</v>
      </c>
      <c r="ACG30">
        <v>113076</v>
      </c>
      <c r="ACH30">
        <v>0.18980150000000001</v>
      </c>
      <c r="ACI30">
        <v>113076</v>
      </c>
      <c r="ACJ30">
        <v>0.11629349999999999</v>
      </c>
      <c r="ACK30">
        <v>113076</v>
      </c>
      <c r="ACL30">
        <v>0.22933249999999999</v>
      </c>
      <c r="ACM30">
        <v>113076</v>
      </c>
      <c r="ACN30">
        <v>0.1667728</v>
      </c>
      <c r="ACO30">
        <v>113076</v>
      </c>
      <c r="ACP30">
        <v>9.0134099999999995E-2</v>
      </c>
      <c r="ACQ30">
        <v>113076</v>
      </c>
      <c r="ACR30">
        <v>4.6243199999999998E-2</v>
      </c>
      <c r="ACS30">
        <v>113076</v>
      </c>
      <c r="ACT30">
        <v>4.03711E-2</v>
      </c>
      <c r="ACU30">
        <v>113076</v>
      </c>
      <c r="ACV30">
        <v>4.9656899999999997E-2</v>
      </c>
      <c r="ACW30">
        <v>113076</v>
      </c>
      <c r="ACX30">
        <v>2.7654000000000001E-2</v>
      </c>
      <c r="ACY30">
        <v>113076</v>
      </c>
      <c r="ACZ30">
        <v>1.37695E-2</v>
      </c>
      <c r="ADA30">
        <v>113076</v>
      </c>
      <c r="ADB30">
        <v>1.38491E-2</v>
      </c>
      <c r="ADC30">
        <v>113076</v>
      </c>
      <c r="ADD30">
        <v>7.9238999999999993E-3</v>
      </c>
      <c r="ADE30">
        <v>113076</v>
      </c>
      <c r="ADF30">
        <v>6.4647000000000003E-3</v>
      </c>
      <c r="ADG30">
        <v>113076</v>
      </c>
      <c r="ADH30">
        <v>1.7332999999999999E-3</v>
      </c>
      <c r="ADI30">
        <v>359423</v>
      </c>
      <c r="ADJ30">
        <v>0.58933619999999998</v>
      </c>
      <c r="ADK30">
        <v>211821</v>
      </c>
      <c r="ADL30">
        <v>0.95331440000000001</v>
      </c>
      <c r="ADM30">
        <v>201932</v>
      </c>
      <c r="ADN30">
        <v>0</v>
      </c>
      <c r="ADO30">
        <v>201932</v>
      </c>
      <c r="ADP30">
        <v>0</v>
      </c>
      <c r="ADQ30">
        <v>201932</v>
      </c>
      <c r="ADR30">
        <v>6.3337999999999997E-3</v>
      </c>
      <c r="ADS30">
        <v>201932</v>
      </c>
      <c r="ADT30">
        <v>5.3334800000000002E-2</v>
      </c>
      <c r="ADU30">
        <v>201932</v>
      </c>
      <c r="ADV30">
        <v>8.1175800000000006E-2</v>
      </c>
      <c r="ADW30">
        <v>201932</v>
      </c>
      <c r="ADX30">
        <v>0.1140632</v>
      </c>
      <c r="ADY30">
        <v>201932</v>
      </c>
      <c r="ADZ30">
        <v>0.1054167</v>
      </c>
      <c r="AEA30">
        <v>201932</v>
      </c>
      <c r="AEB30">
        <v>0.1188123</v>
      </c>
      <c r="AEC30">
        <v>201932</v>
      </c>
      <c r="AED30">
        <v>0.13568920000000001</v>
      </c>
      <c r="AEE30">
        <v>201932</v>
      </c>
      <c r="AEF30">
        <v>0.1214963</v>
      </c>
      <c r="AEG30">
        <v>201932</v>
      </c>
      <c r="AEH30">
        <v>9.3511700000000003E-2</v>
      </c>
      <c r="AEI30">
        <v>201932</v>
      </c>
      <c r="AEJ30">
        <v>0.1109383</v>
      </c>
      <c r="AEK30">
        <v>201932</v>
      </c>
      <c r="AEL30">
        <v>4.45447E-2</v>
      </c>
      <c r="AEM30">
        <v>201932</v>
      </c>
      <c r="AEN30">
        <v>1.46832E-2</v>
      </c>
      <c r="AEO30">
        <v>211821</v>
      </c>
      <c r="AEP30">
        <v>4.6685600000000001E-2</v>
      </c>
      <c r="AEQ30">
        <v>9889</v>
      </c>
      <c r="AER30">
        <v>0.32096269999999999</v>
      </c>
      <c r="AES30">
        <v>3174</v>
      </c>
      <c r="AET30">
        <v>0</v>
      </c>
      <c r="AEU30">
        <v>3174</v>
      </c>
      <c r="AEV30">
        <v>0</v>
      </c>
      <c r="AEW30">
        <v>3174</v>
      </c>
      <c r="AEX30">
        <v>3.4341499999999997E-2</v>
      </c>
      <c r="AEY30">
        <v>3174</v>
      </c>
      <c r="AEZ30">
        <v>0.115942</v>
      </c>
      <c r="AFA30">
        <v>3174</v>
      </c>
      <c r="AFB30">
        <v>8.1285399999999994E-2</v>
      </c>
      <c r="AFC30">
        <v>3174</v>
      </c>
      <c r="AFD30">
        <v>7.4984200000000001E-2</v>
      </c>
      <c r="AFE30">
        <v>3174</v>
      </c>
      <c r="AFF30">
        <v>9.9874000000000004E-2</v>
      </c>
      <c r="AFG30">
        <v>3174</v>
      </c>
      <c r="AFH30">
        <v>0.24039070000000001</v>
      </c>
      <c r="AFI30">
        <v>3174</v>
      </c>
      <c r="AFJ30">
        <v>0.110586</v>
      </c>
      <c r="AFK30">
        <v>3174</v>
      </c>
      <c r="AFL30">
        <v>5.7655999999999999E-2</v>
      </c>
      <c r="AFM30">
        <v>3174</v>
      </c>
      <c r="AFN30">
        <v>7.1833599999999997E-2</v>
      </c>
      <c r="AFO30">
        <v>3174</v>
      </c>
      <c r="AFP30">
        <v>6.0491499999999997E-2</v>
      </c>
      <c r="AFQ30">
        <v>3174</v>
      </c>
      <c r="AFR30">
        <v>5.2615000000000002E-2</v>
      </c>
      <c r="AFS30">
        <v>3174</v>
      </c>
      <c r="AFT30">
        <v>0</v>
      </c>
      <c r="AFU30">
        <v>9889</v>
      </c>
      <c r="AFV30">
        <v>0.67903729999999995</v>
      </c>
      <c r="AFW30">
        <v>6715</v>
      </c>
      <c r="AFX30">
        <v>1.8763999999999999E-2</v>
      </c>
      <c r="AFY30">
        <v>6715</v>
      </c>
      <c r="AFZ30">
        <v>8.3394999999999997E-3</v>
      </c>
      <c r="AGA30">
        <v>6715</v>
      </c>
      <c r="AGB30">
        <v>3.3060300000000001E-2</v>
      </c>
      <c r="AGC30">
        <v>6715</v>
      </c>
      <c r="AGD30">
        <v>7.59494E-2</v>
      </c>
      <c r="AGE30">
        <v>6715</v>
      </c>
      <c r="AGF30">
        <v>0.1456441</v>
      </c>
      <c r="AGG30">
        <v>6715</v>
      </c>
      <c r="AGH30">
        <v>6.68652E-2</v>
      </c>
      <c r="AGI30">
        <v>6715</v>
      </c>
      <c r="AGJ30">
        <v>0.16842889999999999</v>
      </c>
      <c r="AGK30">
        <v>6715</v>
      </c>
      <c r="AGL30">
        <v>6.3291100000000003E-2</v>
      </c>
      <c r="AGM30">
        <v>6715</v>
      </c>
      <c r="AGN30">
        <v>0.1209233</v>
      </c>
      <c r="AGO30">
        <v>6715</v>
      </c>
      <c r="AGP30">
        <v>3.3953799999999999E-2</v>
      </c>
      <c r="AGQ30">
        <v>6715</v>
      </c>
      <c r="AGR30">
        <v>5.3015600000000003E-2</v>
      </c>
      <c r="AGS30">
        <v>6715</v>
      </c>
      <c r="AGT30">
        <v>7.7438599999999996E-2</v>
      </c>
      <c r="AGU30">
        <v>6715</v>
      </c>
      <c r="AGV30">
        <v>6.4780299999999999E-2</v>
      </c>
      <c r="AGW30">
        <v>6715</v>
      </c>
      <c r="AGX30">
        <v>6.9545800000000005E-2</v>
      </c>
      <c r="AGY30">
        <v>359423</v>
      </c>
      <c r="AGZ30">
        <v>2.07694E-2</v>
      </c>
      <c r="AHA30">
        <v>7465</v>
      </c>
      <c r="AHB30">
        <v>0</v>
      </c>
      <c r="AHC30">
        <v>7465</v>
      </c>
      <c r="AHD30">
        <v>0</v>
      </c>
      <c r="AHE30">
        <v>7465</v>
      </c>
      <c r="AHF30">
        <v>0</v>
      </c>
      <c r="AHG30">
        <v>7465</v>
      </c>
      <c r="AHH30">
        <v>0</v>
      </c>
      <c r="AHI30">
        <v>7465</v>
      </c>
      <c r="AHJ30">
        <v>0</v>
      </c>
      <c r="AHK30">
        <v>7465</v>
      </c>
      <c r="AHL30">
        <v>3.0140699999999999E-2</v>
      </c>
      <c r="AHM30">
        <v>7465</v>
      </c>
      <c r="AHN30">
        <v>5.4923000000000003E-3</v>
      </c>
      <c r="AHO30">
        <v>7465</v>
      </c>
      <c r="AHP30">
        <v>6.0951100000000001E-2</v>
      </c>
      <c r="AHQ30">
        <v>7465</v>
      </c>
      <c r="AHR30">
        <v>4.8493000000000001E-2</v>
      </c>
      <c r="AHS30">
        <v>7465</v>
      </c>
      <c r="AHT30">
        <v>5.9477599999999999E-2</v>
      </c>
      <c r="AHU30">
        <v>7465</v>
      </c>
      <c r="AHV30">
        <v>0.10596120000000001</v>
      </c>
      <c r="AHW30">
        <v>7465</v>
      </c>
      <c r="AHX30">
        <v>0.164635</v>
      </c>
      <c r="AHY30">
        <v>7465</v>
      </c>
      <c r="AHZ30">
        <v>0.29604819999999998</v>
      </c>
      <c r="AIA30">
        <v>7465</v>
      </c>
      <c r="AIB30">
        <v>0.22880110000000001</v>
      </c>
      <c r="AIC30">
        <v>359423</v>
      </c>
      <c r="AID30">
        <v>7.5290099999999999E-2</v>
      </c>
      <c r="AIE30">
        <v>27061</v>
      </c>
      <c r="AIF30">
        <v>0</v>
      </c>
      <c r="AIG30">
        <v>27061</v>
      </c>
      <c r="AIH30">
        <v>0</v>
      </c>
      <c r="AII30">
        <v>27061</v>
      </c>
      <c r="AIJ30">
        <v>0</v>
      </c>
      <c r="AIK30">
        <v>27061</v>
      </c>
      <c r="AIL30">
        <v>1.3525000000000001E-2</v>
      </c>
      <c r="AIM30">
        <v>27061</v>
      </c>
      <c r="AIN30">
        <v>5.1365399999999999E-2</v>
      </c>
      <c r="AIO30">
        <v>27061</v>
      </c>
      <c r="AIP30">
        <v>4.3974699999999999E-2</v>
      </c>
      <c r="AIQ30">
        <v>27061</v>
      </c>
      <c r="AIR30">
        <v>0.1304091</v>
      </c>
      <c r="AIS30">
        <v>27061</v>
      </c>
      <c r="AIT30">
        <v>0.13229369999999999</v>
      </c>
      <c r="AIU30">
        <v>27061</v>
      </c>
      <c r="AIV30">
        <v>0.155168</v>
      </c>
      <c r="AIW30">
        <v>27061</v>
      </c>
      <c r="AIX30">
        <v>0.20099030000000001</v>
      </c>
      <c r="AIY30">
        <v>27061</v>
      </c>
      <c r="AIZ30">
        <v>0.12981780000000001</v>
      </c>
      <c r="AJA30">
        <v>27061</v>
      </c>
      <c r="AJB30">
        <v>0.1138908</v>
      </c>
      <c r="AJC30">
        <v>27061</v>
      </c>
      <c r="AJD30">
        <v>2.37611E-2</v>
      </c>
      <c r="AJE30">
        <v>27061</v>
      </c>
      <c r="AJF30">
        <v>4.8040000000000001E-3</v>
      </c>
      <c r="AJG30">
        <v>739740</v>
      </c>
      <c r="AJH30">
        <v>0.51412250000000004</v>
      </c>
      <c r="AJI30">
        <v>380317</v>
      </c>
      <c r="AJJ30">
        <v>0.2631463</v>
      </c>
      <c r="AJK30">
        <v>100079</v>
      </c>
      <c r="AJL30">
        <v>0.19900280000000001</v>
      </c>
      <c r="AJM30">
        <v>100079</v>
      </c>
      <c r="AJN30">
        <v>0.115249</v>
      </c>
      <c r="AJO30">
        <v>100079</v>
      </c>
      <c r="AJP30">
        <v>0.2270606</v>
      </c>
      <c r="AJQ30">
        <v>100079</v>
      </c>
      <c r="AJR30">
        <v>0.15854470000000001</v>
      </c>
      <c r="AJS30">
        <v>100079</v>
      </c>
      <c r="AJT30">
        <v>8.4393300000000004E-2</v>
      </c>
      <c r="AJU30">
        <v>100079</v>
      </c>
      <c r="AJV30">
        <v>3.84496E-2</v>
      </c>
      <c r="AJW30">
        <v>100079</v>
      </c>
      <c r="AJX30">
        <v>4.1327299999999997E-2</v>
      </c>
      <c r="AJY30">
        <v>100079</v>
      </c>
      <c r="AJZ30">
        <v>3.8709399999999998E-2</v>
      </c>
      <c r="AKA30">
        <v>100079</v>
      </c>
      <c r="AKB30">
        <v>3.25743E-2</v>
      </c>
      <c r="AKC30">
        <v>100079</v>
      </c>
      <c r="AKD30">
        <v>2.5659700000000001E-2</v>
      </c>
      <c r="AKE30">
        <v>100079</v>
      </c>
      <c r="AKF30">
        <v>1.5977399999999999E-2</v>
      </c>
      <c r="AKG30">
        <v>100079</v>
      </c>
      <c r="AKH30">
        <v>1.3389399999999999E-2</v>
      </c>
      <c r="AKI30">
        <v>100079</v>
      </c>
      <c r="AKJ30">
        <v>8.2734999999999996E-3</v>
      </c>
      <c r="AKK30">
        <v>100079</v>
      </c>
      <c r="AKL30">
        <v>1.3889E-3</v>
      </c>
      <c r="AKM30">
        <v>380317</v>
      </c>
      <c r="AKN30">
        <v>0.55486869999999999</v>
      </c>
      <c r="AKO30">
        <v>211026</v>
      </c>
      <c r="AKP30">
        <v>0.93986049999999999</v>
      </c>
      <c r="AKQ30">
        <v>198335</v>
      </c>
      <c r="AKR30">
        <v>0</v>
      </c>
      <c r="AKS30">
        <v>198335</v>
      </c>
      <c r="AKT30">
        <v>0</v>
      </c>
      <c r="AKU30">
        <v>198335</v>
      </c>
      <c r="AKV30">
        <v>1.16974E-2</v>
      </c>
      <c r="AKW30">
        <v>198335</v>
      </c>
      <c r="AKX30">
        <v>5.8829800000000002E-2</v>
      </c>
      <c r="AKY30">
        <v>198335</v>
      </c>
      <c r="AKZ30">
        <v>8.9373999999999995E-2</v>
      </c>
      <c r="ALA30">
        <v>198335</v>
      </c>
      <c r="ALB30">
        <v>0.1069302</v>
      </c>
      <c r="ALC30">
        <v>198335</v>
      </c>
      <c r="ALD30">
        <v>0.1159805</v>
      </c>
      <c r="ALE30">
        <v>198335</v>
      </c>
      <c r="ALF30">
        <v>0.1270174</v>
      </c>
      <c r="ALG30">
        <v>198335</v>
      </c>
      <c r="ALH30">
        <v>0.1432677</v>
      </c>
      <c r="ALI30">
        <v>198335</v>
      </c>
      <c r="ALJ30">
        <v>0.11699900000000001</v>
      </c>
      <c r="ALK30">
        <v>198335</v>
      </c>
      <c r="ALL30">
        <v>9.2963900000000002E-2</v>
      </c>
      <c r="ALM30">
        <v>198335</v>
      </c>
      <c r="ALN30">
        <v>9.7370600000000002E-2</v>
      </c>
      <c r="ALO30">
        <v>198335</v>
      </c>
      <c r="ALP30">
        <v>3.3272000000000003E-2</v>
      </c>
      <c r="ALQ30">
        <v>198335</v>
      </c>
      <c r="ALR30">
        <v>6.2973999999999999E-3</v>
      </c>
      <c r="ALS30">
        <v>211026</v>
      </c>
      <c r="ALT30">
        <v>6.0139499999999999E-2</v>
      </c>
      <c r="ALU30">
        <v>12691</v>
      </c>
      <c r="ALV30">
        <v>0.38893709999999998</v>
      </c>
      <c r="ALW30">
        <v>4936</v>
      </c>
      <c r="ALX30">
        <v>0</v>
      </c>
      <c r="ALY30">
        <v>4936</v>
      </c>
      <c r="ALZ30">
        <v>0</v>
      </c>
      <c r="AMA30">
        <v>4936</v>
      </c>
      <c r="AMB30">
        <v>0</v>
      </c>
      <c r="AMC30">
        <v>4936</v>
      </c>
      <c r="AMD30">
        <v>3.9708300000000002E-2</v>
      </c>
      <c r="AME30">
        <v>4936</v>
      </c>
      <c r="AMF30">
        <v>0.19651540000000001</v>
      </c>
      <c r="AMG30">
        <v>4936</v>
      </c>
      <c r="AMH30">
        <v>0.10940030000000001</v>
      </c>
      <c r="AMI30">
        <v>4936</v>
      </c>
      <c r="AMJ30">
        <v>0.1797002</v>
      </c>
      <c r="AMK30">
        <v>4936</v>
      </c>
      <c r="AML30">
        <v>0.13107779999999999</v>
      </c>
      <c r="AMM30">
        <v>4936</v>
      </c>
      <c r="AMN30">
        <v>0.13371150000000001</v>
      </c>
      <c r="AMO30">
        <v>4936</v>
      </c>
      <c r="AMP30">
        <v>0.118517</v>
      </c>
      <c r="AMQ30">
        <v>4936</v>
      </c>
      <c r="AMR30">
        <v>1.7423000000000001E-2</v>
      </c>
      <c r="AMS30">
        <v>4936</v>
      </c>
      <c r="AMT30">
        <v>6.7463499999999996E-2</v>
      </c>
      <c r="AMU30">
        <v>4936</v>
      </c>
      <c r="AMV30">
        <v>6.483E-3</v>
      </c>
      <c r="AMW30">
        <v>4936</v>
      </c>
      <c r="AMX30">
        <v>0</v>
      </c>
      <c r="AMY30">
        <v>12691</v>
      </c>
      <c r="AMZ30">
        <v>0.61106289999999996</v>
      </c>
      <c r="ANA30">
        <v>7755</v>
      </c>
      <c r="ANB30">
        <v>4.3069000000000003E-2</v>
      </c>
      <c r="ANC30">
        <v>7755</v>
      </c>
      <c r="AND30">
        <v>0</v>
      </c>
      <c r="ANE30">
        <v>7755</v>
      </c>
      <c r="ANF30">
        <v>7.4274699999999999E-2</v>
      </c>
      <c r="ANG30">
        <v>7755</v>
      </c>
      <c r="ANH30">
        <v>9.3230199999999999E-2</v>
      </c>
      <c r="ANI30">
        <v>7755</v>
      </c>
      <c r="ANJ30">
        <v>0.11927790000000001</v>
      </c>
      <c r="ANK30">
        <v>7755</v>
      </c>
      <c r="ANL30">
        <v>3.0689899999999999E-2</v>
      </c>
      <c r="ANM30">
        <v>7755</v>
      </c>
      <c r="ANN30">
        <v>0.1056093</v>
      </c>
      <c r="ANO30">
        <v>7755</v>
      </c>
      <c r="ANP30">
        <v>8.9490700000000006E-2</v>
      </c>
      <c r="ANQ30">
        <v>7755</v>
      </c>
      <c r="ANR30">
        <v>8.7814299999999998E-2</v>
      </c>
      <c r="ANS30">
        <v>7755</v>
      </c>
      <c r="ANT30">
        <v>5.17086E-2</v>
      </c>
      <c r="ANU30">
        <v>7755</v>
      </c>
      <c r="ANV30">
        <v>0.1163121</v>
      </c>
      <c r="ANW30">
        <v>7755</v>
      </c>
      <c r="ANX30">
        <v>3.68794E-2</v>
      </c>
      <c r="ANY30">
        <v>7755</v>
      </c>
      <c r="ANZ30">
        <v>9.2327500000000007E-2</v>
      </c>
      <c r="AOA30">
        <v>7755</v>
      </c>
      <c r="AOB30">
        <v>5.9316599999999997E-2</v>
      </c>
      <c r="AOC30">
        <v>380317</v>
      </c>
      <c r="AOD30">
        <v>7.9499500000000001E-2</v>
      </c>
      <c r="AOE30">
        <v>30235</v>
      </c>
      <c r="AOF30">
        <v>0</v>
      </c>
      <c r="AOG30">
        <v>30235</v>
      </c>
      <c r="AOH30">
        <v>0</v>
      </c>
      <c r="AOI30">
        <v>30235</v>
      </c>
      <c r="AOJ30">
        <v>9.2610000000000001E-4</v>
      </c>
      <c r="AOK30">
        <v>30235</v>
      </c>
      <c r="AOL30">
        <v>0</v>
      </c>
      <c r="AOM30">
        <v>30235</v>
      </c>
      <c r="AON30">
        <v>0</v>
      </c>
      <c r="AOO30">
        <v>30235</v>
      </c>
      <c r="AOP30">
        <v>6.5487000000000002E-3</v>
      </c>
      <c r="AOQ30">
        <v>30235</v>
      </c>
      <c r="AOR30">
        <v>5.7879999999999997E-3</v>
      </c>
      <c r="AOS30">
        <v>30235</v>
      </c>
      <c r="AOT30">
        <v>1.7529400000000001E-2</v>
      </c>
      <c r="AOU30">
        <v>30235</v>
      </c>
      <c r="AOV30">
        <v>2.7583900000000001E-2</v>
      </c>
      <c r="AOW30">
        <v>30235</v>
      </c>
      <c r="AOX30">
        <v>6.4097899999999999E-2</v>
      </c>
      <c r="AOY30">
        <v>30235</v>
      </c>
      <c r="AOZ30">
        <v>6.6016199999999997E-2</v>
      </c>
      <c r="APA30">
        <v>30235</v>
      </c>
      <c r="APB30">
        <v>0.20383660000000001</v>
      </c>
      <c r="APC30">
        <v>30235</v>
      </c>
      <c r="APD30">
        <v>0.28721679999999999</v>
      </c>
      <c r="APE30">
        <v>30235</v>
      </c>
      <c r="APF30">
        <v>0.32045639999999997</v>
      </c>
      <c r="APG30">
        <v>380317</v>
      </c>
      <c r="APH30">
        <v>0.1024856</v>
      </c>
      <c r="API30">
        <v>38977</v>
      </c>
      <c r="APJ30">
        <v>0</v>
      </c>
      <c r="APK30">
        <v>38977</v>
      </c>
      <c r="APL30">
        <v>0</v>
      </c>
      <c r="APM30">
        <v>38977</v>
      </c>
      <c r="APN30">
        <v>8.9800000000000004E-4</v>
      </c>
      <c r="APO30">
        <v>38977</v>
      </c>
      <c r="APP30">
        <v>3.2685899999999997E-2</v>
      </c>
      <c r="APQ30">
        <v>38977</v>
      </c>
      <c r="APR30">
        <v>3.9407900000000003E-2</v>
      </c>
      <c r="APS30">
        <v>38977</v>
      </c>
      <c r="APT30">
        <v>8.6692199999999997E-2</v>
      </c>
      <c r="APU30">
        <v>38977</v>
      </c>
      <c r="APV30">
        <v>0.1251507</v>
      </c>
      <c r="APW30">
        <v>38977</v>
      </c>
      <c r="APX30">
        <v>0.1668163</v>
      </c>
      <c r="APY30">
        <v>38977</v>
      </c>
      <c r="APZ30">
        <v>0.12453500000000001</v>
      </c>
      <c r="AQA30">
        <v>38977</v>
      </c>
      <c r="AQB30">
        <v>0.13992869999999999</v>
      </c>
      <c r="AQC30">
        <v>38977</v>
      </c>
      <c r="AQD30">
        <v>9.6672400000000006E-2</v>
      </c>
      <c r="AQE30">
        <v>38977</v>
      </c>
      <c r="AQF30">
        <v>0.1112964</v>
      </c>
      <c r="AQG30">
        <v>38977</v>
      </c>
      <c r="AQH30">
        <v>4.2229999999999997E-2</v>
      </c>
      <c r="AQI30">
        <v>38977</v>
      </c>
      <c r="AQJ30">
        <v>3.3686500000000001E-2</v>
      </c>
      <c r="AQK30">
        <v>107846</v>
      </c>
      <c r="AQL30">
        <v>0.1552955</v>
      </c>
      <c r="AQM30">
        <v>335379</v>
      </c>
      <c r="AQN30">
        <v>0.74249129999999997</v>
      </c>
      <c r="AQO30">
        <v>249016</v>
      </c>
      <c r="AQP30">
        <v>0.7712717</v>
      </c>
      <c r="AQQ30">
        <v>192059</v>
      </c>
      <c r="AQR30">
        <v>0.85905889999999996</v>
      </c>
      <c r="AQS30">
        <v>164990</v>
      </c>
      <c r="AQT30">
        <v>0.42682589999999998</v>
      </c>
      <c r="AQU30">
        <v>164990</v>
      </c>
      <c r="AQV30">
        <v>0.57317410000000002</v>
      </c>
      <c r="AQW30">
        <v>192059</v>
      </c>
      <c r="AQX30">
        <v>0.14094110000000001</v>
      </c>
      <c r="AQY30">
        <v>27069</v>
      </c>
      <c r="AQZ30">
        <v>0.28911300000000001</v>
      </c>
      <c r="ARA30">
        <v>7826</v>
      </c>
      <c r="ARB30">
        <v>0.29683110000000001</v>
      </c>
      <c r="ARC30">
        <v>7826</v>
      </c>
      <c r="ARD30">
        <v>0.70316889999999999</v>
      </c>
      <c r="ARE30">
        <v>27069</v>
      </c>
      <c r="ARF30">
        <v>0.71088700000000005</v>
      </c>
      <c r="ARG30">
        <v>19243</v>
      </c>
      <c r="ARH30">
        <v>0.4187497</v>
      </c>
      <c r="ARI30">
        <v>19243</v>
      </c>
      <c r="ARJ30">
        <v>0.5812503</v>
      </c>
      <c r="ARK30">
        <v>249016</v>
      </c>
      <c r="ARL30">
        <v>0.2287283</v>
      </c>
      <c r="ARM30">
        <v>335379</v>
      </c>
      <c r="ARN30">
        <v>0.25750869999999998</v>
      </c>
      <c r="ARO30">
        <v>86363</v>
      </c>
      <c r="ARP30">
        <v>0.54744510000000002</v>
      </c>
      <c r="ARQ30">
        <v>47279</v>
      </c>
      <c r="ARR30">
        <v>0.60462360000000004</v>
      </c>
      <c r="ARS30">
        <v>28586</v>
      </c>
      <c r="ART30">
        <v>0.55198349999999996</v>
      </c>
      <c r="ARU30">
        <v>28586</v>
      </c>
      <c r="ARV30">
        <v>0.44801649999999998</v>
      </c>
      <c r="ARW30">
        <v>47279</v>
      </c>
      <c r="ARX30">
        <v>0.39537640000000002</v>
      </c>
      <c r="ARY30">
        <v>18693</v>
      </c>
      <c r="ARZ30">
        <v>0.28604289999999999</v>
      </c>
      <c r="ASA30">
        <v>5347</v>
      </c>
      <c r="ASB30">
        <v>0.48139140000000002</v>
      </c>
      <c r="ASC30">
        <v>5347</v>
      </c>
      <c r="ASD30">
        <v>0.51860859999999998</v>
      </c>
      <c r="ASE30">
        <v>18693</v>
      </c>
      <c r="ASF30">
        <v>0.71395710000000001</v>
      </c>
      <c r="ASG30">
        <v>13346</v>
      </c>
      <c r="ASH30">
        <v>0.65113149999999997</v>
      </c>
      <c r="ASI30">
        <v>13346</v>
      </c>
      <c r="ASJ30">
        <v>0.34886859999999997</v>
      </c>
      <c r="ASK30">
        <v>86363</v>
      </c>
      <c r="ASL30">
        <v>0.45255489999999998</v>
      </c>
      <c r="ASM30">
        <v>324494</v>
      </c>
      <c r="ASN30">
        <v>0.57546819999999999</v>
      </c>
      <c r="ASO30">
        <v>186736</v>
      </c>
      <c r="ASP30">
        <v>0.48653180000000001</v>
      </c>
      <c r="ASQ30">
        <v>90853</v>
      </c>
      <c r="ASR30">
        <v>0.53026320000000005</v>
      </c>
      <c r="ASS30">
        <v>48176</v>
      </c>
      <c r="AST30">
        <v>0.70352460000000006</v>
      </c>
      <c r="ASU30">
        <v>48176</v>
      </c>
      <c r="ASV30">
        <v>0.2964754</v>
      </c>
      <c r="ASW30">
        <v>90853</v>
      </c>
      <c r="ASX30">
        <v>0.26615519999999998</v>
      </c>
      <c r="ASY30">
        <v>24181</v>
      </c>
      <c r="ASZ30">
        <v>0.59360650000000004</v>
      </c>
      <c r="ATA30">
        <v>24181</v>
      </c>
      <c r="ATB30">
        <v>0.32802609999999999</v>
      </c>
      <c r="ATC30">
        <v>24181</v>
      </c>
      <c r="ATD30">
        <v>7.8367300000000001E-2</v>
      </c>
      <c r="ATE30">
        <v>90853</v>
      </c>
      <c r="ATF30">
        <v>0.13022139999999999</v>
      </c>
      <c r="ATG30">
        <v>11831</v>
      </c>
      <c r="ATH30">
        <v>0.1164737</v>
      </c>
      <c r="ATI30">
        <v>11831</v>
      </c>
      <c r="ATJ30">
        <v>0.2680247</v>
      </c>
      <c r="ATK30">
        <v>11831</v>
      </c>
      <c r="ATL30">
        <v>0.44417210000000001</v>
      </c>
      <c r="ATM30">
        <v>11831</v>
      </c>
      <c r="ATN30">
        <v>0.1713296</v>
      </c>
      <c r="ATO30">
        <v>90853</v>
      </c>
      <c r="ATP30">
        <v>7.3360300000000003E-2</v>
      </c>
      <c r="ATQ30">
        <v>6665</v>
      </c>
      <c r="ATR30">
        <v>0.85701419999999995</v>
      </c>
      <c r="ATS30">
        <v>6665</v>
      </c>
      <c r="ATT30">
        <v>0.14298569999999999</v>
      </c>
      <c r="ATU30">
        <v>186736</v>
      </c>
      <c r="ATV30">
        <v>8.0150600000000002E-2</v>
      </c>
      <c r="ATW30">
        <v>14967</v>
      </c>
      <c r="ATX30">
        <v>3.7148399999999998E-2</v>
      </c>
      <c r="ATY30">
        <v>14967</v>
      </c>
      <c r="ATZ30">
        <v>0.30420259999999999</v>
      </c>
      <c r="AUA30">
        <v>4553</v>
      </c>
      <c r="AUB30">
        <v>0.3586646</v>
      </c>
      <c r="AUC30">
        <v>4553</v>
      </c>
      <c r="AUD30">
        <v>0.6413354</v>
      </c>
      <c r="AUE30">
        <v>14967</v>
      </c>
      <c r="AUF30">
        <v>0.25362459999999998</v>
      </c>
      <c r="AUG30">
        <v>14967</v>
      </c>
      <c r="AUH30">
        <v>0.33052720000000002</v>
      </c>
      <c r="AUI30">
        <v>14967</v>
      </c>
      <c r="AUJ30">
        <v>7.44972E-2</v>
      </c>
      <c r="AUK30">
        <v>186736</v>
      </c>
      <c r="AUL30">
        <v>0.2016965</v>
      </c>
      <c r="AUM30">
        <v>37664</v>
      </c>
      <c r="AUN30">
        <v>0.62507959999999996</v>
      </c>
      <c r="AUO30">
        <v>37664</v>
      </c>
      <c r="AUP30">
        <v>0.37492029999999998</v>
      </c>
      <c r="AUQ30">
        <v>186736</v>
      </c>
      <c r="AUR30">
        <v>8.4070599999999995E-2</v>
      </c>
      <c r="AUS30">
        <v>15699</v>
      </c>
      <c r="AUT30">
        <v>1.4141000000000001E-2</v>
      </c>
      <c r="AUU30">
        <v>15699</v>
      </c>
      <c r="AUV30">
        <v>0.44633420000000001</v>
      </c>
      <c r="AUW30">
        <v>15699</v>
      </c>
      <c r="AUX30">
        <v>0.53952480000000003</v>
      </c>
      <c r="AUY30">
        <v>186736</v>
      </c>
      <c r="AUZ30">
        <v>0.1475506</v>
      </c>
      <c r="AVA30">
        <v>27553</v>
      </c>
      <c r="AVB30">
        <v>0.49468299999999998</v>
      </c>
      <c r="AVC30">
        <v>27553</v>
      </c>
      <c r="AVD30">
        <v>0.32250570000000001</v>
      </c>
      <c r="AVE30">
        <v>27553</v>
      </c>
      <c r="AVF30">
        <v>0.18281130000000001</v>
      </c>
      <c r="AVG30">
        <v>324494</v>
      </c>
      <c r="AVH30">
        <v>0.42453170000000001</v>
      </c>
      <c r="AVI30">
        <v>137758</v>
      </c>
      <c r="AVJ30">
        <v>0.47335909999999998</v>
      </c>
      <c r="AVK30">
        <v>65209</v>
      </c>
      <c r="AVL30">
        <v>0.4636477</v>
      </c>
      <c r="AVM30">
        <v>30234</v>
      </c>
      <c r="AVN30">
        <v>0.5814646</v>
      </c>
      <c r="AVO30">
        <v>30234</v>
      </c>
      <c r="AVP30">
        <v>0.4185354</v>
      </c>
      <c r="AVQ30">
        <v>65209</v>
      </c>
      <c r="AVR30">
        <v>9.0156299999999995E-2</v>
      </c>
      <c r="AVS30">
        <v>5879</v>
      </c>
      <c r="AVT30">
        <v>0.59908150000000004</v>
      </c>
      <c r="AVU30">
        <v>5879</v>
      </c>
      <c r="AVV30">
        <v>0.12995409999999999</v>
      </c>
      <c r="AVW30">
        <v>5879</v>
      </c>
      <c r="AVX30">
        <v>0.27096439999999999</v>
      </c>
      <c r="AVY30">
        <v>65209</v>
      </c>
      <c r="AVZ30">
        <v>0.2683219</v>
      </c>
      <c r="AWA30">
        <v>17497</v>
      </c>
      <c r="AWB30">
        <v>0.1572269</v>
      </c>
      <c r="AWC30">
        <v>17497</v>
      </c>
      <c r="AWD30">
        <v>0.1277933</v>
      </c>
      <c r="AWE30">
        <v>17497</v>
      </c>
      <c r="AWF30">
        <v>0.61753449999999999</v>
      </c>
      <c r="AWG30">
        <v>17497</v>
      </c>
      <c r="AWH30">
        <v>9.7445299999999999E-2</v>
      </c>
      <c r="AWI30">
        <v>65209</v>
      </c>
      <c r="AWJ30">
        <v>0.17787420000000001</v>
      </c>
      <c r="AWK30">
        <v>11599</v>
      </c>
      <c r="AWL30">
        <v>0.79127510000000001</v>
      </c>
      <c r="AWM30">
        <v>11599</v>
      </c>
      <c r="AWN30">
        <v>0.20872489999999999</v>
      </c>
      <c r="AWO30">
        <v>137758</v>
      </c>
      <c r="AWP30">
        <v>9.5478999999999994E-2</v>
      </c>
      <c r="AWQ30">
        <v>13153</v>
      </c>
      <c r="AWR30">
        <v>0.24085760000000001</v>
      </c>
      <c r="AWS30">
        <v>13153</v>
      </c>
      <c r="AWT30">
        <v>0.11776780000000001</v>
      </c>
      <c r="AWU30">
        <v>1549</v>
      </c>
      <c r="AWV30">
        <v>0.63202069999999999</v>
      </c>
      <c r="AWW30">
        <v>1549</v>
      </c>
      <c r="AWX30">
        <v>0.36797930000000001</v>
      </c>
      <c r="AWY30">
        <v>13153</v>
      </c>
      <c r="AWZ30">
        <v>0.26868389999999998</v>
      </c>
      <c r="AXA30">
        <v>13153</v>
      </c>
      <c r="AXB30">
        <v>0.14475789999999999</v>
      </c>
      <c r="AXC30">
        <v>13153</v>
      </c>
      <c r="AXD30">
        <v>0.22793279999999999</v>
      </c>
      <c r="AXE30">
        <v>137758</v>
      </c>
      <c r="AXF30">
        <v>0.36527100000000001</v>
      </c>
      <c r="AXG30">
        <v>50319</v>
      </c>
      <c r="AXH30">
        <v>0.33289609999999997</v>
      </c>
      <c r="AXI30">
        <v>50319</v>
      </c>
      <c r="AXJ30">
        <v>0.66710389999999997</v>
      </c>
      <c r="AXK30">
        <v>137758</v>
      </c>
      <c r="AXL30">
        <v>6.1701999999999998E-3</v>
      </c>
      <c r="AXM30">
        <v>850</v>
      </c>
      <c r="AXN30">
        <v>0</v>
      </c>
      <c r="AXO30">
        <v>850</v>
      </c>
      <c r="AXP30">
        <v>0.13764709999999999</v>
      </c>
      <c r="AXQ30">
        <v>850</v>
      </c>
      <c r="AXR30">
        <v>0.86235300000000004</v>
      </c>
      <c r="AXS30">
        <v>137758</v>
      </c>
      <c r="AXT30">
        <v>5.9720700000000002E-2</v>
      </c>
      <c r="AXU30">
        <v>8227</v>
      </c>
      <c r="AXV30">
        <v>0.65005469999999999</v>
      </c>
      <c r="AXW30">
        <v>8227</v>
      </c>
      <c r="AXX30">
        <v>0.12556220000000001</v>
      </c>
      <c r="AXY30">
        <v>8227</v>
      </c>
      <c r="AXZ30">
        <v>0.2243831</v>
      </c>
      <c r="AYA30">
        <v>40748</v>
      </c>
      <c r="AYB30">
        <v>2.0074600000000001E-2</v>
      </c>
      <c r="AYC30">
        <v>40748</v>
      </c>
      <c r="AYD30">
        <v>0.1370374</v>
      </c>
      <c r="AYE30">
        <v>40748</v>
      </c>
      <c r="AYF30">
        <v>0.26516640000000002</v>
      </c>
      <c r="AYG30">
        <v>40748</v>
      </c>
      <c r="AYH30">
        <v>0.34092470000000002</v>
      </c>
      <c r="AYI30">
        <v>40748</v>
      </c>
      <c r="AYJ30">
        <v>5.5560999999999999E-2</v>
      </c>
      <c r="AYK30">
        <v>40748</v>
      </c>
      <c r="AYL30">
        <v>0.170266</v>
      </c>
      <c r="AYM30">
        <v>40748</v>
      </c>
      <c r="AYN30">
        <v>1.0969899999999999E-2</v>
      </c>
      <c r="AYO30">
        <v>60082</v>
      </c>
      <c r="AYP30">
        <v>2.3035199999999999E-2</v>
      </c>
      <c r="AYQ30">
        <v>60082</v>
      </c>
      <c r="AYR30">
        <v>4.8383900000000001E-2</v>
      </c>
      <c r="AYS30">
        <v>60082</v>
      </c>
      <c r="AYT30">
        <v>0.157052</v>
      </c>
      <c r="AYU30">
        <v>60082</v>
      </c>
      <c r="AYV30">
        <v>0.25148959999999998</v>
      </c>
      <c r="AYW30">
        <v>60082</v>
      </c>
      <c r="AYX30">
        <v>6.3197000000000003E-2</v>
      </c>
      <c r="AYY30">
        <v>60082</v>
      </c>
      <c r="AYZ30">
        <v>0.34632669999999999</v>
      </c>
      <c r="AZA30">
        <v>60082</v>
      </c>
      <c r="AZB30">
        <v>0.11051560000000001</v>
      </c>
      <c r="AZC30">
        <v>61234</v>
      </c>
      <c r="AZD30">
        <v>3.9063300000000002E-2</v>
      </c>
      <c r="AZE30">
        <v>61234</v>
      </c>
      <c r="AZF30">
        <v>4.24111E-2</v>
      </c>
      <c r="AZG30">
        <v>61234</v>
      </c>
      <c r="AZH30">
        <v>0.18888199999999999</v>
      </c>
      <c r="AZI30">
        <v>61234</v>
      </c>
      <c r="AZJ30">
        <v>0.1919032</v>
      </c>
      <c r="AZK30">
        <v>61234</v>
      </c>
      <c r="AZL30">
        <v>6.15671E-2</v>
      </c>
      <c r="AZM30">
        <v>61234</v>
      </c>
      <c r="AZN30">
        <v>0.27977920000000001</v>
      </c>
      <c r="AZO30">
        <v>61234</v>
      </c>
      <c r="AZP30">
        <v>0.19639419999999999</v>
      </c>
      <c r="AZQ30">
        <v>128803</v>
      </c>
      <c r="AZR30">
        <v>2.1428099999999999E-2</v>
      </c>
      <c r="AZS30">
        <v>128803</v>
      </c>
      <c r="AZT30">
        <v>3.9036399999999999E-2</v>
      </c>
      <c r="AZU30">
        <v>128803</v>
      </c>
      <c r="AZV30">
        <v>0.1968665</v>
      </c>
      <c r="AZW30">
        <v>128803</v>
      </c>
      <c r="AZX30">
        <v>0.18732480000000001</v>
      </c>
      <c r="AZY30">
        <v>128803</v>
      </c>
      <c r="AZZ30">
        <v>6.85698E-2</v>
      </c>
      <c r="BAA30">
        <v>128803</v>
      </c>
      <c r="BAB30">
        <v>0.27910069999999998</v>
      </c>
      <c r="BAC30">
        <v>128803</v>
      </c>
      <c r="BAD30">
        <v>0.20767369999999999</v>
      </c>
      <c r="BAE30">
        <v>46968</v>
      </c>
      <c r="BAF30">
        <v>5.2823200000000001E-2</v>
      </c>
      <c r="BAG30">
        <v>46968</v>
      </c>
      <c r="BAH30">
        <v>5.1311500000000003E-2</v>
      </c>
      <c r="BAI30">
        <v>46968</v>
      </c>
      <c r="BAJ30">
        <v>0.23590530000000001</v>
      </c>
      <c r="BAK30">
        <v>46968</v>
      </c>
      <c r="BAL30">
        <v>0.20188210000000001</v>
      </c>
      <c r="BAM30">
        <v>46968</v>
      </c>
      <c r="BAN30">
        <v>2.4825400000000001E-2</v>
      </c>
      <c r="BAO30">
        <v>46968</v>
      </c>
      <c r="BAP30">
        <v>0.22340740000000001</v>
      </c>
      <c r="BAQ30">
        <v>46968</v>
      </c>
      <c r="BAR30">
        <v>0.209845</v>
      </c>
      <c r="BAS30">
        <v>37217</v>
      </c>
      <c r="BAT30">
        <v>6.5560999999999996E-3</v>
      </c>
      <c r="BAU30">
        <v>37217</v>
      </c>
      <c r="BAV30">
        <v>9.1141100000000003E-2</v>
      </c>
      <c r="BAW30">
        <v>37217</v>
      </c>
      <c r="BAX30">
        <v>0.24996640000000001</v>
      </c>
      <c r="BAY30">
        <v>37217</v>
      </c>
      <c r="BAZ30">
        <v>0.41188170000000002</v>
      </c>
      <c r="BBA30">
        <v>37217</v>
      </c>
      <c r="BBB30">
        <v>5.3201499999999999E-2</v>
      </c>
      <c r="BBC30">
        <v>37217</v>
      </c>
      <c r="BBD30">
        <v>0.1771771</v>
      </c>
      <c r="BBE30">
        <v>37217</v>
      </c>
      <c r="BBF30">
        <v>1.0076E-2</v>
      </c>
      <c r="BBG30">
        <v>59331</v>
      </c>
      <c r="BBH30">
        <v>1.09386E-2</v>
      </c>
      <c r="BBI30">
        <v>59331</v>
      </c>
      <c r="BBJ30">
        <v>4.0703799999999998E-2</v>
      </c>
      <c r="BBK30">
        <v>59331</v>
      </c>
      <c r="BBL30">
        <v>0.12721850000000001</v>
      </c>
      <c r="BBM30">
        <v>59331</v>
      </c>
      <c r="BBN30">
        <v>0.21462639999999999</v>
      </c>
      <c r="BBO30">
        <v>59331</v>
      </c>
      <c r="BBP30">
        <v>8.3565100000000003E-2</v>
      </c>
      <c r="BBQ30">
        <v>59331</v>
      </c>
      <c r="BBR30">
        <v>0.35962650000000002</v>
      </c>
      <c r="BBS30">
        <v>59331</v>
      </c>
      <c r="BBT30">
        <v>0.16332099999999999</v>
      </c>
      <c r="BBU30">
        <v>63309</v>
      </c>
      <c r="BBV30">
        <v>4.16686E-2</v>
      </c>
      <c r="BBW30">
        <v>63309</v>
      </c>
      <c r="BBX30">
        <v>3.5650500000000002E-2</v>
      </c>
      <c r="BBY30">
        <v>63309</v>
      </c>
      <c r="BBZ30">
        <v>0.16928080000000001</v>
      </c>
      <c r="BCA30">
        <v>63309</v>
      </c>
      <c r="BCB30">
        <v>0.14798839999999999</v>
      </c>
      <c r="BCC30">
        <v>63309</v>
      </c>
      <c r="BCD30">
        <v>7.4112700000000004E-2</v>
      </c>
      <c r="BCE30">
        <v>63309</v>
      </c>
      <c r="BCF30">
        <v>0.34435860000000001</v>
      </c>
      <c r="BCG30">
        <v>63309</v>
      </c>
      <c r="BCH30">
        <v>0.1869403</v>
      </c>
      <c r="BCI30">
        <v>137083</v>
      </c>
      <c r="BCJ30">
        <v>2.2183600000000001E-2</v>
      </c>
      <c r="BCK30">
        <v>137083</v>
      </c>
      <c r="BCL30">
        <v>3.9968499999999997E-2</v>
      </c>
      <c r="BCM30">
        <v>137083</v>
      </c>
      <c r="BCN30">
        <v>0.18595300000000001</v>
      </c>
      <c r="BCO30">
        <v>137083</v>
      </c>
      <c r="BCP30">
        <v>0.20106070000000001</v>
      </c>
      <c r="BCQ30">
        <v>137083</v>
      </c>
      <c r="BCR30">
        <v>9.9385000000000001E-2</v>
      </c>
      <c r="BCS30">
        <v>137083</v>
      </c>
      <c r="BCT30">
        <v>0.27446140000000002</v>
      </c>
      <c r="BCU30">
        <v>137083</v>
      </c>
      <c r="BCV30">
        <v>0.1769877</v>
      </c>
      <c r="BCW30">
        <v>63127</v>
      </c>
      <c r="BCX30">
        <v>8.6793300000000004E-2</v>
      </c>
      <c r="BCY30">
        <v>63127</v>
      </c>
      <c r="BCZ30">
        <v>7.4690699999999999E-2</v>
      </c>
      <c r="BDA30">
        <v>63127</v>
      </c>
      <c r="BDB30">
        <v>0.36550129999999997</v>
      </c>
      <c r="BDC30">
        <v>63127</v>
      </c>
      <c r="BDD30">
        <v>0.22106229999999999</v>
      </c>
      <c r="BDE30">
        <v>63127</v>
      </c>
      <c r="BDF30">
        <v>3.4343499999999999E-2</v>
      </c>
      <c r="BDG30">
        <v>63127</v>
      </c>
      <c r="BDH30">
        <v>0.1265703</v>
      </c>
      <c r="BDI30">
        <v>63127</v>
      </c>
      <c r="BDJ30">
        <v>9.10387E-2</v>
      </c>
      <c r="BDK30">
        <v>218912</v>
      </c>
      <c r="BDL30">
        <v>5.1395099999999999E-2</v>
      </c>
      <c r="BDM30">
        <v>11251</v>
      </c>
      <c r="BDN30">
        <v>0.81974939999999996</v>
      </c>
      <c r="BDO30">
        <v>9223</v>
      </c>
      <c r="BDP30">
        <v>0.63872930000000006</v>
      </c>
      <c r="BDQ30">
        <v>9223</v>
      </c>
      <c r="BDR30">
        <v>0.3612707</v>
      </c>
      <c r="BDS30">
        <v>11251</v>
      </c>
      <c r="BDT30">
        <v>0.18025060000000001</v>
      </c>
      <c r="BDU30">
        <v>2028</v>
      </c>
      <c r="BDV30">
        <v>0.79339249999999995</v>
      </c>
      <c r="BDW30">
        <v>2028</v>
      </c>
      <c r="BDX30">
        <v>0.2066075</v>
      </c>
      <c r="BDY30">
        <v>218912</v>
      </c>
      <c r="BDZ30">
        <v>0.94860489999999997</v>
      </c>
      <c r="BEA30">
        <v>207661</v>
      </c>
      <c r="BEB30">
        <v>0.50713419999999998</v>
      </c>
      <c r="BEC30">
        <v>105312</v>
      </c>
      <c r="BED30">
        <v>0.74700889999999998</v>
      </c>
      <c r="BEE30">
        <v>105312</v>
      </c>
      <c r="BEF30">
        <v>0.25299110000000002</v>
      </c>
      <c r="BEG30">
        <v>207661</v>
      </c>
      <c r="BEH30">
        <v>0.49286580000000002</v>
      </c>
      <c r="BEI30">
        <v>102349</v>
      </c>
      <c r="BEJ30">
        <v>0.76684680000000005</v>
      </c>
      <c r="BEK30">
        <v>102349</v>
      </c>
      <c r="BEL30">
        <v>0.2331532</v>
      </c>
      <c r="BEM30">
        <v>460703</v>
      </c>
      <c r="BEN30">
        <v>0.53068459999999995</v>
      </c>
      <c r="BEO30">
        <v>244488</v>
      </c>
      <c r="BEP30">
        <v>0.88368340000000001</v>
      </c>
      <c r="BEQ30">
        <v>216050</v>
      </c>
      <c r="BER30">
        <v>0.1804443</v>
      </c>
      <c r="BES30">
        <v>216050</v>
      </c>
      <c r="BET30">
        <v>0.81955560000000005</v>
      </c>
      <c r="BEU30">
        <v>244488</v>
      </c>
      <c r="BEV30">
        <v>0.1163165</v>
      </c>
      <c r="BEW30">
        <v>460703</v>
      </c>
      <c r="BEX30">
        <v>0.46931539999999999</v>
      </c>
      <c r="BEY30">
        <v>216215</v>
      </c>
      <c r="BEZ30">
        <v>0.88467039999999997</v>
      </c>
      <c r="BFA30">
        <v>191279</v>
      </c>
      <c r="BFB30">
        <v>0.2247555</v>
      </c>
      <c r="BFC30">
        <v>191279</v>
      </c>
      <c r="BFD30">
        <v>0.7752445</v>
      </c>
      <c r="BFE30">
        <v>216215</v>
      </c>
      <c r="BFF30">
        <v>0.1153296</v>
      </c>
      <c r="BFG30">
        <v>451900</v>
      </c>
      <c r="BFH30">
        <v>0.25241209999999997</v>
      </c>
      <c r="BFI30">
        <v>114065</v>
      </c>
      <c r="BFJ30">
        <v>0.9579976</v>
      </c>
      <c r="BFK30">
        <v>114065</v>
      </c>
      <c r="BFL30">
        <v>4.2002400000000002E-2</v>
      </c>
      <c r="BFM30">
        <v>4791</v>
      </c>
      <c r="BFN30">
        <v>0.16280529999999999</v>
      </c>
      <c r="BFO30">
        <v>4791</v>
      </c>
      <c r="BFP30">
        <v>0.83719469999999996</v>
      </c>
      <c r="BFQ30">
        <v>451900</v>
      </c>
      <c r="BFR30">
        <v>0.74758800000000003</v>
      </c>
      <c r="BFS30">
        <v>337835</v>
      </c>
      <c r="BFT30">
        <v>0.7809315</v>
      </c>
      <c r="BFU30">
        <v>337835</v>
      </c>
      <c r="BFV30">
        <v>0.2190685</v>
      </c>
      <c r="BFW30">
        <v>74009</v>
      </c>
      <c r="BFX30">
        <v>0.5547839</v>
      </c>
      <c r="BFY30">
        <v>74009</v>
      </c>
      <c r="BFZ30">
        <v>0.4452161</v>
      </c>
      <c r="BGA30">
        <v>471322</v>
      </c>
      <c r="BGB30">
        <v>0.2360488</v>
      </c>
      <c r="BGC30">
        <v>111255</v>
      </c>
      <c r="BGD30">
        <v>0.95150780000000001</v>
      </c>
      <c r="BGE30">
        <v>111255</v>
      </c>
      <c r="BGF30">
        <v>4.8492199999999999E-2</v>
      </c>
      <c r="BGG30">
        <v>5395</v>
      </c>
      <c r="BGH30">
        <v>0.4782206</v>
      </c>
      <c r="BGI30">
        <v>5395</v>
      </c>
      <c r="BGJ30">
        <v>0.5217794</v>
      </c>
      <c r="BGK30">
        <v>471322</v>
      </c>
      <c r="BGL30">
        <v>0.76395120000000005</v>
      </c>
      <c r="BGM30">
        <v>360067</v>
      </c>
      <c r="BGN30">
        <v>0.78192390000000001</v>
      </c>
      <c r="BGO30">
        <v>360067</v>
      </c>
      <c r="BGP30">
        <v>0.21807609999999999</v>
      </c>
      <c r="BGQ30">
        <v>78522</v>
      </c>
      <c r="BGR30">
        <v>0.57642439999999995</v>
      </c>
      <c r="BGS30">
        <v>78522</v>
      </c>
      <c r="BGT30">
        <v>0.4235756</v>
      </c>
    </row>
    <row r="31" spans="1:1554" x14ac:dyDescent="0.25">
      <c r="A31" t="s">
        <v>135</v>
      </c>
      <c r="B31">
        <v>2012</v>
      </c>
      <c r="C31">
        <v>1</v>
      </c>
      <c r="D31" t="s">
        <v>560</v>
      </c>
      <c r="E31">
        <v>65626</v>
      </c>
      <c r="F31">
        <v>0.4535093</v>
      </c>
      <c r="G31">
        <v>29762</v>
      </c>
      <c r="H31">
        <v>0.1039245</v>
      </c>
      <c r="I31">
        <v>29762</v>
      </c>
      <c r="J31">
        <v>6.9887999999999999E-3</v>
      </c>
      <c r="K31">
        <v>29762</v>
      </c>
      <c r="L31">
        <v>0.13050200000000001</v>
      </c>
      <c r="M31">
        <v>29762</v>
      </c>
      <c r="N31">
        <v>6.2059000000000003E-2</v>
      </c>
      <c r="O31">
        <v>29762</v>
      </c>
      <c r="P31">
        <v>1.7169500000000001E-2</v>
      </c>
      <c r="Q31">
        <v>29762</v>
      </c>
      <c r="R31">
        <v>4.1059100000000001E-2</v>
      </c>
      <c r="S31">
        <v>29762</v>
      </c>
      <c r="T31">
        <v>0.1622875</v>
      </c>
      <c r="U31">
        <v>29762</v>
      </c>
      <c r="V31">
        <v>0.1000605</v>
      </c>
      <c r="W31">
        <v>29762</v>
      </c>
      <c r="X31">
        <v>0.11390359999999999</v>
      </c>
      <c r="Y31">
        <v>29762</v>
      </c>
      <c r="Z31">
        <v>9.5490900000000004E-2</v>
      </c>
      <c r="AA31">
        <v>29762</v>
      </c>
      <c r="AB31">
        <v>8.2218899999999998E-2</v>
      </c>
      <c r="AC31">
        <v>29762</v>
      </c>
      <c r="AD31">
        <v>4.7577399999999999E-2</v>
      </c>
      <c r="AE31">
        <v>29762</v>
      </c>
      <c r="AF31">
        <v>3.6758300000000001E-2</v>
      </c>
      <c r="AG31">
        <v>65626</v>
      </c>
      <c r="AH31">
        <v>0.5464907</v>
      </c>
      <c r="AI31">
        <v>35864</v>
      </c>
      <c r="AJ31">
        <v>8.15023E-2</v>
      </c>
      <c r="AK31">
        <v>35864</v>
      </c>
      <c r="AL31">
        <v>2.21113E-2</v>
      </c>
      <c r="AM31">
        <v>35864</v>
      </c>
      <c r="AN31">
        <v>0.10556550000000001</v>
      </c>
      <c r="AO31">
        <v>35864</v>
      </c>
      <c r="AP31">
        <v>5.74671E-2</v>
      </c>
      <c r="AQ31">
        <v>35864</v>
      </c>
      <c r="AR31">
        <v>1.6674100000000001E-2</v>
      </c>
      <c r="AS31">
        <v>35864</v>
      </c>
      <c r="AT31">
        <v>3.5021200000000002E-2</v>
      </c>
      <c r="AU31">
        <v>35864</v>
      </c>
      <c r="AV31">
        <v>0.1125641</v>
      </c>
      <c r="AW31">
        <v>35864</v>
      </c>
      <c r="AX31">
        <v>0.16810729999999999</v>
      </c>
      <c r="AY31">
        <v>35864</v>
      </c>
      <c r="AZ31">
        <v>0.13138520000000001</v>
      </c>
      <c r="BA31">
        <v>35864</v>
      </c>
      <c r="BB31">
        <v>8.4736800000000001E-2</v>
      </c>
      <c r="BC31">
        <v>35864</v>
      </c>
      <c r="BD31">
        <v>7.6371800000000004E-2</v>
      </c>
      <c r="BE31">
        <v>35864</v>
      </c>
      <c r="BF31">
        <v>4.8544499999999997E-2</v>
      </c>
      <c r="BG31">
        <v>35864</v>
      </c>
      <c r="BH31">
        <v>5.9948700000000001E-2</v>
      </c>
      <c r="BI31">
        <v>849705</v>
      </c>
      <c r="BJ31">
        <v>0.49525419999999998</v>
      </c>
      <c r="BK31">
        <v>420820</v>
      </c>
      <c r="BL31">
        <v>5.9528999999999999E-2</v>
      </c>
      <c r="BM31">
        <v>420820</v>
      </c>
      <c r="BN31">
        <v>1.47688E-2</v>
      </c>
      <c r="BO31">
        <v>420820</v>
      </c>
      <c r="BP31">
        <v>7.5580999999999995E-2</v>
      </c>
      <c r="BQ31">
        <v>420820</v>
      </c>
      <c r="BR31">
        <v>4.60577E-2</v>
      </c>
      <c r="BS31">
        <v>420820</v>
      </c>
      <c r="BT31">
        <v>1.38563E-2</v>
      </c>
      <c r="BU31">
        <v>420820</v>
      </c>
      <c r="BV31">
        <v>3.1837799999999999E-2</v>
      </c>
      <c r="BW31">
        <v>420820</v>
      </c>
      <c r="BX31">
        <v>8.1029900000000002E-2</v>
      </c>
      <c r="BY31">
        <v>420820</v>
      </c>
      <c r="BZ31">
        <v>0.13785939999999999</v>
      </c>
      <c r="CA31">
        <v>420820</v>
      </c>
      <c r="CB31">
        <v>0.13617219999999999</v>
      </c>
      <c r="CC31">
        <v>420820</v>
      </c>
      <c r="CD31">
        <v>0.1592557</v>
      </c>
      <c r="CE31">
        <v>420820</v>
      </c>
      <c r="CF31">
        <v>0.13363910000000001</v>
      </c>
      <c r="CG31">
        <v>420820</v>
      </c>
      <c r="CH31">
        <v>6.9949200000000003E-2</v>
      </c>
      <c r="CI31">
        <v>420820</v>
      </c>
      <c r="CJ31">
        <v>4.0463899999999997E-2</v>
      </c>
      <c r="CK31">
        <v>849705</v>
      </c>
      <c r="CL31">
        <v>0.50474580000000002</v>
      </c>
      <c r="CM31">
        <v>428885</v>
      </c>
      <c r="CN31">
        <v>5.4996099999999999E-2</v>
      </c>
      <c r="CO31">
        <v>428885</v>
      </c>
      <c r="CP31">
        <v>1.2581500000000001E-2</v>
      </c>
      <c r="CQ31">
        <v>428885</v>
      </c>
      <c r="CR31">
        <v>7.6624300000000006E-2</v>
      </c>
      <c r="CS31">
        <v>428885</v>
      </c>
      <c r="CT31">
        <v>3.8119800000000002E-2</v>
      </c>
      <c r="CU31">
        <v>428885</v>
      </c>
      <c r="CV31">
        <v>1.23786E-2</v>
      </c>
      <c r="CW31">
        <v>428885</v>
      </c>
      <c r="CX31">
        <v>3.06003E-2</v>
      </c>
      <c r="CY31">
        <v>428885</v>
      </c>
      <c r="CZ31">
        <v>7.1744199999999994E-2</v>
      </c>
      <c r="DA31">
        <v>428885</v>
      </c>
      <c r="DB31">
        <v>0.12399830000000001</v>
      </c>
      <c r="DC31">
        <v>428885</v>
      </c>
      <c r="DD31">
        <v>0.13561210000000001</v>
      </c>
      <c r="DE31">
        <v>428885</v>
      </c>
      <c r="DF31">
        <v>0.1677932</v>
      </c>
      <c r="DG31">
        <v>428885</v>
      </c>
      <c r="DH31">
        <v>0.1381443</v>
      </c>
      <c r="DI31">
        <v>428885</v>
      </c>
      <c r="DJ31">
        <v>7.6218599999999997E-2</v>
      </c>
      <c r="DK31">
        <v>428885</v>
      </c>
      <c r="DL31">
        <v>6.1188899999999997E-2</v>
      </c>
      <c r="DM31">
        <v>621102</v>
      </c>
      <c r="DN31">
        <v>5.5670400000000002E-2</v>
      </c>
      <c r="DO31">
        <v>34577</v>
      </c>
      <c r="DP31">
        <v>0.40972320000000001</v>
      </c>
      <c r="DQ31">
        <v>299205</v>
      </c>
      <c r="DR31">
        <v>4.7348800000000003E-2</v>
      </c>
      <c r="DS31">
        <v>14167</v>
      </c>
      <c r="DT31">
        <v>0.27881699999999998</v>
      </c>
      <c r="DU31">
        <v>21120</v>
      </c>
      <c r="DV31">
        <v>0.18702650000000001</v>
      </c>
      <c r="DW31">
        <v>14167</v>
      </c>
      <c r="DX31">
        <v>0.28404040000000003</v>
      </c>
      <c r="DY31">
        <v>55368</v>
      </c>
      <c r="DZ31">
        <v>7.2677400000000003E-2</v>
      </c>
      <c r="EA31">
        <v>14167</v>
      </c>
      <c r="EB31">
        <v>0.16990189999999999</v>
      </c>
      <c r="EC31">
        <v>78182</v>
      </c>
      <c r="ED31">
        <v>3.0787100000000001E-2</v>
      </c>
      <c r="EE31">
        <v>14167</v>
      </c>
      <c r="EF31">
        <v>0.2672408</v>
      </c>
      <c r="EG31">
        <v>144535</v>
      </c>
      <c r="EH31">
        <v>2.61943E-2</v>
      </c>
      <c r="EI31">
        <v>34577</v>
      </c>
      <c r="EJ31">
        <v>0.59027680000000005</v>
      </c>
      <c r="EK31">
        <v>321897</v>
      </c>
      <c r="EL31">
        <v>6.3405400000000001E-2</v>
      </c>
      <c r="EM31">
        <v>20410</v>
      </c>
      <c r="EN31">
        <v>0.23664869999999999</v>
      </c>
      <c r="EO31">
        <v>24017</v>
      </c>
      <c r="EP31">
        <v>0.20110749999999999</v>
      </c>
      <c r="EQ31">
        <v>20410</v>
      </c>
      <c r="ER31">
        <v>0.25051440000000003</v>
      </c>
      <c r="ES31">
        <v>63519</v>
      </c>
      <c r="ET31">
        <v>8.04956E-2</v>
      </c>
      <c r="EU31">
        <v>20410</v>
      </c>
      <c r="EV31">
        <v>0.27996080000000001</v>
      </c>
      <c r="EW31">
        <v>88891</v>
      </c>
      <c r="EX31">
        <v>6.4281000000000005E-2</v>
      </c>
      <c r="EY31">
        <v>20410</v>
      </c>
      <c r="EZ31">
        <v>0.232876</v>
      </c>
      <c r="FA31">
        <v>145470</v>
      </c>
      <c r="FB31">
        <v>3.2673399999999998E-2</v>
      </c>
      <c r="FC31">
        <v>621102</v>
      </c>
      <c r="FD31">
        <v>0.94432959999999999</v>
      </c>
      <c r="FE31">
        <v>586525</v>
      </c>
      <c r="FF31">
        <v>0.48597760000000001</v>
      </c>
      <c r="FG31">
        <v>299205</v>
      </c>
      <c r="FH31">
        <v>0.95265120000000003</v>
      </c>
      <c r="FI31">
        <v>285038</v>
      </c>
      <c r="FJ31">
        <v>6.0237600000000002E-2</v>
      </c>
      <c r="FK31">
        <v>21120</v>
      </c>
      <c r="FL31">
        <v>0.81297350000000002</v>
      </c>
      <c r="FM31">
        <v>285038</v>
      </c>
      <c r="FN31">
        <v>0.1801304</v>
      </c>
      <c r="FO31">
        <v>55368</v>
      </c>
      <c r="FP31">
        <v>0.9273226</v>
      </c>
      <c r="FQ31">
        <v>285038</v>
      </c>
      <c r="FR31">
        <v>0.26584180000000002</v>
      </c>
      <c r="FS31">
        <v>78182</v>
      </c>
      <c r="FT31">
        <v>0.96921290000000004</v>
      </c>
      <c r="FU31">
        <v>285038</v>
      </c>
      <c r="FV31">
        <v>0.49379030000000002</v>
      </c>
      <c r="FW31">
        <v>144535</v>
      </c>
      <c r="FX31">
        <v>0.9738057</v>
      </c>
      <c r="FY31">
        <v>586525</v>
      </c>
      <c r="FZ31">
        <v>0.51402239999999999</v>
      </c>
      <c r="GA31">
        <v>321897</v>
      </c>
      <c r="GB31">
        <v>0.93659460000000005</v>
      </c>
      <c r="GC31">
        <v>301487</v>
      </c>
      <c r="GD31">
        <v>6.3641199999999995E-2</v>
      </c>
      <c r="GE31">
        <v>24017</v>
      </c>
      <c r="GF31">
        <v>0.79889239999999995</v>
      </c>
      <c r="GG31">
        <v>301487</v>
      </c>
      <c r="GH31">
        <v>0.19372639999999999</v>
      </c>
      <c r="GI31">
        <v>63519</v>
      </c>
      <c r="GJ31">
        <v>0.9195044</v>
      </c>
      <c r="GK31">
        <v>301487</v>
      </c>
      <c r="GL31">
        <v>0.2758892</v>
      </c>
      <c r="GM31">
        <v>88891</v>
      </c>
      <c r="GN31">
        <v>0.93571899999999997</v>
      </c>
      <c r="GO31">
        <v>301487</v>
      </c>
      <c r="GP31">
        <v>0.46674320000000002</v>
      </c>
      <c r="GQ31">
        <v>145470</v>
      </c>
      <c r="GR31">
        <v>0.96732660000000004</v>
      </c>
      <c r="GS31">
        <v>723838</v>
      </c>
      <c r="GT31">
        <v>6.3442399999999996E-2</v>
      </c>
      <c r="GU31">
        <v>45922</v>
      </c>
      <c r="GV31">
        <v>0.44029010000000002</v>
      </c>
      <c r="GW31">
        <v>20219</v>
      </c>
      <c r="GX31">
        <v>0.115436</v>
      </c>
      <c r="GY31">
        <v>20219</v>
      </c>
      <c r="GZ31">
        <v>0.36802020000000002</v>
      </c>
      <c r="HA31">
        <v>20219</v>
      </c>
      <c r="HB31">
        <v>0.51654389999999994</v>
      </c>
      <c r="HC31">
        <v>20219</v>
      </c>
      <c r="HD31">
        <v>0.57698199999999999</v>
      </c>
      <c r="HE31">
        <v>20219</v>
      </c>
      <c r="HF31">
        <v>0.4230179</v>
      </c>
      <c r="HG31">
        <v>11666</v>
      </c>
      <c r="HH31">
        <v>0.58606210000000003</v>
      </c>
      <c r="HI31">
        <v>11666</v>
      </c>
      <c r="HJ31">
        <v>0.41393790000000003</v>
      </c>
      <c r="HK31">
        <v>45922</v>
      </c>
      <c r="HL31">
        <v>0.55971000000000004</v>
      </c>
      <c r="HM31">
        <v>25703</v>
      </c>
      <c r="HN31">
        <v>7.2442900000000005E-2</v>
      </c>
      <c r="HO31">
        <v>25703</v>
      </c>
      <c r="HP31">
        <v>0.32093529999999998</v>
      </c>
      <c r="HQ31">
        <v>25703</v>
      </c>
      <c r="HR31">
        <v>0.60662179999999999</v>
      </c>
      <c r="HS31">
        <v>25703</v>
      </c>
      <c r="HT31">
        <v>0.46597670000000002</v>
      </c>
      <c r="HU31">
        <v>25703</v>
      </c>
      <c r="HV31">
        <v>0.53402329999999998</v>
      </c>
      <c r="HW31">
        <v>11977</v>
      </c>
      <c r="HX31">
        <v>0.66911580000000004</v>
      </c>
      <c r="HY31">
        <v>11977</v>
      </c>
      <c r="HZ31">
        <v>0.33088420000000002</v>
      </c>
      <c r="IA31">
        <v>723838</v>
      </c>
      <c r="IB31">
        <v>0.93655770000000005</v>
      </c>
      <c r="IC31">
        <v>677916</v>
      </c>
      <c r="ID31">
        <v>0.4905254</v>
      </c>
      <c r="IE31">
        <v>332535</v>
      </c>
      <c r="IF31">
        <v>0.57891049999999999</v>
      </c>
      <c r="IG31">
        <v>332535</v>
      </c>
      <c r="IH31">
        <v>0.21905359999999999</v>
      </c>
      <c r="II31">
        <v>332535</v>
      </c>
      <c r="IJ31">
        <v>0.20203589999999999</v>
      </c>
      <c r="IK31">
        <v>332345</v>
      </c>
      <c r="IL31">
        <v>0.79034439999999995</v>
      </c>
      <c r="IM31">
        <v>332345</v>
      </c>
      <c r="IN31">
        <v>0.2096556</v>
      </c>
      <c r="IO31">
        <v>262667</v>
      </c>
      <c r="IP31">
        <v>0.92981990000000003</v>
      </c>
      <c r="IQ31">
        <v>262667</v>
      </c>
      <c r="IR31">
        <v>7.0180099999999995E-2</v>
      </c>
      <c r="IS31">
        <v>677916</v>
      </c>
      <c r="IT31">
        <v>0.5094746</v>
      </c>
      <c r="IU31">
        <v>345381</v>
      </c>
      <c r="IV31">
        <v>0.3972019</v>
      </c>
      <c r="IW31">
        <v>345381</v>
      </c>
      <c r="IX31">
        <v>0.28238669999999999</v>
      </c>
      <c r="IY31">
        <v>345381</v>
      </c>
      <c r="IZ31">
        <v>0.32041140000000001</v>
      </c>
      <c r="JA31">
        <v>345276</v>
      </c>
      <c r="JB31">
        <v>0.6670431</v>
      </c>
      <c r="JC31">
        <v>345276</v>
      </c>
      <c r="JD31">
        <v>0.3329568</v>
      </c>
      <c r="JE31">
        <v>230314</v>
      </c>
      <c r="JF31">
        <v>0.92967860000000002</v>
      </c>
      <c r="JG31">
        <v>230314</v>
      </c>
      <c r="JH31">
        <v>7.0321400000000006E-2</v>
      </c>
      <c r="JI31">
        <v>238170</v>
      </c>
      <c r="JJ31">
        <v>7.8658099999999995E-2</v>
      </c>
      <c r="JK31">
        <v>18734</v>
      </c>
      <c r="JL31">
        <v>0.5116366</v>
      </c>
      <c r="JM31">
        <v>9585</v>
      </c>
      <c r="JN31">
        <v>0.72947309999999999</v>
      </c>
      <c r="JO31">
        <v>9585</v>
      </c>
      <c r="JP31">
        <v>0.72947309999999999</v>
      </c>
      <c r="JQ31">
        <v>9585</v>
      </c>
      <c r="JR31">
        <v>0.72947309999999999</v>
      </c>
      <c r="JS31">
        <v>9585</v>
      </c>
      <c r="JT31">
        <v>0.72947309999999999</v>
      </c>
      <c r="JU31">
        <v>9585</v>
      </c>
      <c r="JV31">
        <v>0.27052690000000001</v>
      </c>
      <c r="JW31">
        <v>18734</v>
      </c>
      <c r="JX31">
        <v>0.4883634</v>
      </c>
      <c r="JY31">
        <v>9149</v>
      </c>
      <c r="JZ31">
        <v>0.17958250000000001</v>
      </c>
      <c r="KA31">
        <v>1643</v>
      </c>
      <c r="KB31">
        <v>0.62994519999999998</v>
      </c>
      <c r="KC31">
        <v>1035</v>
      </c>
      <c r="KD31">
        <v>0.16811590000000001</v>
      </c>
      <c r="KE31">
        <v>1035</v>
      </c>
      <c r="KF31">
        <v>0.39613530000000002</v>
      </c>
      <c r="KG31">
        <v>1035</v>
      </c>
      <c r="KH31">
        <v>0.43574879999999999</v>
      </c>
      <c r="KI31">
        <v>1643</v>
      </c>
      <c r="KJ31">
        <v>0.37005480000000002</v>
      </c>
      <c r="KK31">
        <v>9149</v>
      </c>
      <c r="KL31">
        <v>0.82041750000000002</v>
      </c>
      <c r="KM31">
        <v>7506</v>
      </c>
      <c r="KN31">
        <v>0.81774579999999997</v>
      </c>
      <c r="KO31">
        <v>6138</v>
      </c>
      <c r="KP31">
        <v>0.212447</v>
      </c>
      <c r="KQ31">
        <v>6138</v>
      </c>
      <c r="KR31">
        <v>0.24600849999999999</v>
      </c>
      <c r="KS31">
        <v>6138</v>
      </c>
      <c r="KT31">
        <v>0.54154449999999998</v>
      </c>
      <c r="KU31">
        <v>7506</v>
      </c>
      <c r="KV31">
        <v>0.18225420000000001</v>
      </c>
      <c r="KW31">
        <v>238170</v>
      </c>
      <c r="KX31">
        <v>2.0993399999999999E-2</v>
      </c>
      <c r="KY31">
        <v>5000</v>
      </c>
      <c r="KZ31">
        <v>0.56240000000000001</v>
      </c>
      <c r="LA31">
        <v>2812</v>
      </c>
      <c r="LB31">
        <v>0.59957329999999998</v>
      </c>
      <c r="LC31">
        <v>2812</v>
      </c>
      <c r="LD31">
        <v>0.59957329999999998</v>
      </c>
      <c r="LE31">
        <v>2812</v>
      </c>
      <c r="LF31">
        <v>0.59957329999999998</v>
      </c>
      <c r="LG31">
        <v>2812</v>
      </c>
      <c r="LH31">
        <v>0.59957329999999998</v>
      </c>
      <c r="LI31">
        <v>2812</v>
      </c>
      <c r="LJ31">
        <v>0.40042670000000002</v>
      </c>
      <c r="LK31">
        <v>5000</v>
      </c>
      <c r="LL31">
        <v>0.43759999999999999</v>
      </c>
      <c r="LM31">
        <v>2188</v>
      </c>
      <c r="LN31">
        <v>7.2212100000000001E-2</v>
      </c>
      <c r="LO31">
        <v>158</v>
      </c>
      <c r="LP31">
        <v>0.71518990000000005</v>
      </c>
      <c r="LQ31">
        <v>113</v>
      </c>
      <c r="LR31">
        <v>0</v>
      </c>
      <c r="LS31">
        <v>113</v>
      </c>
      <c r="LT31">
        <v>0</v>
      </c>
      <c r="LU31">
        <v>113</v>
      </c>
      <c r="LV31">
        <v>1</v>
      </c>
      <c r="LW31">
        <v>158</v>
      </c>
      <c r="LX31">
        <v>0.28481010000000001</v>
      </c>
      <c r="LY31">
        <v>2188</v>
      </c>
      <c r="LZ31">
        <v>0.92778799999999995</v>
      </c>
      <c r="MA31">
        <v>2030</v>
      </c>
      <c r="MB31">
        <v>0.67339899999999997</v>
      </c>
      <c r="MC31">
        <v>1367</v>
      </c>
      <c r="MD31">
        <v>7.8273599999999999E-2</v>
      </c>
      <c r="ME31">
        <v>1367</v>
      </c>
      <c r="MF31">
        <v>0.11850769999999999</v>
      </c>
      <c r="MG31">
        <v>1367</v>
      </c>
      <c r="MH31">
        <v>0.80321869999999995</v>
      </c>
      <c r="MI31">
        <v>2030</v>
      </c>
      <c r="MJ31">
        <v>0.32660099999999997</v>
      </c>
      <c r="MK31">
        <v>238170</v>
      </c>
      <c r="ML31">
        <v>3.2648900000000002E-2</v>
      </c>
      <c r="MM31">
        <v>7776</v>
      </c>
      <c r="MN31">
        <v>0.71296300000000001</v>
      </c>
      <c r="MO31">
        <v>5544</v>
      </c>
      <c r="MP31">
        <v>0.65800860000000005</v>
      </c>
      <c r="MQ31">
        <v>5544</v>
      </c>
      <c r="MR31">
        <v>0.65800860000000005</v>
      </c>
      <c r="MS31">
        <v>5544</v>
      </c>
      <c r="MT31">
        <v>0.65800860000000005</v>
      </c>
      <c r="MU31">
        <v>5544</v>
      </c>
      <c r="MV31">
        <v>0.65800860000000005</v>
      </c>
      <c r="MW31">
        <v>5544</v>
      </c>
      <c r="MX31">
        <v>0.3419913</v>
      </c>
      <c r="MY31">
        <v>7776</v>
      </c>
      <c r="MZ31">
        <v>0.28703699999999999</v>
      </c>
      <c r="NA31">
        <v>2232</v>
      </c>
      <c r="NB31">
        <v>0.265681</v>
      </c>
      <c r="NC31">
        <v>593</v>
      </c>
      <c r="ND31">
        <v>0.36256329999999998</v>
      </c>
      <c r="NE31">
        <v>215</v>
      </c>
      <c r="NF31">
        <v>0.32558140000000002</v>
      </c>
      <c r="NG31">
        <v>215</v>
      </c>
      <c r="NH31">
        <v>0.18139540000000001</v>
      </c>
      <c r="NI31">
        <v>215</v>
      </c>
      <c r="NJ31">
        <v>0.49302319999999999</v>
      </c>
      <c r="NK31">
        <v>593</v>
      </c>
      <c r="NL31">
        <v>0.63743669999999997</v>
      </c>
      <c r="NM31">
        <v>2232</v>
      </c>
      <c r="NN31">
        <v>0.73431900000000006</v>
      </c>
      <c r="NO31">
        <v>1639</v>
      </c>
      <c r="NP31">
        <v>0.60768759999999999</v>
      </c>
      <c r="NQ31">
        <v>996</v>
      </c>
      <c r="NR31">
        <v>0.12650600000000001</v>
      </c>
      <c r="NS31">
        <v>996</v>
      </c>
      <c r="NT31">
        <v>0.16867470000000001</v>
      </c>
      <c r="NU31">
        <v>996</v>
      </c>
      <c r="NV31">
        <v>0.70481930000000004</v>
      </c>
      <c r="NW31">
        <v>1639</v>
      </c>
      <c r="NX31">
        <v>0.39231240000000001</v>
      </c>
      <c r="NY31">
        <v>238170</v>
      </c>
      <c r="NZ31">
        <v>0.86769960000000002</v>
      </c>
      <c r="OA31">
        <v>206660</v>
      </c>
      <c r="OB31">
        <v>0.84890160000000003</v>
      </c>
      <c r="OC31">
        <v>175434</v>
      </c>
      <c r="OD31">
        <v>0.4599451</v>
      </c>
      <c r="OE31">
        <v>175434</v>
      </c>
      <c r="OF31">
        <v>0.4599451</v>
      </c>
      <c r="OG31">
        <v>175434</v>
      </c>
      <c r="OH31">
        <v>0.4599451</v>
      </c>
      <c r="OI31">
        <v>175434</v>
      </c>
      <c r="OJ31">
        <v>0.4599451</v>
      </c>
      <c r="OK31">
        <v>175434</v>
      </c>
      <c r="OL31">
        <v>0.54005499999999995</v>
      </c>
      <c r="OM31">
        <v>206660</v>
      </c>
      <c r="ON31">
        <v>0.15109839999999999</v>
      </c>
      <c r="OO31">
        <v>31226</v>
      </c>
      <c r="OP31">
        <v>0.30260039999999999</v>
      </c>
      <c r="OQ31">
        <v>9449</v>
      </c>
      <c r="OR31">
        <v>0.4830141</v>
      </c>
      <c r="OS31">
        <v>4564</v>
      </c>
      <c r="OT31">
        <v>0.2517529</v>
      </c>
      <c r="OU31">
        <v>4564</v>
      </c>
      <c r="OV31">
        <v>5.9158599999999999E-2</v>
      </c>
      <c r="OW31">
        <v>4564</v>
      </c>
      <c r="OX31">
        <v>0.68908849999999999</v>
      </c>
      <c r="OY31">
        <v>9449</v>
      </c>
      <c r="OZ31">
        <v>0.51698599999999995</v>
      </c>
      <c r="PA31">
        <v>31226</v>
      </c>
      <c r="PB31">
        <v>0.69739960000000001</v>
      </c>
      <c r="PC31">
        <v>21777</v>
      </c>
      <c r="PD31">
        <v>0.42645909999999998</v>
      </c>
      <c r="PE31">
        <v>9287</v>
      </c>
      <c r="PF31">
        <v>9.8094100000000004E-2</v>
      </c>
      <c r="PG31">
        <v>9287</v>
      </c>
      <c r="PH31">
        <v>6.8590499999999999E-2</v>
      </c>
      <c r="PI31">
        <v>9287</v>
      </c>
      <c r="PJ31">
        <v>0.83331540000000004</v>
      </c>
      <c r="PK31">
        <v>21777</v>
      </c>
      <c r="PL31">
        <v>0.57354090000000002</v>
      </c>
      <c r="PM31">
        <v>927987</v>
      </c>
      <c r="PN31">
        <v>0.4903129</v>
      </c>
      <c r="PO31">
        <v>455004</v>
      </c>
      <c r="PP31">
        <v>6.1942299999999999E-2</v>
      </c>
      <c r="PQ31">
        <v>455004</v>
      </c>
      <c r="PR31">
        <v>6.6825800000000005E-2</v>
      </c>
      <c r="PS31">
        <v>455004</v>
      </c>
      <c r="PT31">
        <v>7.3898199999999997E-2</v>
      </c>
      <c r="PU31">
        <v>455004</v>
      </c>
      <c r="PV31">
        <v>4.6204000000000002E-2</v>
      </c>
      <c r="PW31">
        <v>455004</v>
      </c>
      <c r="PX31">
        <v>2.8661300000000001E-2</v>
      </c>
      <c r="PY31">
        <v>455004</v>
      </c>
      <c r="PZ31">
        <v>1.26394E-2</v>
      </c>
      <c r="QA31">
        <v>455004</v>
      </c>
      <c r="QB31">
        <v>1.53911E-2</v>
      </c>
      <c r="QC31">
        <v>455004</v>
      </c>
      <c r="QD31">
        <v>3.3309600000000002E-2</v>
      </c>
      <c r="QE31">
        <v>455004</v>
      </c>
      <c r="QF31">
        <v>6.8663100000000005E-2</v>
      </c>
      <c r="QG31">
        <v>455004</v>
      </c>
      <c r="QH31">
        <v>6.5698300000000001E-2</v>
      </c>
      <c r="QI31">
        <v>455004</v>
      </c>
      <c r="QJ31">
        <v>6.2170900000000001E-2</v>
      </c>
      <c r="QK31">
        <v>455004</v>
      </c>
      <c r="QL31">
        <v>7.1572999999999998E-2</v>
      </c>
      <c r="QM31">
        <v>455004</v>
      </c>
      <c r="QN31">
        <v>7.4946600000000002E-2</v>
      </c>
      <c r="QO31">
        <v>455004</v>
      </c>
      <c r="QP31">
        <v>7.954E-2</v>
      </c>
      <c r="QQ31">
        <v>455004</v>
      </c>
      <c r="QR31">
        <v>6.9933499999999996E-2</v>
      </c>
      <c r="QS31">
        <v>455004</v>
      </c>
      <c r="QT31">
        <v>2.6219599999999999E-2</v>
      </c>
      <c r="QU31">
        <v>455004</v>
      </c>
      <c r="QV31">
        <v>3.2936E-2</v>
      </c>
      <c r="QW31">
        <v>455004</v>
      </c>
      <c r="QX31">
        <v>2.17229E-2</v>
      </c>
      <c r="QY31">
        <v>455004</v>
      </c>
      <c r="QZ31">
        <v>1.9604199999999999E-2</v>
      </c>
      <c r="RA31">
        <v>455004</v>
      </c>
      <c r="RB31">
        <v>2.7019499999999998E-2</v>
      </c>
      <c r="RC31">
        <v>455004</v>
      </c>
      <c r="RD31">
        <v>1.5070200000000001E-2</v>
      </c>
      <c r="RE31">
        <v>455004</v>
      </c>
      <c r="RF31">
        <v>1.37889E-2</v>
      </c>
      <c r="RG31">
        <v>455004</v>
      </c>
      <c r="RH31">
        <v>1.2241699999999999E-2</v>
      </c>
      <c r="RI31">
        <v>927987</v>
      </c>
      <c r="RJ31">
        <v>0.50968709999999995</v>
      </c>
      <c r="RK31">
        <v>472983</v>
      </c>
      <c r="RL31">
        <v>5.7133099999999999E-2</v>
      </c>
      <c r="RM31">
        <v>472983</v>
      </c>
      <c r="RN31">
        <v>6.4634499999999998E-2</v>
      </c>
      <c r="RO31">
        <v>472983</v>
      </c>
      <c r="RP31">
        <v>6.6034099999999998E-2</v>
      </c>
      <c r="RQ31">
        <v>472983</v>
      </c>
      <c r="RR31">
        <v>4.29381E-2</v>
      </c>
      <c r="RS31">
        <v>472983</v>
      </c>
      <c r="RT31">
        <v>2.48571E-2</v>
      </c>
      <c r="RU31">
        <v>472983</v>
      </c>
      <c r="RV31">
        <v>1.1247800000000001E-2</v>
      </c>
      <c r="RW31">
        <v>472983</v>
      </c>
      <c r="RX31">
        <v>1.1256199999999999E-2</v>
      </c>
      <c r="RY31">
        <v>472983</v>
      </c>
      <c r="RZ31">
        <v>3.30646E-2</v>
      </c>
      <c r="SA31">
        <v>472983</v>
      </c>
      <c r="SB31">
        <v>6.2431399999999998E-2</v>
      </c>
      <c r="SC31">
        <v>472983</v>
      </c>
      <c r="SD31">
        <v>6.3124899999999998E-2</v>
      </c>
      <c r="SE31">
        <v>472983</v>
      </c>
      <c r="SF31">
        <v>5.9283299999999997E-2</v>
      </c>
      <c r="SG31">
        <v>472983</v>
      </c>
      <c r="SH31">
        <v>7.3655899999999996E-2</v>
      </c>
      <c r="SI31">
        <v>472983</v>
      </c>
      <c r="SJ31">
        <v>7.6975299999999997E-2</v>
      </c>
      <c r="SK31">
        <v>472983</v>
      </c>
      <c r="SL31">
        <v>8.1692200000000006E-2</v>
      </c>
      <c r="SM31">
        <v>472983</v>
      </c>
      <c r="SN31">
        <v>7.1772100000000005E-2</v>
      </c>
      <c r="SO31">
        <v>472983</v>
      </c>
      <c r="SP31">
        <v>2.81701E-2</v>
      </c>
      <c r="SQ31">
        <v>472983</v>
      </c>
      <c r="SR31">
        <v>3.2229500000000001E-2</v>
      </c>
      <c r="SS31">
        <v>472983</v>
      </c>
      <c r="ST31">
        <v>2.0286100000000001E-2</v>
      </c>
      <c r="SU31">
        <v>472983</v>
      </c>
      <c r="SV31">
        <v>2.2487099999999999E-2</v>
      </c>
      <c r="SW31">
        <v>472983</v>
      </c>
      <c r="SX31">
        <v>3.1159699999999999E-2</v>
      </c>
      <c r="SY31">
        <v>472983</v>
      </c>
      <c r="SZ31">
        <v>2.2833800000000001E-2</v>
      </c>
      <c r="TA31">
        <v>472983</v>
      </c>
      <c r="TB31">
        <v>1.8706799999999999E-2</v>
      </c>
      <c r="TC31">
        <v>472983</v>
      </c>
      <c r="TD31">
        <v>2.4026200000000001E-2</v>
      </c>
      <c r="TE31">
        <v>745463</v>
      </c>
      <c r="TF31">
        <v>0.49112299999999998</v>
      </c>
      <c r="TG31">
        <v>43972</v>
      </c>
      <c r="TH31">
        <v>0.48453560000000001</v>
      </c>
      <c r="TI31"/>
      <c r="TJ31"/>
      <c r="TK31">
        <v>95618</v>
      </c>
      <c r="TL31">
        <v>0.48164570000000001</v>
      </c>
      <c r="TM31"/>
      <c r="TN31"/>
      <c r="TO31">
        <v>18631</v>
      </c>
      <c r="TP31">
        <v>0.53486129999999998</v>
      </c>
      <c r="TQ31">
        <v>22203</v>
      </c>
      <c r="TR31">
        <v>0.4765122</v>
      </c>
      <c r="TS31">
        <v>642236</v>
      </c>
      <c r="TT31">
        <v>0.48767899999999997</v>
      </c>
      <c r="TU31">
        <v>127948</v>
      </c>
      <c r="TV31">
        <v>0.51653800000000005</v>
      </c>
      <c r="TW31">
        <v>745463</v>
      </c>
      <c r="TX31">
        <v>0.50887700000000002</v>
      </c>
      <c r="TY31">
        <v>43972</v>
      </c>
      <c r="TZ31">
        <v>0.51546440000000004</v>
      </c>
      <c r="UA31"/>
      <c r="UB31"/>
      <c r="UC31">
        <v>95618</v>
      </c>
      <c r="UD31">
        <v>0.51835430000000005</v>
      </c>
      <c r="UE31"/>
      <c r="UF31"/>
      <c r="UG31">
        <v>18631</v>
      </c>
      <c r="UH31">
        <v>0.46513870000000002</v>
      </c>
      <c r="UI31">
        <v>22203</v>
      </c>
      <c r="UJ31">
        <v>0.52348779999999995</v>
      </c>
      <c r="UK31">
        <v>642236</v>
      </c>
      <c r="UL31">
        <v>0.51232100000000003</v>
      </c>
      <c r="UM31">
        <v>127948</v>
      </c>
      <c r="UN31">
        <v>0.483462</v>
      </c>
      <c r="UO31">
        <v>220427</v>
      </c>
      <c r="UP31">
        <v>220427</v>
      </c>
      <c r="UQ31">
        <v>220427</v>
      </c>
      <c r="UR31">
        <v>195617</v>
      </c>
      <c r="US31">
        <v>195617</v>
      </c>
      <c r="UT31">
        <v>195617</v>
      </c>
      <c r="UU31">
        <v>8.6200000000000003E-4</v>
      </c>
      <c r="UV31">
        <v>0.92848430000000004</v>
      </c>
      <c r="UW31">
        <v>7.0653800000000003E-2</v>
      </c>
      <c r="UX31">
        <v>5.3680000000000004E-4</v>
      </c>
      <c r="UY31">
        <v>0.91911229999999999</v>
      </c>
      <c r="UZ31">
        <v>8.0350900000000003E-2</v>
      </c>
      <c r="VA31">
        <v>12720</v>
      </c>
      <c r="VB31">
        <v>6.1320999999999997E-3</v>
      </c>
      <c r="VC31">
        <v>12720</v>
      </c>
      <c r="VD31">
        <v>0.8744497</v>
      </c>
      <c r="VE31">
        <v>12720</v>
      </c>
      <c r="VF31">
        <v>0.1194182</v>
      </c>
      <c r="VG31">
        <v>29132</v>
      </c>
      <c r="VH31">
        <v>0</v>
      </c>
      <c r="VI31">
        <v>29132</v>
      </c>
      <c r="VJ31">
        <v>0.89938899999999999</v>
      </c>
      <c r="VK31">
        <v>29132</v>
      </c>
      <c r="VL31">
        <v>0.10061100000000001</v>
      </c>
      <c r="VM31">
        <v>27962</v>
      </c>
      <c r="VN31">
        <v>0</v>
      </c>
      <c r="VO31">
        <v>27962</v>
      </c>
      <c r="VP31">
        <v>0.92861740000000004</v>
      </c>
      <c r="VQ31">
        <v>27962</v>
      </c>
      <c r="VR31">
        <v>7.1382600000000004E-2</v>
      </c>
      <c r="VS31">
        <v>57579</v>
      </c>
      <c r="VT31">
        <v>1.9452E-3</v>
      </c>
      <c r="VU31">
        <v>57579</v>
      </c>
      <c r="VV31">
        <v>0.94369479999999994</v>
      </c>
      <c r="VW31">
        <v>57579</v>
      </c>
      <c r="VX31">
        <v>5.4360100000000001E-2</v>
      </c>
      <c r="VY31">
        <v>64335</v>
      </c>
      <c r="VZ31">
        <v>0</v>
      </c>
      <c r="WA31">
        <v>64335</v>
      </c>
      <c r="WB31">
        <v>0.94222430000000001</v>
      </c>
      <c r="WC31">
        <v>64335</v>
      </c>
      <c r="WD31">
        <v>5.7775699999999999E-2</v>
      </c>
      <c r="WE31">
        <v>28699</v>
      </c>
      <c r="WF31">
        <v>0</v>
      </c>
      <c r="WG31">
        <v>28699</v>
      </c>
      <c r="WH31">
        <v>0.92051989999999995</v>
      </c>
      <c r="WI31">
        <v>28699</v>
      </c>
      <c r="WJ31">
        <v>7.9480099999999998E-2</v>
      </c>
      <c r="WK31">
        <v>12619</v>
      </c>
      <c r="WL31">
        <v>0</v>
      </c>
      <c r="WM31">
        <v>12619</v>
      </c>
      <c r="WN31">
        <v>0.85585230000000001</v>
      </c>
      <c r="WO31">
        <v>12619</v>
      </c>
      <c r="WP31">
        <v>0.14414769999999999</v>
      </c>
      <c r="WQ31">
        <v>24680</v>
      </c>
      <c r="WR31">
        <v>0</v>
      </c>
      <c r="WS31">
        <v>24680</v>
      </c>
      <c r="WT31">
        <v>0.91762560000000004</v>
      </c>
      <c r="WU31">
        <v>24680</v>
      </c>
      <c r="WV31">
        <v>8.23744E-2</v>
      </c>
      <c r="WW31">
        <v>24085</v>
      </c>
      <c r="WX31">
        <v>0</v>
      </c>
      <c r="WY31">
        <v>24085</v>
      </c>
      <c r="WZ31">
        <v>0.91243510000000005</v>
      </c>
      <c r="XA31">
        <v>24085</v>
      </c>
      <c r="XB31">
        <v>8.7564900000000001E-2</v>
      </c>
      <c r="XC31">
        <v>46698</v>
      </c>
      <c r="XD31">
        <v>8.3520000000000003E-4</v>
      </c>
      <c r="XE31">
        <v>46698</v>
      </c>
      <c r="XF31">
        <v>0.90761919999999996</v>
      </c>
      <c r="XG31">
        <v>46698</v>
      </c>
      <c r="XH31">
        <v>9.1545699999999994E-2</v>
      </c>
      <c r="XI31">
        <v>61828</v>
      </c>
      <c r="XJ31">
        <v>1.0675000000000001E-3</v>
      </c>
      <c r="XK31">
        <v>61828</v>
      </c>
      <c r="XL31">
        <v>0.93802160000000001</v>
      </c>
      <c r="XM31">
        <v>61828</v>
      </c>
      <c r="XN31">
        <v>6.0910899999999997E-2</v>
      </c>
      <c r="XO31">
        <v>25707</v>
      </c>
      <c r="XP31">
        <v>0</v>
      </c>
      <c r="XQ31">
        <v>25707</v>
      </c>
      <c r="XR31">
        <v>0.93324770000000001</v>
      </c>
      <c r="XS31">
        <v>25707</v>
      </c>
      <c r="XT31">
        <v>6.6752199999999998E-2</v>
      </c>
      <c r="XU31">
        <v>618892</v>
      </c>
      <c r="XV31">
        <v>0.4954402</v>
      </c>
      <c r="XW31">
        <v>306624</v>
      </c>
      <c r="XX31">
        <v>0.84835170000000004</v>
      </c>
      <c r="XY31">
        <v>306624</v>
      </c>
      <c r="XZ31">
        <v>0.15164830000000001</v>
      </c>
      <c r="YA31">
        <v>260125</v>
      </c>
      <c r="YB31">
        <v>0.84434019999999999</v>
      </c>
      <c r="YC31">
        <v>219634</v>
      </c>
      <c r="YD31">
        <v>0.85479479999999997</v>
      </c>
      <c r="YE31">
        <v>219634</v>
      </c>
      <c r="YF31">
        <v>1.4501399999999999E-2</v>
      </c>
      <c r="YG31">
        <v>219634</v>
      </c>
      <c r="YH31">
        <v>3.3360000000000001E-2</v>
      </c>
      <c r="YI31">
        <v>219634</v>
      </c>
      <c r="YJ31">
        <v>4.3536100000000001E-2</v>
      </c>
      <c r="YK31">
        <v>219634</v>
      </c>
      <c r="YL31">
        <v>2.7327299999999999E-2</v>
      </c>
      <c r="YM31">
        <v>219634</v>
      </c>
      <c r="YN31">
        <v>2.6480400000000001E-2</v>
      </c>
      <c r="YO31">
        <v>260125</v>
      </c>
      <c r="YP31">
        <v>0.1198385</v>
      </c>
      <c r="YQ31">
        <v>31173</v>
      </c>
      <c r="YR31">
        <v>0.48875629999999998</v>
      </c>
      <c r="YS31">
        <v>31173</v>
      </c>
      <c r="YT31">
        <v>1.9279500000000001E-2</v>
      </c>
      <c r="YU31">
        <v>31173</v>
      </c>
      <c r="YV31">
        <v>0.1045777</v>
      </c>
      <c r="YW31">
        <v>31173</v>
      </c>
      <c r="YX31">
        <v>0.1177622</v>
      </c>
      <c r="YY31">
        <v>31173</v>
      </c>
      <c r="YZ31">
        <v>0.1043531</v>
      </c>
      <c r="ZA31">
        <v>31173</v>
      </c>
      <c r="ZB31">
        <v>0.16527120000000001</v>
      </c>
      <c r="ZC31">
        <v>260125</v>
      </c>
      <c r="ZD31">
        <v>3.5821199999999997E-2</v>
      </c>
      <c r="ZE31">
        <v>9318</v>
      </c>
      <c r="ZF31">
        <v>0.1355441</v>
      </c>
      <c r="ZG31">
        <v>9318</v>
      </c>
      <c r="ZH31">
        <v>3.2303100000000001E-2</v>
      </c>
      <c r="ZI31">
        <v>9318</v>
      </c>
      <c r="ZJ31">
        <v>6.8469600000000005E-2</v>
      </c>
      <c r="ZK31">
        <v>9318</v>
      </c>
      <c r="ZL31">
        <v>0.2150676</v>
      </c>
      <c r="ZM31">
        <v>9318</v>
      </c>
      <c r="ZN31">
        <v>8.5211400000000007E-2</v>
      </c>
      <c r="ZO31">
        <v>9318</v>
      </c>
      <c r="ZP31">
        <v>0.46340419999999999</v>
      </c>
      <c r="ZQ31">
        <v>618892</v>
      </c>
      <c r="ZR31">
        <v>0.5045598</v>
      </c>
      <c r="ZS31">
        <v>312268</v>
      </c>
      <c r="ZT31">
        <v>0.75147949999999997</v>
      </c>
      <c r="ZU31">
        <v>312268</v>
      </c>
      <c r="ZV31">
        <v>0.24852050000000001</v>
      </c>
      <c r="ZW31">
        <v>234663</v>
      </c>
      <c r="ZX31">
        <v>0.67210000000000003</v>
      </c>
      <c r="ZY31">
        <v>157717</v>
      </c>
      <c r="ZZ31">
        <v>0.84872910000000001</v>
      </c>
      <c r="AAA31">
        <v>157717</v>
      </c>
      <c r="AAB31">
        <v>1.1863E-2</v>
      </c>
      <c r="AAC31">
        <v>157717</v>
      </c>
      <c r="AAD31">
        <v>4.83588E-2</v>
      </c>
      <c r="AAE31">
        <v>157717</v>
      </c>
      <c r="AAF31">
        <v>3.3972200000000001E-2</v>
      </c>
      <c r="AAG31">
        <v>157717</v>
      </c>
      <c r="AAH31">
        <v>2.2813E-2</v>
      </c>
      <c r="AAI31">
        <v>157717</v>
      </c>
      <c r="AAJ31">
        <v>3.42639E-2</v>
      </c>
      <c r="AAK31">
        <v>234663</v>
      </c>
      <c r="AAL31">
        <v>0.23834610000000001</v>
      </c>
      <c r="AAM31">
        <v>55931</v>
      </c>
      <c r="AAN31">
        <v>0.56355149999999998</v>
      </c>
      <c r="AAO31">
        <v>55931</v>
      </c>
      <c r="AAP31">
        <v>2.6157199999999999E-2</v>
      </c>
      <c r="AAQ31">
        <v>55931</v>
      </c>
      <c r="AAR31">
        <v>0.10144640000000001</v>
      </c>
      <c r="AAS31">
        <v>55931</v>
      </c>
      <c r="AAT31">
        <v>0.1127461</v>
      </c>
      <c r="AAU31">
        <v>55931</v>
      </c>
      <c r="AAV31">
        <v>7.8167700000000007E-2</v>
      </c>
      <c r="AAW31">
        <v>55931</v>
      </c>
      <c r="AAX31">
        <v>0.11793099999999999</v>
      </c>
      <c r="AAY31">
        <v>234663</v>
      </c>
      <c r="AAZ31">
        <v>8.9553999999999995E-2</v>
      </c>
      <c r="ABA31">
        <v>21015</v>
      </c>
      <c r="ABB31">
        <v>0.26861770000000001</v>
      </c>
      <c r="ABC31">
        <v>21015</v>
      </c>
      <c r="ABD31">
        <v>2.9407599999999999E-2</v>
      </c>
      <c r="ABE31">
        <v>21015</v>
      </c>
      <c r="ABF31">
        <v>8.8841299999999998E-2</v>
      </c>
      <c r="ABG31">
        <v>21015</v>
      </c>
      <c r="ABH31">
        <v>0.12881280000000001</v>
      </c>
      <c r="ABI31">
        <v>21015</v>
      </c>
      <c r="ABJ31">
        <v>0.15665000000000001</v>
      </c>
      <c r="ABK31">
        <v>21015</v>
      </c>
      <c r="ABL31">
        <v>0.32767069999999998</v>
      </c>
      <c r="ABM31">
        <v>333950</v>
      </c>
      <c r="ABN31">
        <v>0.71319060000000001</v>
      </c>
      <c r="ABO31">
        <v>238170</v>
      </c>
      <c r="ABP31">
        <v>0.81191999999999998</v>
      </c>
      <c r="ABQ31">
        <v>238170</v>
      </c>
      <c r="ABR31">
        <v>0.18807989999999999</v>
      </c>
      <c r="ABS31">
        <v>44795</v>
      </c>
      <c r="ABT31">
        <v>0.26438220000000001</v>
      </c>
      <c r="ABU31">
        <v>44795</v>
      </c>
      <c r="ABV31">
        <v>0.73561779999999999</v>
      </c>
      <c r="ABW31">
        <v>333950</v>
      </c>
      <c r="ABX31">
        <v>0.28680939999999999</v>
      </c>
      <c r="ABY31">
        <v>95780</v>
      </c>
      <c r="ABZ31">
        <v>0.85961580000000004</v>
      </c>
      <c r="ACA31">
        <v>95780</v>
      </c>
      <c r="ACB31">
        <v>0.14038419999999999</v>
      </c>
      <c r="ACC31">
        <v>746946</v>
      </c>
      <c r="ACD31">
        <v>0.48569780000000001</v>
      </c>
      <c r="ACE31">
        <v>362790</v>
      </c>
      <c r="ACF31">
        <v>0.33040049999999999</v>
      </c>
      <c r="ACG31">
        <v>119866</v>
      </c>
      <c r="ACH31">
        <v>0.1753875</v>
      </c>
      <c r="ACI31">
        <v>119866</v>
      </c>
      <c r="ACJ31">
        <v>0.1087965</v>
      </c>
      <c r="ACK31">
        <v>119866</v>
      </c>
      <c r="ACL31">
        <v>0.21880269999999999</v>
      </c>
      <c r="ACM31">
        <v>119866</v>
      </c>
      <c r="ACN31">
        <v>0.19077140000000001</v>
      </c>
      <c r="ACO31">
        <v>119866</v>
      </c>
      <c r="ACP31">
        <v>0.1072531</v>
      </c>
      <c r="ACQ31">
        <v>119866</v>
      </c>
      <c r="ACR31">
        <v>5.7998099999999997E-2</v>
      </c>
      <c r="ACS31">
        <v>119866</v>
      </c>
      <c r="ACT31">
        <v>3.6999700000000003E-2</v>
      </c>
      <c r="ACU31">
        <v>119866</v>
      </c>
      <c r="ACV31">
        <v>2.72137E-2</v>
      </c>
      <c r="ACW31">
        <v>119866</v>
      </c>
      <c r="ACX31">
        <v>3.1518499999999998E-2</v>
      </c>
      <c r="ACY31">
        <v>119866</v>
      </c>
      <c r="ACZ31">
        <v>1.3122999999999999E-2</v>
      </c>
      <c r="ADA31">
        <v>119866</v>
      </c>
      <c r="ADB31">
        <v>1.7052399999999999E-2</v>
      </c>
      <c r="ADC31">
        <v>119866</v>
      </c>
      <c r="ADD31">
        <v>1.1638000000000001E-2</v>
      </c>
      <c r="ADE31">
        <v>119866</v>
      </c>
      <c r="ADF31">
        <v>1.7186E-3</v>
      </c>
      <c r="ADG31">
        <v>119866</v>
      </c>
      <c r="ADH31">
        <v>1.7269E-3</v>
      </c>
      <c r="ADI31">
        <v>362790</v>
      </c>
      <c r="ADJ31">
        <v>0.58347530000000003</v>
      </c>
      <c r="ADK31">
        <v>211679</v>
      </c>
      <c r="ADL31">
        <v>0.94661249999999997</v>
      </c>
      <c r="ADM31">
        <v>200378</v>
      </c>
      <c r="ADN31">
        <v>0</v>
      </c>
      <c r="ADO31">
        <v>200378</v>
      </c>
      <c r="ADP31">
        <v>0</v>
      </c>
      <c r="ADQ31">
        <v>200378</v>
      </c>
      <c r="ADR31">
        <v>4.1222000000000003E-3</v>
      </c>
      <c r="ADS31">
        <v>200378</v>
      </c>
      <c r="ADT31">
        <v>3.3676400000000002E-2</v>
      </c>
      <c r="ADU31">
        <v>200378</v>
      </c>
      <c r="ADV31">
        <v>7.5876600000000002E-2</v>
      </c>
      <c r="ADW31">
        <v>200378</v>
      </c>
      <c r="ADX31">
        <v>9.3867599999999995E-2</v>
      </c>
      <c r="ADY31">
        <v>200378</v>
      </c>
      <c r="ADZ31">
        <v>0.1190899</v>
      </c>
      <c r="AEA31">
        <v>200378</v>
      </c>
      <c r="AEB31">
        <v>0.12827759999999999</v>
      </c>
      <c r="AEC31">
        <v>200378</v>
      </c>
      <c r="AED31">
        <v>0.1357834</v>
      </c>
      <c r="AEE31">
        <v>200378</v>
      </c>
      <c r="AEF31">
        <v>0.1191947</v>
      </c>
      <c r="AEG31">
        <v>200378</v>
      </c>
      <c r="AEH31">
        <v>0.1021469</v>
      </c>
      <c r="AEI31">
        <v>200378</v>
      </c>
      <c r="AEJ31">
        <v>0.123836</v>
      </c>
      <c r="AEK31">
        <v>200378</v>
      </c>
      <c r="AEL31">
        <v>4.9725999999999999E-2</v>
      </c>
      <c r="AEM31">
        <v>200378</v>
      </c>
      <c r="AEN31">
        <v>1.44028E-2</v>
      </c>
      <c r="AEO31">
        <v>211679</v>
      </c>
      <c r="AEP31">
        <v>5.3387400000000002E-2</v>
      </c>
      <c r="AEQ31">
        <v>11301</v>
      </c>
      <c r="AER31">
        <v>0.40934429999999999</v>
      </c>
      <c r="AES31">
        <v>4626</v>
      </c>
      <c r="AET31">
        <v>0</v>
      </c>
      <c r="AEU31">
        <v>4626</v>
      </c>
      <c r="AEV31">
        <v>0</v>
      </c>
      <c r="AEW31">
        <v>4626</v>
      </c>
      <c r="AEX31">
        <v>0</v>
      </c>
      <c r="AEY31">
        <v>4626</v>
      </c>
      <c r="AEZ31">
        <v>2.8750499999999998E-2</v>
      </c>
      <c r="AFA31">
        <v>4626</v>
      </c>
      <c r="AFB31">
        <v>5.57717E-2</v>
      </c>
      <c r="AFC31">
        <v>4626</v>
      </c>
      <c r="AFD31">
        <v>5.1232199999999999E-2</v>
      </c>
      <c r="AFE31">
        <v>4626</v>
      </c>
      <c r="AFF31">
        <v>8.6900099999999994E-2</v>
      </c>
      <c r="AFG31">
        <v>4626</v>
      </c>
      <c r="AFH31">
        <v>0.31733679999999997</v>
      </c>
      <c r="AFI31">
        <v>4626</v>
      </c>
      <c r="AFJ31">
        <v>0.19649810000000001</v>
      </c>
      <c r="AFK31">
        <v>4626</v>
      </c>
      <c r="AFL31">
        <v>0.1100303</v>
      </c>
      <c r="AFM31">
        <v>4626</v>
      </c>
      <c r="AFN31">
        <v>8.10636E-2</v>
      </c>
      <c r="AFO31">
        <v>4626</v>
      </c>
      <c r="AFP31">
        <v>6.3986199999999993E-2</v>
      </c>
      <c r="AFQ31">
        <v>4626</v>
      </c>
      <c r="AFR31">
        <v>0</v>
      </c>
      <c r="AFS31">
        <v>4626</v>
      </c>
      <c r="AFT31">
        <v>8.4305999999999999E-3</v>
      </c>
      <c r="AFU31">
        <v>11301</v>
      </c>
      <c r="AFV31">
        <v>0.59065570000000001</v>
      </c>
      <c r="AFW31">
        <v>6675</v>
      </c>
      <c r="AFX31">
        <v>0</v>
      </c>
      <c r="AFY31">
        <v>6675</v>
      </c>
      <c r="AFZ31">
        <v>0</v>
      </c>
      <c r="AGA31">
        <v>6675</v>
      </c>
      <c r="AGB31">
        <v>0.1134082</v>
      </c>
      <c r="AGC31">
        <v>6675</v>
      </c>
      <c r="AGD31">
        <v>9.4681699999999994E-2</v>
      </c>
      <c r="AGE31">
        <v>6675</v>
      </c>
      <c r="AGF31">
        <v>0.1442697</v>
      </c>
      <c r="AGG31">
        <v>6675</v>
      </c>
      <c r="AGH31">
        <v>0.10756549999999999</v>
      </c>
      <c r="AGI31">
        <v>6675</v>
      </c>
      <c r="AGJ31">
        <v>0.1069663</v>
      </c>
      <c r="AGK31">
        <v>6675</v>
      </c>
      <c r="AGL31">
        <v>4.1647900000000002E-2</v>
      </c>
      <c r="AGM31">
        <v>6675</v>
      </c>
      <c r="AGN31">
        <v>6.0374499999999998E-2</v>
      </c>
      <c r="AGO31">
        <v>6675</v>
      </c>
      <c r="AGP31">
        <v>0.10531840000000001</v>
      </c>
      <c r="AGQ31">
        <v>6675</v>
      </c>
      <c r="AGR31">
        <v>7.4157299999999995E-2</v>
      </c>
      <c r="AGS31">
        <v>6675</v>
      </c>
      <c r="AGT31">
        <v>6.5018699999999999E-2</v>
      </c>
      <c r="AGU31">
        <v>6675</v>
      </c>
      <c r="AGV31">
        <v>2.62172E-2</v>
      </c>
      <c r="AGW31">
        <v>6675</v>
      </c>
      <c r="AGX31">
        <v>6.0374499999999998E-2</v>
      </c>
      <c r="AGY31">
        <v>362790</v>
      </c>
      <c r="AGZ31">
        <v>1.9973000000000001E-2</v>
      </c>
      <c r="AHA31">
        <v>7246</v>
      </c>
      <c r="AHB31">
        <v>0</v>
      </c>
      <c r="AHC31">
        <v>7246</v>
      </c>
      <c r="AHD31">
        <v>0</v>
      </c>
      <c r="AHE31">
        <v>7246</v>
      </c>
      <c r="AHF31">
        <v>5.9343E-3</v>
      </c>
      <c r="AHG31">
        <v>7246</v>
      </c>
      <c r="AHH31">
        <v>0</v>
      </c>
      <c r="AHI31">
        <v>7246</v>
      </c>
      <c r="AHJ31">
        <v>0</v>
      </c>
      <c r="AHK31">
        <v>7246</v>
      </c>
      <c r="AHL31">
        <v>5.3822999999999996E-3</v>
      </c>
      <c r="AHM31">
        <v>7246</v>
      </c>
      <c r="AHN31">
        <v>9.2464999999999995E-3</v>
      </c>
      <c r="AHO31">
        <v>7246</v>
      </c>
      <c r="AHP31">
        <v>1.0764599999999999E-2</v>
      </c>
      <c r="AHQ31">
        <v>7246</v>
      </c>
      <c r="AHR31">
        <v>7.6869999999999994E-2</v>
      </c>
      <c r="AHS31">
        <v>7246</v>
      </c>
      <c r="AHT31">
        <v>6.4311300000000002E-2</v>
      </c>
      <c r="AHU31">
        <v>7246</v>
      </c>
      <c r="AHV31">
        <v>8.3908399999999994E-2</v>
      </c>
      <c r="AHW31">
        <v>7246</v>
      </c>
      <c r="AHX31">
        <v>0.18258350000000001</v>
      </c>
      <c r="AHY31">
        <v>7246</v>
      </c>
      <c r="AHZ31">
        <v>0.30361579999999999</v>
      </c>
      <c r="AIA31">
        <v>7246</v>
      </c>
      <c r="AIB31">
        <v>0.25738339999999998</v>
      </c>
      <c r="AIC31">
        <v>362790</v>
      </c>
      <c r="AID31">
        <v>6.6151199999999993E-2</v>
      </c>
      <c r="AIE31">
        <v>23999</v>
      </c>
      <c r="AIF31">
        <v>0</v>
      </c>
      <c r="AIG31">
        <v>23999</v>
      </c>
      <c r="AIH31">
        <v>0</v>
      </c>
      <c r="AII31">
        <v>23999</v>
      </c>
      <c r="AIJ31">
        <v>2.3751000000000002E-3</v>
      </c>
      <c r="AIK31">
        <v>23999</v>
      </c>
      <c r="AIL31">
        <v>3.5918199999999997E-2</v>
      </c>
      <c r="AIM31">
        <v>23999</v>
      </c>
      <c r="AIN31">
        <v>2.5501099999999999E-2</v>
      </c>
      <c r="AIO31">
        <v>23999</v>
      </c>
      <c r="AIP31">
        <v>6.3877699999999996E-2</v>
      </c>
      <c r="AIQ31">
        <v>23999</v>
      </c>
      <c r="AIR31">
        <v>0.12854699999999999</v>
      </c>
      <c r="AIS31">
        <v>23999</v>
      </c>
      <c r="AIT31">
        <v>0.13796410000000001</v>
      </c>
      <c r="AIU31">
        <v>23999</v>
      </c>
      <c r="AIV31">
        <v>0.13900580000000001</v>
      </c>
      <c r="AIW31">
        <v>23999</v>
      </c>
      <c r="AIX31">
        <v>0.19521649999999999</v>
      </c>
      <c r="AIY31">
        <v>23999</v>
      </c>
      <c r="AIZ31">
        <v>0.12192169999999999</v>
      </c>
      <c r="AJA31">
        <v>23999</v>
      </c>
      <c r="AJB31">
        <v>0.1181716</v>
      </c>
      <c r="AJC31">
        <v>23999</v>
      </c>
      <c r="AJD31">
        <v>2.4417700000000001E-2</v>
      </c>
      <c r="AJE31">
        <v>23999</v>
      </c>
      <c r="AJF31">
        <v>7.0835999999999998E-3</v>
      </c>
      <c r="AJG31">
        <v>746946</v>
      </c>
      <c r="AJH31">
        <v>0.51430229999999999</v>
      </c>
      <c r="AJI31">
        <v>384156</v>
      </c>
      <c r="AJJ31">
        <v>0.2741152</v>
      </c>
      <c r="AJK31">
        <v>105303</v>
      </c>
      <c r="AJL31">
        <v>0.1926156</v>
      </c>
      <c r="AJM31">
        <v>105303</v>
      </c>
      <c r="AJN31">
        <v>0.1116492</v>
      </c>
      <c r="AJO31">
        <v>105303</v>
      </c>
      <c r="AJP31">
        <v>0.228607</v>
      </c>
      <c r="AJQ31">
        <v>105303</v>
      </c>
      <c r="AJR31">
        <v>0.1687226</v>
      </c>
      <c r="AJS31">
        <v>105303</v>
      </c>
      <c r="AJT31">
        <v>8.0349100000000007E-2</v>
      </c>
      <c r="AJU31">
        <v>105303</v>
      </c>
      <c r="AJV31">
        <v>3.0436000000000001E-2</v>
      </c>
      <c r="AJW31">
        <v>105303</v>
      </c>
      <c r="AJX31">
        <v>3.3398900000000002E-2</v>
      </c>
      <c r="AJY31">
        <v>105303</v>
      </c>
      <c r="AJZ31">
        <v>3.4642899999999997E-2</v>
      </c>
      <c r="AKA31">
        <v>105303</v>
      </c>
      <c r="AKB31">
        <v>2.9201399999999999E-2</v>
      </c>
      <c r="AKC31">
        <v>105303</v>
      </c>
      <c r="AKD31">
        <v>2.91065E-2</v>
      </c>
      <c r="AKE31">
        <v>105303</v>
      </c>
      <c r="AKF31">
        <v>2.1461899999999999E-2</v>
      </c>
      <c r="AKG31">
        <v>105303</v>
      </c>
      <c r="AKH31">
        <v>2.02273E-2</v>
      </c>
      <c r="AKI31">
        <v>105303</v>
      </c>
      <c r="AKJ31">
        <v>1.32855E-2</v>
      </c>
      <c r="AKK31">
        <v>105303</v>
      </c>
      <c r="AKL31">
        <v>6.2960999999999998E-3</v>
      </c>
      <c r="AKM31">
        <v>384156</v>
      </c>
      <c r="AKN31">
        <v>0.54066320000000001</v>
      </c>
      <c r="AKO31">
        <v>207699</v>
      </c>
      <c r="AKP31">
        <v>0.94411619999999996</v>
      </c>
      <c r="AKQ31">
        <v>196092</v>
      </c>
      <c r="AKR31">
        <v>0</v>
      </c>
      <c r="AKS31">
        <v>196092</v>
      </c>
      <c r="AKT31">
        <v>0</v>
      </c>
      <c r="AKU31">
        <v>196092</v>
      </c>
      <c r="AKV31">
        <v>9.1181999999999999E-3</v>
      </c>
      <c r="AKW31">
        <v>196092</v>
      </c>
      <c r="AKX31">
        <v>5.2490700000000001E-2</v>
      </c>
      <c r="AKY31">
        <v>196092</v>
      </c>
      <c r="AKZ31">
        <v>9.1701900000000003E-2</v>
      </c>
      <c r="ALA31">
        <v>196092</v>
      </c>
      <c r="ALB31">
        <v>0.1033036</v>
      </c>
      <c r="ALC31">
        <v>196092</v>
      </c>
      <c r="ALD31">
        <v>0.129633</v>
      </c>
      <c r="ALE31">
        <v>196092</v>
      </c>
      <c r="ALF31">
        <v>0.12997980000000001</v>
      </c>
      <c r="ALG31">
        <v>196092</v>
      </c>
      <c r="ALH31">
        <v>0.13518140000000001</v>
      </c>
      <c r="ALI31">
        <v>196092</v>
      </c>
      <c r="ALJ31">
        <v>0.1207545</v>
      </c>
      <c r="ALK31">
        <v>196092</v>
      </c>
      <c r="ALL31">
        <v>9.2354599999999995E-2</v>
      </c>
      <c r="ALM31">
        <v>196092</v>
      </c>
      <c r="ALN31">
        <v>9.4353699999999999E-2</v>
      </c>
      <c r="ALO31">
        <v>196092</v>
      </c>
      <c r="ALP31">
        <v>3.5437400000000001E-2</v>
      </c>
      <c r="ALQ31">
        <v>196092</v>
      </c>
      <c r="ALR31">
        <v>5.6912000000000004E-3</v>
      </c>
      <c r="ALS31">
        <v>207699</v>
      </c>
      <c r="ALT31">
        <v>5.5883799999999997E-2</v>
      </c>
      <c r="ALU31">
        <v>11607</v>
      </c>
      <c r="ALV31">
        <v>0.44249159999999998</v>
      </c>
      <c r="ALW31">
        <v>5136</v>
      </c>
      <c r="ALX31">
        <v>0</v>
      </c>
      <c r="ALY31">
        <v>5136</v>
      </c>
      <c r="ALZ31">
        <v>0</v>
      </c>
      <c r="AMA31">
        <v>5136</v>
      </c>
      <c r="AMB31">
        <v>4.6923699999999999E-2</v>
      </c>
      <c r="AMC31">
        <v>5136</v>
      </c>
      <c r="AMD31">
        <v>3.6604400000000002E-2</v>
      </c>
      <c r="AME31">
        <v>5136</v>
      </c>
      <c r="AMF31">
        <v>0.15031149999999999</v>
      </c>
      <c r="AMG31">
        <v>5136</v>
      </c>
      <c r="AMH31">
        <v>0.135514</v>
      </c>
      <c r="AMI31">
        <v>5136</v>
      </c>
      <c r="AMJ31">
        <v>0.10922900000000001</v>
      </c>
      <c r="AMK31">
        <v>5136</v>
      </c>
      <c r="AML31">
        <v>0.16218850000000001</v>
      </c>
      <c r="AMM31">
        <v>5136</v>
      </c>
      <c r="AMN31">
        <v>0.13356699999999999</v>
      </c>
      <c r="AMO31">
        <v>5136</v>
      </c>
      <c r="AMP31">
        <v>0.1277259</v>
      </c>
      <c r="AMQ31">
        <v>5136</v>
      </c>
      <c r="AMR31">
        <v>4.8286599999999999E-2</v>
      </c>
      <c r="AMS31">
        <v>5136</v>
      </c>
      <c r="AMT31">
        <v>4.1472000000000002E-2</v>
      </c>
      <c r="AMU31">
        <v>5136</v>
      </c>
      <c r="AMV31">
        <v>8.1776000000000001E-3</v>
      </c>
      <c r="AMW31">
        <v>5136</v>
      </c>
      <c r="AMX31">
        <v>0</v>
      </c>
      <c r="AMY31">
        <v>11607</v>
      </c>
      <c r="AMZ31">
        <v>0.55750840000000002</v>
      </c>
      <c r="ANA31">
        <v>6471</v>
      </c>
      <c r="ANB31">
        <v>4.0178999999999996E-3</v>
      </c>
      <c r="ANC31">
        <v>6471</v>
      </c>
      <c r="AND31">
        <v>0</v>
      </c>
      <c r="ANE31">
        <v>6471</v>
      </c>
      <c r="ANF31">
        <v>2.2098599999999999E-2</v>
      </c>
      <c r="ANG31">
        <v>6471</v>
      </c>
      <c r="ANH31">
        <v>0.123783</v>
      </c>
      <c r="ANI31">
        <v>6471</v>
      </c>
      <c r="ANJ31">
        <v>3.97157E-2</v>
      </c>
      <c r="ANK31">
        <v>6471</v>
      </c>
      <c r="ANL31">
        <v>0.13197339999999999</v>
      </c>
      <c r="ANM31">
        <v>6471</v>
      </c>
      <c r="ANN31">
        <v>0.199351</v>
      </c>
      <c r="ANO31">
        <v>6471</v>
      </c>
      <c r="ANP31">
        <v>3.8479399999999997E-2</v>
      </c>
      <c r="ANQ31">
        <v>6471</v>
      </c>
      <c r="ANR31">
        <v>9.1639600000000002E-2</v>
      </c>
      <c r="ANS31">
        <v>6471</v>
      </c>
      <c r="ANT31">
        <v>7.29408E-2</v>
      </c>
      <c r="ANU31">
        <v>6471</v>
      </c>
      <c r="ANV31">
        <v>4.3424499999999998E-2</v>
      </c>
      <c r="ANW31">
        <v>6471</v>
      </c>
      <c r="ANX31">
        <v>0.1322825</v>
      </c>
      <c r="ANY31">
        <v>6471</v>
      </c>
      <c r="ANZ31">
        <v>5.5323799999999999E-2</v>
      </c>
      <c r="AOA31">
        <v>6471</v>
      </c>
      <c r="AOB31">
        <v>4.49699E-2</v>
      </c>
      <c r="AOC31">
        <v>384156</v>
      </c>
      <c r="AOD31">
        <v>7.9967499999999997E-2</v>
      </c>
      <c r="AOE31">
        <v>30720</v>
      </c>
      <c r="AOF31">
        <v>0</v>
      </c>
      <c r="AOG31">
        <v>30720</v>
      </c>
      <c r="AOH31">
        <v>0</v>
      </c>
      <c r="AOI31">
        <v>30720</v>
      </c>
      <c r="AOJ31">
        <v>0</v>
      </c>
      <c r="AOK31">
        <v>30720</v>
      </c>
      <c r="AOL31">
        <v>0</v>
      </c>
      <c r="AOM31">
        <v>30720</v>
      </c>
      <c r="AON31">
        <v>5.2082999999999999E-3</v>
      </c>
      <c r="AOO31">
        <v>30720</v>
      </c>
      <c r="AOP31">
        <v>1.9661499999999998E-2</v>
      </c>
      <c r="AOQ31">
        <v>30720</v>
      </c>
      <c r="AOR31">
        <v>1.0579399999999999E-2</v>
      </c>
      <c r="AOS31">
        <v>30720</v>
      </c>
      <c r="AOT31">
        <v>1.3085899999999999E-2</v>
      </c>
      <c r="AOU31">
        <v>30720</v>
      </c>
      <c r="AOV31">
        <v>4.2252600000000001E-2</v>
      </c>
      <c r="AOW31">
        <v>30720</v>
      </c>
      <c r="AOX31">
        <v>4.7656200000000003E-2</v>
      </c>
      <c r="AOY31">
        <v>30720</v>
      </c>
      <c r="AOZ31">
        <v>6.9661500000000001E-2</v>
      </c>
      <c r="APA31">
        <v>30720</v>
      </c>
      <c r="APB31">
        <v>0.23974609999999999</v>
      </c>
      <c r="APC31">
        <v>30720</v>
      </c>
      <c r="APD31">
        <v>0.27565099999999998</v>
      </c>
      <c r="APE31">
        <v>30720</v>
      </c>
      <c r="APF31">
        <v>0.2764974</v>
      </c>
      <c r="APG31">
        <v>384156</v>
      </c>
      <c r="APH31">
        <v>0.1052541</v>
      </c>
      <c r="API31">
        <v>40434</v>
      </c>
      <c r="APJ31">
        <v>0</v>
      </c>
      <c r="APK31">
        <v>40434</v>
      </c>
      <c r="APL31">
        <v>0</v>
      </c>
      <c r="APM31">
        <v>40434</v>
      </c>
      <c r="APN31">
        <v>9.3979999999999997E-4</v>
      </c>
      <c r="APO31">
        <v>40434</v>
      </c>
      <c r="APP31">
        <v>1.18712E-2</v>
      </c>
      <c r="APQ31">
        <v>40434</v>
      </c>
      <c r="APR31">
        <v>5.5027899999999998E-2</v>
      </c>
      <c r="APS31">
        <v>40434</v>
      </c>
      <c r="APT31">
        <v>5.9949500000000003E-2</v>
      </c>
      <c r="APU31">
        <v>40434</v>
      </c>
      <c r="APV31">
        <v>9.2125399999999996E-2</v>
      </c>
      <c r="APW31">
        <v>40434</v>
      </c>
      <c r="APX31">
        <v>0.14314689999999999</v>
      </c>
      <c r="APY31">
        <v>40434</v>
      </c>
      <c r="APZ31">
        <v>0.1602364</v>
      </c>
      <c r="AQA31">
        <v>40434</v>
      </c>
      <c r="AQB31">
        <v>0.11403770000000001</v>
      </c>
      <c r="AQC31">
        <v>40434</v>
      </c>
      <c r="AQD31">
        <v>0.13674140000000001</v>
      </c>
      <c r="AQE31">
        <v>40434</v>
      </c>
      <c r="AQF31">
        <v>0.14599100000000001</v>
      </c>
      <c r="AQG31">
        <v>40434</v>
      </c>
      <c r="AQH31">
        <v>6.0147399999999997E-2</v>
      </c>
      <c r="AQI31">
        <v>40434</v>
      </c>
      <c r="AQJ31">
        <v>1.9785299999999999E-2</v>
      </c>
      <c r="AQK31">
        <v>111544</v>
      </c>
      <c r="AQL31">
        <v>0.14710790000000001</v>
      </c>
      <c r="AQM31">
        <v>333950</v>
      </c>
      <c r="AQN31">
        <v>0.73645159999999998</v>
      </c>
      <c r="AQO31">
        <v>245938</v>
      </c>
      <c r="AQP31">
        <v>0.78218080000000001</v>
      </c>
      <c r="AQQ31">
        <v>192368</v>
      </c>
      <c r="AQR31">
        <v>0.86117759999999999</v>
      </c>
      <c r="AQS31">
        <v>165663</v>
      </c>
      <c r="AQT31">
        <v>0.45190540000000001</v>
      </c>
      <c r="AQU31">
        <v>165663</v>
      </c>
      <c r="AQV31">
        <v>0.54809459999999999</v>
      </c>
      <c r="AQW31">
        <v>192368</v>
      </c>
      <c r="AQX31">
        <v>0.13882249999999999</v>
      </c>
      <c r="AQY31">
        <v>26705</v>
      </c>
      <c r="AQZ31">
        <v>0.27575359999999999</v>
      </c>
      <c r="ARA31">
        <v>7364</v>
      </c>
      <c r="ARB31">
        <v>0.34790870000000002</v>
      </c>
      <c r="ARC31">
        <v>7364</v>
      </c>
      <c r="ARD31">
        <v>0.65209130000000004</v>
      </c>
      <c r="ARE31">
        <v>26705</v>
      </c>
      <c r="ARF31">
        <v>0.72424639999999996</v>
      </c>
      <c r="ARG31">
        <v>19341</v>
      </c>
      <c r="ARH31">
        <v>0.36880200000000002</v>
      </c>
      <c r="ARI31">
        <v>19341</v>
      </c>
      <c r="ARJ31">
        <v>0.63119800000000004</v>
      </c>
      <c r="ARK31">
        <v>245938</v>
      </c>
      <c r="ARL31">
        <v>0.21781909999999999</v>
      </c>
      <c r="ARM31">
        <v>333950</v>
      </c>
      <c r="ARN31">
        <v>0.26354840000000002</v>
      </c>
      <c r="ARO31">
        <v>88012</v>
      </c>
      <c r="ARP31">
        <v>0.52040629999999999</v>
      </c>
      <c r="ARQ31">
        <v>45802</v>
      </c>
      <c r="ARR31">
        <v>0.60503910000000005</v>
      </c>
      <c r="ARS31">
        <v>27712</v>
      </c>
      <c r="ART31">
        <v>0.54701940000000004</v>
      </c>
      <c r="ARU31">
        <v>27712</v>
      </c>
      <c r="ARV31">
        <v>0.45298070000000001</v>
      </c>
      <c r="ARW31">
        <v>45802</v>
      </c>
      <c r="ARX31">
        <v>0.3949609</v>
      </c>
      <c r="ARY31">
        <v>18090</v>
      </c>
      <c r="ARZ31">
        <v>0.24759539999999999</v>
      </c>
      <c r="ASA31">
        <v>4479</v>
      </c>
      <c r="ASB31">
        <v>0.56932349999999998</v>
      </c>
      <c r="ASC31">
        <v>4479</v>
      </c>
      <c r="ASD31">
        <v>0.43067650000000002</v>
      </c>
      <c r="ASE31">
        <v>18090</v>
      </c>
      <c r="ASF31">
        <v>0.75240459999999998</v>
      </c>
      <c r="ASG31">
        <v>13611</v>
      </c>
      <c r="ASH31">
        <v>0.68150759999999999</v>
      </c>
      <c r="ASI31">
        <v>13611</v>
      </c>
      <c r="ASJ31">
        <v>0.31849240000000001</v>
      </c>
      <c r="ASK31">
        <v>88012</v>
      </c>
      <c r="ASL31">
        <v>0.47959370000000001</v>
      </c>
      <c r="ASM31">
        <v>332484</v>
      </c>
      <c r="ASN31">
        <v>0.58329730000000002</v>
      </c>
      <c r="ASO31">
        <v>193937</v>
      </c>
      <c r="ASP31">
        <v>0.47819139999999999</v>
      </c>
      <c r="ASQ31">
        <v>92739</v>
      </c>
      <c r="ASR31">
        <v>0.51901569999999997</v>
      </c>
      <c r="ASS31">
        <v>48133</v>
      </c>
      <c r="AST31">
        <v>0.71287889999999998</v>
      </c>
      <c r="ASU31">
        <v>48133</v>
      </c>
      <c r="ASV31">
        <v>0.28712110000000002</v>
      </c>
      <c r="ASW31">
        <v>92739</v>
      </c>
      <c r="ASX31">
        <v>0.2702639</v>
      </c>
      <c r="ASY31">
        <v>25064</v>
      </c>
      <c r="ASZ31">
        <v>0.57464890000000002</v>
      </c>
      <c r="ATA31">
        <v>25064</v>
      </c>
      <c r="ATB31">
        <v>0.34946539999999998</v>
      </c>
      <c r="ATC31">
        <v>25064</v>
      </c>
      <c r="ATD31">
        <v>7.58857E-2</v>
      </c>
      <c r="ATE31">
        <v>92739</v>
      </c>
      <c r="ATF31">
        <v>0.14793129999999999</v>
      </c>
      <c r="ATG31">
        <v>13719</v>
      </c>
      <c r="ATH31">
        <v>0.13470370000000001</v>
      </c>
      <c r="ATI31">
        <v>13719</v>
      </c>
      <c r="ATJ31">
        <v>0.27035500000000001</v>
      </c>
      <c r="ATK31">
        <v>13719</v>
      </c>
      <c r="ATL31">
        <v>0.33865440000000002</v>
      </c>
      <c r="ATM31">
        <v>13719</v>
      </c>
      <c r="ATN31">
        <v>0.25628689999999998</v>
      </c>
      <c r="ATO31">
        <v>92739</v>
      </c>
      <c r="ATP31">
        <v>6.27891E-2</v>
      </c>
      <c r="ATQ31">
        <v>5823</v>
      </c>
      <c r="ATR31">
        <v>0.85437059999999998</v>
      </c>
      <c r="ATS31">
        <v>5823</v>
      </c>
      <c r="ATT31">
        <v>0.14562939999999999</v>
      </c>
      <c r="ATU31">
        <v>193937</v>
      </c>
      <c r="ATV31">
        <v>9.5500100000000004E-2</v>
      </c>
      <c r="ATW31">
        <v>18521</v>
      </c>
      <c r="ATX31">
        <v>4.7837600000000001E-2</v>
      </c>
      <c r="ATY31">
        <v>18521</v>
      </c>
      <c r="ATZ31">
        <v>0.21294750000000001</v>
      </c>
      <c r="AUA31">
        <v>3944</v>
      </c>
      <c r="AUB31">
        <v>0.57809330000000003</v>
      </c>
      <c r="AUC31">
        <v>3944</v>
      </c>
      <c r="AUD31">
        <v>0.42190670000000002</v>
      </c>
      <c r="AUE31">
        <v>18521</v>
      </c>
      <c r="AUF31">
        <v>0.3742239</v>
      </c>
      <c r="AUG31">
        <v>18521</v>
      </c>
      <c r="AUH31">
        <v>0.27665889999999999</v>
      </c>
      <c r="AUI31">
        <v>18521</v>
      </c>
      <c r="AUJ31">
        <v>8.83322E-2</v>
      </c>
      <c r="AUK31">
        <v>193937</v>
      </c>
      <c r="AUL31">
        <v>0.19906979999999999</v>
      </c>
      <c r="AUM31">
        <v>38607</v>
      </c>
      <c r="AUN31">
        <v>0.64773230000000004</v>
      </c>
      <c r="AUO31">
        <v>38607</v>
      </c>
      <c r="AUP31">
        <v>0.35226770000000002</v>
      </c>
      <c r="AUQ31">
        <v>193937</v>
      </c>
      <c r="AUR31">
        <v>9.4097600000000003E-2</v>
      </c>
      <c r="AUS31">
        <v>18249</v>
      </c>
      <c r="AUT31">
        <v>1.0027899999999999E-2</v>
      </c>
      <c r="AUU31">
        <v>18249</v>
      </c>
      <c r="AUV31">
        <v>0.44517509999999999</v>
      </c>
      <c r="AUW31">
        <v>18249</v>
      </c>
      <c r="AUX31">
        <v>0.54479699999999998</v>
      </c>
      <c r="AUY31">
        <v>193937</v>
      </c>
      <c r="AUZ31">
        <v>0.13314119999999999</v>
      </c>
      <c r="AVA31">
        <v>25821</v>
      </c>
      <c r="AVB31">
        <v>0.5269741</v>
      </c>
      <c r="AVC31">
        <v>25821</v>
      </c>
      <c r="AVD31">
        <v>0.29584450000000001</v>
      </c>
      <c r="AVE31">
        <v>25821</v>
      </c>
      <c r="AVF31">
        <v>0.17718139999999999</v>
      </c>
      <c r="AVG31">
        <v>332484</v>
      </c>
      <c r="AVH31">
        <v>0.41670269999999998</v>
      </c>
      <c r="AVI31">
        <v>138547</v>
      </c>
      <c r="AVJ31">
        <v>0.52310040000000002</v>
      </c>
      <c r="AVK31">
        <v>72474</v>
      </c>
      <c r="AVL31">
        <v>0.41565249999999998</v>
      </c>
      <c r="AVM31">
        <v>30124</v>
      </c>
      <c r="AVN31">
        <v>0.62873460000000003</v>
      </c>
      <c r="AVO31">
        <v>30124</v>
      </c>
      <c r="AVP31">
        <v>0.37126540000000002</v>
      </c>
      <c r="AVQ31">
        <v>72474</v>
      </c>
      <c r="AVR31">
        <v>8.2802100000000003E-2</v>
      </c>
      <c r="AVS31">
        <v>6001</v>
      </c>
      <c r="AVT31">
        <v>0.63072819999999996</v>
      </c>
      <c r="AVU31">
        <v>6001</v>
      </c>
      <c r="AVV31">
        <v>0.19680049999999999</v>
      </c>
      <c r="AVW31">
        <v>6001</v>
      </c>
      <c r="AVX31">
        <v>0.17247129999999999</v>
      </c>
      <c r="AVY31">
        <v>72474</v>
      </c>
      <c r="AVZ31">
        <v>0.3162375</v>
      </c>
      <c r="AWA31">
        <v>22919</v>
      </c>
      <c r="AWB31">
        <v>0.14062569999999999</v>
      </c>
      <c r="AWC31">
        <v>22919</v>
      </c>
      <c r="AWD31">
        <v>0.1176753</v>
      </c>
      <c r="AWE31">
        <v>22919</v>
      </c>
      <c r="AWF31">
        <v>0.62336930000000002</v>
      </c>
      <c r="AWG31">
        <v>22919</v>
      </c>
      <c r="AWH31">
        <v>0.1183298</v>
      </c>
      <c r="AWI31">
        <v>72474</v>
      </c>
      <c r="AWJ31">
        <v>0.18530779999999999</v>
      </c>
      <c r="AWK31">
        <v>13430</v>
      </c>
      <c r="AWL31">
        <v>0.79903199999999996</v>
      </c>
      <c r="AWM31">
        <v>13430</v>
      </c>
      <c r="AWN31">
        <v>0.20096800000000001</v>
      </c>
      <c r="AWO31">
        <v>138547</v>
      </c>
      <c r="AWP31">
        <v>0.1143583</v>
      </c>
      <c r="AWQ31">
        <v>15844</v>
      </c>
      <c r="AWR31">
        <v>0.22172430000000001</v>
      </c>
      <c r="AWS31">
        <v>15844</v>
      </c>
      <c r="AWT31">
        <v>6.6144900000000006E-2</v>
      </c>
      <c r="AWU31">
        <v>1048</v>
      </c>
      <c r="AWV31">
        <v>0.55820610000000004</v>
      </c>
      <c r="AWW31">
        <v>1048</v>
      </c>
      <c r="AWX31">
        <v>0.44179390000000002</v>
      </c>
      <c r="AWY31">
        <v>15844</v>
      </c>
      <c r="AWZ31">
        <v>0.20910119999999999</v>
      </c>
      <c r="AXA31">
        <v>15844</v>
      </c>
      <c r="AXB31">
        <v>0.1830977</v>
      </c>
      <c r="AXC31">
        <v>15844</v>
      </c>
      <c r="AXD31">
        <v>0.31993179999999999</v>
      </c>
      <c r="AXE31">
        <v>138547</v>
      </c>
      <c r="AXF31">
        <v>0.30713760000000001</v>
      </c>
      <c r="AXG31">
        <v>42553</v>
      </c>
      <c r="AXH31">
        <v>0.29800480000000001</v>
      </c>
      <c r="AXI31">
        <v>42553</v>
      </c>
      <c r="AXJ31">
        <v>0.70199509999999998</v>
      </c>
      <c r="AXK31">
        <v>138547</v>
      </c>
      <c r="AXL31">
        <v>3.2552000000000002E-3</v>
      </c>
      <c r="AXM31">
        <v>451</v>
      </c>
      <c r="AXN31">
        <v>0</v>
      </c>
      <c r="AXO31">
        <v>451</v>
      </c>
      <c r="AXP31">
        <v>0.68514410000000003</v>
      </c>
      <c r="AXQ31">
        <v>451</v>
      </c>
      <c r="AXR31">
        <v>0.31485590000000002</v>
      </c>
      <c r="AXS31">
        <v>138547</v>
      </c>
      <c r="AXT31">
        <v>5.2148399999999998E-2</v>
      </c>
      <c r="AXU31">
        <v>7225</v>
      </c>
      <c r="AXV31">
        <v>0.66145330000000002</v>
      </c>
      <c r="AXW31">
        <v>7225</v>
      </c>
      <c r="AXX31">
        <v>0.13674739999999999</v>
      </c>
      <c r="AXY31">
        <v>7225</v>
      </c>
      <c r="AXZ31">
        <v>0.20179929999999999</v>
      </c>
      <c r="AYA31">
        <v>40951</v>
      </c>
      <c r="AYB31">
        <v>2.5639999999999999E-3</v>
      </c>
      <c r="AYC31">
        <v>40951</v>
      </c>
      <c r="AYD31">
        <v>0.1088374</v>
      </c>
      <c r="AYE31">
        <v>40951</v>
      </c>
      <c r="AYF31">
        <v>0.29610999999999998</v>
      </c>
      <c r="AYG31">
        <v>40951</v>
      </c>
      <c r="AYH31">
        <v>0.43686360000000002</v>
      </c>
      <c r="AYI31">
        <v>40951</v>
      </c>
      <c r="AYJ31">
        <v>4.24654E-2</v>
      </c>
      <c r="AYK31">
        <v>40951</v>
      </c>
      <c r="AYL31">
        <v>0.10681060000000001</v>
      </c>
      <c r="AYM31">
        <v>40951</v>
      </c>
      <c r="AYN31">
        <v>6.3490999999999999E-3</v>
      </c>
      <c r="AYO31">
        <v>61135</v>
      </c>
      <c r="AYP31">
        <v>1.35111E-2</v>
      </c>
      <c r="AYQ31">
        <v>61135</v>
      </c>
      <c r="AYR31">
        <v>4.5440399999999999E-2</v>
      </c>
      <c r="AYS31">
        <v>61135</v>
      </c>
      <c r="AYT31">
        <v>0.19506009999999999</v>
      </c>
      <c r="AYU31">
        <v>61135</v>
      </c>
      <c r="AYV31">
        <v>0.23402310000000001</v>
      </c>
      <c r="AYW31">
        <v>61135</v>
      </c>
      <c r="AYX31">
        <v>6.5837900000000005E-2</v>
      </c>
      <c r="AYY31">
        <v>61135</v>
      </c>
      <c r="AYZ31">
        <v>0.32802809999999999</v>
      </c>
      <c r="AZA31">
        <v>61135</v>
      </c>
      <c r="AZB31">
        <v>0.1180993</v>
      </c>
      <c r="AZC31">
        <v>60854</v>
      </c>
      <c r="AZD31">
        <v>3.6743699999999997E-2</v>
      </c>
      <c r="AZE31">
        <v>60854</v>
      </c>
      <c r="AZF31">
        <v>4.2840200000000002E-2</v>
      </c>
      <c r="AZG31">
        <v>60854</v>
      </c>
      <c r="AZH31">
        <v>0.1651001</v>
      </c>
      <c r="AZI31">
        <v>60854</v>
      </c>
      <c r="AZJ31">
        <v>0.1947777</v>
      </c>
      <c r="AZK31">
        <v>60854</v>
      </c>
      <c r="AZL31">
        <v>6.2362399999999998E-2</v>
      </c>
      <c r="AZM31">
        <v>60854</v>
      </c>
      <c r="AZN31">
        <v>0.29449170000000002</v>
      </c>
      <c r="AZO31">
        <v>60854</v>
      </c>
      <c r="AZP31">
        <v>0.20368420000000001</v>
      </c>
      <c r="AZQ31">
        <v>129028</v>
      </c>
      <c r="AZR31">
        <v>2.99005E-2</v>
      </c>
      <c r="AZS31">
        <v>129028</v>
      </c>
      <c r="AZT31">
        <v>3.2256600000000003E-2</v>
      </c>
      <c r="AZU31">
        <v>129028</v>
      </c>
      <c r="AZV31">
        <v>0.17993770000000001</v>
      </c>
      <c r="AZW31">
        <v>129028</v>
      </c>
      <c r="AZX31">
        <v>0.19290389999999999</v>
      </c>
      <c r="AZY31">
        <v>129028</v>
      </c>
      <c r="AZZ31">
        <v>6.2699599999999994E-2</v>
      </c>
      <c r="BAA31">
        <v>129028</v>
      </c>
      <c r="BAB31">
        <v>0.2898751</v>
      </c>
      <c r="BAC31">
        <v>129028</v>
      </c>
      <c r="BAD31">
        <v>0.2124268</v>
      </c>
      <c r="BAE31">
        <v>49799</v>
      </c>
      <c r="BAF31">
        <v>5.38364E-2</v>
      </c>
      <c r="BAG31">
        <v>49799</v>
      </c>
      <c r="BAH31">
        <v>4.2189600000000001E-2</v>
      </c>
      <c r="BAI31">
        <v>49799</v>
      </c>
      <c r="BAJ31">
        <v>0.22287599999999999</v>
      </c>
      <c r="BAK31">
        <v>49799</v>
      </c>
      <c r="BAL31">
        <v>0.18502379999999999</v>
      </c>
      <c r="BAM31">
        <v>49799</v>
      </c>
      <c r="BAN31">
        <v>4.8976899999999997E-2</v>
      </c>
      <c r="BAO31">
        <v>49799</v>
      </c>
      <c r="BAP31">
        <v>0.24299680000000001</v>
      </c>
      <c r="BAQ31">
        <v>49799</v>
      </c>
      <c r="BAR31">
        <v>0.20410049999999999</v>
      </c>
      <c r="BAS31">
        <v>38040</v>
      </c>
      <c r="BAT31">
        <v>1.13039E-2</v>
      </c>
      <c r="BAU31">
        <v>38040</v>
      </c>
      <c r="BAV31">
        <v>7.9679299999999995E-2</v>
      </c>
      <c r="BAW31">
        <v>38040</v>
      </c>
      <c r="BAX31">
        <v>0.26679809999999998</v>
      </c>
      <c r="BAY31">
        <v>38040</v>
      </c>
      <c r="BAZ31">
        <v>0.4115142</v>
      </c>
      <c r="BBA31">
        <v>38040</v>
      </c>
      <c r="BBB31">
        <v>4.9526800000000003E-2</v>
      </c>
      <c r="BBC31">
        <v>38040</v>
      </c>
      <c r="BBD31">
        <v>0.17174030000000001</v>
      </c>
      <c r="BBE31">
        <v>38040</v>
      </c>
      <c r="BBF31">
        <v>9.4374000000000003E-3</v>
      </c>
      <c r="BBG31">
        <v>59386</v>
      </c>
      <c r="BBH31">
        <v>2.2244300000000002E-2</v>
      </c>
      <c r="BBI31">
        <v>59386</v>
      </c>
      <c r="BBJ31">
        <v>5.12074E-2</v>
      </c>
      <c r="BBK31">
        <v>59386</v>
      </c>
      <c r="BBL31">
        <v>0.13085579999999999</v>
      </c>
      <c r="BBM31">
        <v>59386</v>
      </c>
      <c r="BBN31">
        <v>0.17871219999999999</v>
      </c>
      <c r="BBO31">
        <v>59386</v>
      </c>
      <c r="BBP31">
        <v>7.7644599999999994E-2</v>
      </c>
      <c r="BBQ31">
        <v>59386</v>
      </c>
      <c r="BBR31">
        <v>0.36224030000000002</v>
      </c>
      <c r="BBS31">
        <v>59386</v>
      </c>
      <c r="BBT31">
        <v>0.17709559999999999</v>
      </c>
      <c r="BBU31">
        <v>62878</v>
      </c>
      <c r="BBV31">
        <v>3.5513200000000002E-2</v>
      </c>
      <c r="BBW31">
        <v>62878</v>
      </c>
      <c r="BBX31">
        <v>2.0500000000000001E-2</v>
      </c>
      <c r="BBY31">
        <v>62878</v>
      </c>
      <c r="BBZ31">
        <v>0.1395082</v>
      </c>
      <c r="BCA31">
        <v>62878</v>
      </c>
      <c r="BCB31">
        <v>0.18117620000000001</v>
      </c>
      <c r="BCC31">
        <v>62878</v>
      </c>
      <c r="BCD31">
        <v>8.4942299999999998E-2</v>
      </c>
      <c r="BCE31">
        <v>62878</v>
      </c>
      <c r="BCF31">
        <v>0.32718910000000001</v>
      </c>
      <c r="BCG31">
        <v>62878</v>
      </c>
      <c r="BCH31">
        <v>0.21117079999999999</v>
      </c>
      <c r="BCI31">
        <v>137562</v>
      </c>
      <c r="BCJ31">
        <v>2.8896100000000001E-2</v>
      </c>
      <c r="BCK31">
        <v>137562</v>
      </c>
      <c r="BCL31">
        <v>2.5043300000000001E-2</v>
      </c>
      <c r="BCM31">
        <v>137562</v>
      </c>
      <c r="BCN31">
        <v>0.1895945</v>
      </c>
      <c r="BCO31">
        <v>137562</v>
      </c>
      <c r="BCP31">
        <v>0.20515839999999999</v>
      </c>
      <c r="BCQ31">
        <v>137562</v>
      </c>
      <c r="BCR31">
        <v>9.2954400000000006E-2</v>
      </c>
      <c r="BCS31">
        <v>137562</v>
      </c>
      <c r="BCT31">
        <v>0.29354039999999998</v>
      </c>
      <c r="BCU31">
        <v>137562</v>
      </c>
      <c r="BCV31">
        <v>0.16481299999999999</v>
      </c>
      <c r="BCW31">
        <v>65981</v>
      </c>
      <c r="BCX31">
        <v>7.6885800000000004E-2</v>
      </c>
      <c r="BCY31">
        <v>65981</v>
      </c>
      <c r="BCZ31">
        <v>7.0141400000000007E-2</v>
      </c>
      <c r="BDA31">
        <v>65981</v>
      </c>
      <c r="BDB31">
        <v>0.33883999999999997</v>
      </c>
      <c r="BDC31">
        <v>65981</v>
      </c>
      <c r="BDD31">
        <v>0.2056653</v>
      </c>
      <c r="BDE31">
        <v>65981</v>
      </c>
      <c r="BDF31">
        <v>4.7437899999999998E-2</v>
      </c>
      <c r="BDG31">
        <v>65981</v>
      </c>
      <c r="BDH31">
        <v>0.1543475</v>
      </c>
      <c r="BDI31">
        <v>65981</v>
      </c>
      <c r="BDJ31">
        <v>0.1066822</v>
      </c>
      <c r="BDK31">
        <v>219303</v>
      </c>
      <c r="BDL31">
        <v>4.5813300000000001E-2</v>
      </c>
      <c r="BDM31">
        <v>10047</v>
      </c>
      <c r="BDN31">
        <v>0.75325969999999998</v>
      </c>
      <c r="BDO31">
        <v>7568</v>
      </c>
      <c r="BDP31">
        <v>0.70084570000000002</v>
      </c>
      <c r="BDQ31">
        <v>7568</v>
      </c>
      <c r="BDR31">
        <v>0.29915429999999998</v>
      </c>
      <c r="BDS31">
        <v>10047</v>
      </c>
      <c r="BDT31">
        <v>0.2467403</v>
      </c>
      <c r="BDU31">
        <v>2479</v>
      </c>
      <c r="BDV31">
        <v>0.53448969999999996</v>
      </c>
      <c r="BDW31">
        <v>2479</v>
      </c>
      <c r="BDX31">
        <v>0.46551029999999999</v>
      </c>
      <c r="BDY31">
        <v>219303</v>
      </c>
      <c r="BDZ31">
        <v>0.95418670000000005</v>
      </c>
      <c r="BEA31">
        <v>209256</v>
      </c>
      <c r="BEB31">
        <v>0.50725419999999999</v>
      </c>
      <c r="BEC31">
        <v>106146</v>
      </c>
      <c r="BED31">
        <v>0.74974090000000004</v>
      </c>
      <c r="BEE31">
        <v>106146</v>
      </c>
      <c r="BEF31">
        <v>0.25025910000000001</v>
      </c>
      <c r="BEG31">
        <v>209256</v>
      </c>
      <c r="BEH31">
        <v>0.49274570000000001</v>
      </c>
      <c r="BEI31">
        <v>103110</v>
      </c>
      <c r="BEJ31">
        <v>0.74238190000000004</v>
      </c>
      <c r="BEK31">
        <v>103110</v>
      </c>
      <c r="BEL31">
        <v>0.25761810000000002</v>
      </c>
      <c r="BEM31">
        <v>466784</v>
      </c>
      <c r="BEN31">
        <v>0.53108080000000002</v>
      </c>
      <c r="BEO31">
        <v>247900</v>
      </c>
      <c r="BEP31">
        <v>0.88624449999999999</v>
      </c>
      <c r="BEQ31">
        <v>219700</v>
      </c>
      <c r="BER31">
        <v>0.17270820000000001</v>
      </c>
      <c r="BES31">
        <v>219700</v>
      </c>
      <c r="BET31">
        <v>0.82729180000000002</v>
      </c>
      <c r="BEU31">
        <v>247900</v>
      </c>
      <c r="BEV31">
        <v>0.1137555</v>
      </c>
      <c r="BEW31">
        <v>466784</v>
      </c>
      <c r="BEX31">
        <v>0.46891919999999998</v>
      </c>
      <c r="BEY31">
        <v>218884</v>
      </c>
      <c r="BEZ31">
        <v>0.88970870000000002</v>
      </c>
      <c r="BFA31">
        <v>194743</v>
      </c>
      <c r="BFB31">
        <v>0.21847259999999999</v>
      </c>
      <c r="BFC31">
        <v>194743</v>
      </c>
      <c r="BFD31">
        <v>0.78152750000000004</v>
      </c>
      <c r="BFE31">
        <v>218884</v>
      </c>
      <c r="BFF31">
        <v>0.11029129999999999</v>
      </c>
      <c r="BFG31">
        <v>455004</v>
      </c>
      <c r="BFH31">
        <v>0.24887029999999999</v>
      </c>
      <c r="BFI31">
        <v>113237</v>
      </c>
      <c r="BFJ31">
        <v>0.95430820000000005</v>
      </c>
      <c r="BFK31">
        <v>113237</v>
      </c>
      <c r="BFL31">
        <v>4.5691799999999998E-2</v>
      </c>
      <c r="BFM31">
        <v>5174</v>
      </c>
      <c r="BFN31">
        <v>0.2661384</v>
      </c>
      <c r="BFO31">
        <v>5174</v>
      </c>
      <c r="BFP31">
        <v>0.7338616</v>
      </c>
      <c r="BFQ31">
        <v>455004</v>
      </c>
      <c r="BFR31">
        <v>0.75112970000000001</v>
      </c>
      <c r="BFS31">
        <v>341767</v>
      </c>
      <c r="BFT31">
        <v>0.75537430000000005</v>
      </c>
      <c r="BFU31">
        <v>341767</v>
      </c>
      <c r="BFV31">
        <v>0.2446257</v>
      </c>
      <c r="BFW31">
        <v>83605</v>
      </c>
      <c r="BFX31">
        <v>0.52975300000000003</v>
      </c>
      <c r="BFY31">
        <v>83605</v>
      </c>
      <c r="BFZ31">
        <v>0.47024700000000003</v>
      </c>
      <c r="BGA31">
        <v>472983</v>
      </c>
      <c r="BGB31">
        <v>0.23073979999999999</v>
      </c>
      <c r="BGC31">
        <v>109136</v>
      </c>
      <c r="BGD31">
        <v>0.94860540000000004</v>
      </c>
      <c r="BGE31">
        <v>109136</v>
      </c>
      <c r="BGF31">
        <v>5.1394599999999999E-2</v>
      </c>
      <c r="BGG31">
        <v>5609</v>
      </c>
      <c r="BGH31">
        <v>0.3601355</v>
      </c>
      <c r="BGI31">
        <v>5609</v>
      </c>
      <c r="BGJ31">
        <v>0.63986449999999995</v>
      </c>
      <c r="BGK31">
        <v>472983</v>
      </c>
      <c r="BGL31">
        <v>0.76926019999999995</v>
      </c>
      <c r="BGM31">
        <v>363847</v>
      </c>
      <c r="BGN31">
        <v>0.76830100000000001</v>
      </c>
      <c r="BGO31">
        <v>363847</v>
      </c>
      <c r="BGP31">
        <v>0.23169899999999999</v>
      </c>
      <c r="BGQ31">
        <v>84303</v>
      </c>
      <c r="BGR31">
        <v>0.55964789999999998</v>
      </c>
      <c r="BGS31">
        <v>84303</v>
      </c>
      <c r="BGT31">
        <v>0.44035210000000002</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X31"/>
  <sheetViews>
    <sheetView zoomScale="65" zoomScaleNormal="65" workbookViewId="0">
      <pane xSplit="1" ySplit="1" topLeftCell="O2" activePane="bottomRight" state="frozen"/>
      <selection pane="topRight" activeCell="B1" sqref="B1"/>
      <selection pane="bottomLeft" activeCell="A2" sqref="A2"/>
      <selection pane="bottomRight" activeCell="AP1" sqref="AP1"/>
    </sheetView>
  </sheetViews>
  <sheetFormatPr defaultRowHeight="15" x14ac:dyDescent="0.25"/>
  <cols>
    <col min="1" max="1" width="30.7109375" style="114" customWidth="1"/>
    <col min="2" max="16384" width="9.140625" style="114"/>
  </cols>
  <sheetData>
    <row r="1" spans="1:388" s="115" customFormat="1" ht="64.5" x14ac:dyDescent="0.25">
      <c r="A1" s="129" t="s">
        <v>130</v>
      </c>
      <c r="B1" s="129" t="s">
        <v>522</v>
      </c>
      <c r="C1" s="129" t="s">
        <v>521</v>
      </c>
      <c r="D1" s="129" t="s">
        <v>534</v>
      </c>
      <c r="E1" s="129" t="s">
        <v>520</v>
      </c>
      <c r="F1" s="129" t="s">
        <v>519</v>
      </c>
      <c r="G1" s="129" t="s">
        <v>518</v>
      </c>
      <c r="H1" s="129" t="s">
        <v>517</v>
      </c>
      <c r="I1" s="129" t="s">
        <v>516</v>
      </c>
      <c r="J1" s="129" t="s">
        <v>515</v>
      </c>
      <c r="K1" s="129" t="s">
        <v>514</v>
      </c>
      <c r="L1" s="129" t="s">
        <v>513</v>
      </c>
      <c r="M1" s="129" t="s">
        <v>512</v>
      </c>
      <c r="N1" s="129" t="s">
        <v>511</v>
      </c>
      <c r="O1" s="129" t="s">
        <v>510</v>
      </c>
      <c r="P1" s="129" t="s">
        <v>509</v>
      </c>
      <c r="Q1" s="129" t="s">
        <v>508</v>
      </c>
      <c r="R1" s="129" t="s">
        <v>507</v>
      </c>
      <c r="S1" s="129" t="s">
        <v>506</v>
      </c>
      <c r="T1" s="129" t="s">
        <v>505</v>
      </c>
      <c r="U1" s="129" t="s">
        <v>504</v>
      </c>
      <c r="V1" s="129" t="s">
        <v>503</v>
      </c>
      <c r="W1" s="129" t="s">
        <v>502</v>
      </c>
      <c r="X1" s="129" t="s">
        <v>501</v>
      </c>
      <c r="Y1" s="129" t="s">
        <v>500</v>
      </c>
      <c r="Z1" s="129" t="s">
        <v>499</v>
      </c>
      <c r="AA1" s="129" t="s">
        <v>498</v>
      </c>
      <c r="AB1" s="129" t="s">
        <v>497</v>
      </c>
      <c r="AC1" s="129" t="s">
        <v>496</v>
      </c>
      <c r="AD1" s="129" t="s">
        <v>495</v>
      </c>
      <c r="AE1" s="129" t="s">
        <v>494</v>
      </c>
      <c r="AF1" s="129" t="s">
        <v>493</v>
      </c>
      <c r="AG1" s="129" t="s">
        <v>492</v>
      </c>
      <c r="AH1" s="129" t="s">
        <v>491</v>
      </c>
      <c r="AI1" s="129" t="s">
        <v>490</v>
      </c>
      <c r="AJ1" s="129" t="s">
        <v>489</v>
      </c>
      <c r="AK1" s="129" t="s">
        <v>488</v>
      </c>
      <c r="AL1" s="129" t="s">
        <v>487</v>
      </c>
      <c r="AM1" s="129" t="s">
        <v>486</v>
      </c>
      <c r="AN1" s="129" t="s">
        <v>485</v>
      </c>
      <c r="AO1" s="129" t="s">
        <v>484</v>
      </c>
      <c r="AP1" s="129" t="s">
        <v>483</v>
      </c>
      <c r="AQ1" s="129" t="s">
        <v>482</v>
      </c>
      <c r="AR1" s="129" t="s">
        <v>481</v>
      </c>
      <c r="AS1" s="129" t="s">
        <v>480</v>
      </c>
      <c r="AT1" s="129" t="s">
        <v>479</v>
      </c>
      <c r="AU1" s="129" t="s">
        <v>478</v>
      </c>
      <c r="AV1" s="129" t="s">
        <v>477</v>
      </c>
      <c r="AW1" s="129" t="s">
        <v>476</v>
      </c>
      <c r="AX1" s="129" t="s">
        <v>475</v>
      </c>
      <c r="AY1" s="129" t="s">
        <v>474</v>
      </c>
      <c r="AZ1" s="129" t="s">
        <v>473</v>
      </c>
      <c r="BA1" s="129" t="s">
        <v>472</v>
      </c>
      <c r="BB1" s="129" t="s">
        <v>471</v>
      </c>
      <c r="BC1" s="129" t="s">
        <v>470</v>
      </c>
      <c r="BD1" s="129" t="s">
        <v>469</v>
      </c>
      <c r="BE1" s="129" t="s">
        <v>468</v>
      </c>
      <c r="BF1" s="129" t="s">
        <v>467</v>
      </c>
      <c r="BG1" s="129" t="s">
        <v>466</v>
      </c>
      <c r="BH1" s="129" t="s">
        <v>465</v>
      </c>
      <c r="BI1" s="129" t="s">
        <v>464</v>
      </c>
      <c r="BJ1" s="129" t="s">
        <v>463</v>
      </c>
      <c r="BK1" s="129" t="s">
        <v>462</v>
      </c>
      <c r="BL1" s="129" t="s">
        <v>461</v>
      </c>
      <c r="BM1" s="129" t="s">
        <v>460</v>
      </c>
      <c r="BN1" s="129" t="s">
        <v>459</v>
      </c>
      <c r="BO1" s="129" t="s">
        <v>458</v>
      </c>
      <c r="BP1" s="129" t="s">
        <v>457</v>
      </c>
      <c r="BQ1" s="129" t="s">
        <v>456</v>
      </c>
      <c r="BR1" s="129" t="s">
        <v>455</v>
      </c>
      <c r="BS1" s="129" t="s">
        <v>454</v>
      </c>
      <c r="BT1" s="129" t="s">
        <v>453</v>
      </c>
      <c r="BU1" s="129" t="s">
        <v>452</v>
      </c>
      <c r="BV1" s="129" t="s">
        <v>451</v>
      </c>
      <c r="BW1" s="129" t="s">
        <v>450</v>
      </c>
      <c r="BX1" s="129" t="s">
        <v>449</v>
      </c>
      <c r="BY1" s="129" t="s">
        <v>448</v>
      </c>
      <c r="BZ1" s="129" t="s">
        <v>447</v>
      </c>
      <c r="CA1" s="129" t="s">
        <v>446</v>
      </c>
      <c r="CB1" s="129" t="s">
        <v>445</v>
      </c>
      <c r="CC1" s="129" t="s">
        <v>444</v>
      </c>
      <c r="CD1" s="129" t="s">
        <v>443</v>
      </c>
      <c r="CE1" s="129" t="s">
        <v>442</v>
      </c>
      <c r="CF1" s="129" t="s">
        <v>441</v>
      </c>
      <c r="CG1" s="129" t="s">
        <v>440</v>
      </c>
      <c r="CH1" s="129" t="s">
        <v>439</v>
      </c>
      <c r="CI1" s="129" t="s">
        <v>438</v>
      </c>
      <c r="CJ1" s="129" t="s">
        <v>437</v>
      </c>
      <c r="CK1" s="129" t="s">
        <v>436</v>
      </c>
      <c r="CL1" s="129" t="s">
        <v>435</v>
      </c>
      <c r="CM1" s="129" t="s">
        <v>434</v>
      </c>
      <c r="CN1" s="129" t="s">
        <v>433</v>
      </c>
      <c r="CO1" s="129" t="s">
        <v>432</v>
      </c>
      <c r="CP1" s="129" t="s">
        <v>431</v>
      </c>
      <c r="CQ1" s="129" t="s">
        <v>430</v>
      </c>
      <c r="CR1" s="129" t="s">
        <v>429</v>
      </c>
      <c r="CS1" s="129" t="s">
        <v>428</v>
      </c>
      <c r="CT1" s="129" t="s">
        <v>427</v>
      </c>
      <c r="CU1" s="129" t="s">
        <v>426</v>
      </c>
      <c r="CV1" s="129" t="s">
        <v>425</v>
      </c>
      <c r="CW1" s="129" t="s">
        <v>424</v>
      </c>
      <c r="CX1" s="129" t="s">
        <v>423</v>
      </c>
      <c r="CY1" s="129" t="s">
        <v>422</v>
      </c>
      <c r="CZ1" s="129" t="s">
        <v>421</v>
      </c>
      <c r="DA1" s="129" t="s">
        <v>420</v>
      </c>
      <c r="DB1" s="129" t="s">
        <v>419</v>
      </c>
      <c r="DC1" s="129" t="s">
        <v>418</v>
      </c>
      <c r="DD1" s="129" t="s">
        <v>417</v>
      </c>
      <c r="DE1" s="129" t="s">
        <v>416</v>
      </c>
      <c r="DF1" s="129" t="s">
        <v>415</v>
      </c>
      <c r="DG1" s="129" t="s">
        <v>414</v>
      </c>
      <c r="DH1" s="129" t="s">
        <v>413</v>
      </c>
      <c r="DI1" s="129" t="s">
        <v>412</v>
      </c>
      <c r="DJ1" s="129" t="s">
        <v>411</v>
      </c>
      <c r="DK1" s="129" t="s">
        <v>410</v>
      </c>
      <c r="DL1" s="129" t="s">
        <v>409</v>
      </c>
      <c r="DM1" s="129" t="s">
        <v>408</v>
      </c>
      <c r="DN1" s="129" t="s">
        <v>407</v>
      </c>
      <c r="DO1" s="129" t="s">
        <v>406</v>
      </c>
      <c r="DP1" s="129" t="s">
        <v>405</v>
      </c>
      <c r="DQ1" s="129" t="s">
        <v>404</v>
      </c>
      <c r="DR1" s="129" t="s">
        <v>403</v>
      </c>
      <c r="DS1" s="129" t="s">
        <v>402</v>
      </c>
      <c r="DT1" s="129" t="s">
        <v>401</v>
      </c>
      <c r="DU1" s="129" t="s">
        <v>400</v>
      </c>
      <c r="DV1" s="129" t="s">
        <v>399</v>
      </c>
      <c r="DW1" s="129" t="s">
        <v>398</v>
      </c>
      <c r="DX1" s="129" t="s">
        <v>397</v>
      </c>
      <c r="DY1" s="129" t="s">
        <v>396</v>
      </c>
      <c r="DZ1" s="129" t="s">
        <v>395</v>
      </c>
      <c r="EA1" s="129" t="s">
        <v>394</v>
      </c>
      <c r="EB1" s="129" t="s">
        <v>393</v>
      </c>
      <c r="EC1" s="129" t="s">
        <v>392</v>
      </c>
      <c r="ED1" s="129" t="s">
        <v>391</v>
      </c>
      <c r="EE1" s="129" t="s">
        <v>390</v>
      </c>
      <c r="EF1" s="129" t="s">
        <v>389</v>
      </c>
      <c r="EG1" s="129" t="s">
        <v>388</v>
      </c>
      <c r="EH1" s="129" t="s">
        <v>387</v>
      </c>
      <c r="EI1" s="129" t="s">
        <v>386</v>
      </c>
      <c r="EJ1" s="129" t="s">
        <v>385</v>
      </c>
      <c r="EK1" s="129" t="s">
        <v>384</v>
      </c>
      <c r="EL1" s="129" t="s">
        <v>383</v>
      </c>
      <c r="EM1" s="129" t="s">
        <v>382</v>
      </c>
      <c r="EN1" s="129" t="s">
        <v>381</v>
      </c>
      <c r="EO1" s="129" t="s">
        <v>380</v>
      </c>
      <c r="EP1" s="129" t="s">
        <v>379</v>
      </c>
      <c r="EQ1" s="129" t="s">
        <v>378</v>
      </c>
      <c r="ER1" s="129" t="s">
        <v>377</v>
      </c>
      <c r="ES1" s="129" t="s">
        <v>376</v>
      </c>
      <c r="ET1" s="129" t="s">
        <v>375</v>
      </c>
      <c r="EU1" s="129" t="s">
        <v>374</v>
      </c>
      <c r="EV1" s="129" t="s">
        <v>373</v>
      </c>
      <c r="EW1" s="129" t="s">
        <v>372</v>
      </c>
      <c r="EX1" s="129" t="s">
        <v>371</v>
      </c>
      <c r="EY1" s="129" t="s">
        <v>370</v>
      </c>
      <c r="EZ1" s="129" t="s">
        <v>369</v>
      </c>
      <c r="FA1" s="129" t="s">
        <v>368</v>
      </c>
      <c r="FB1" s="129" t="s">
        <v>367</v>
      </c>
      <c r="FC1" s="129" t="s">
        <v>366</v>
      </c>
      <c r="FD1" s="129" t="s">
        <v>365</v>
      </c>
      <c r="FE1" s="129" t="s">
        <v>364</v>
      </c>
      <c r="FF1" s="129" t="s">
        <v>363</v>
      </c>
      <c r="FG1" s="129" t="s">
        <v>362</v>
      </c>
      <c r="FH1" s="129" t="s">
        <v>361</v>
      </c>
      <c r="FI1" s="129" t="s">
        <v>360</v>
      </c>
      <c r="FJ1" s="129" t="s">
        <v>359</v>
      </c>
      <c r="FK1" s="129" t="s">
        <v>358</v>
      </c>
      <c r="FL1" s="129" t="s">
        <v>357</v>
      </c>
      <c r="FM1" s="129" t="s">
        <v>356</v>
      </c>
      <c r="FN1" s="129" t="s">
        <v>355</v>
      </c>
      <c r="FO1" s="129" t="s">
        <v>354</v>
      </c>
      <c r="FP1" s="129" t="s">
        <v>353</v>
      </c>
      <c r="FQ1" s="129" t="s">
        <v>352</v>
      </c>
      <c r="FR1" s="129" t="s">
        <v>351</v>
      </c>
      <c r="FS1" s="129" t="s">
        <v>350</v>
      </c>
      <c r="FT1" s="129" t="s">
        <v>349</v>
      </c>
      <c r="FU1" s="129" t="s">
        <v>348</v>
      </c>
      <c r="FV1" s="129" t="s">
        <v>347</v>
      </c>
      <c r="FW1" s="129" t="s">
        <v>346</v>
      </c>
      <c r="FX1" s="129" t="s">
        <v>345</v>
      </c>
      <c r="FY1" s="129" t="s">
        <v>344</v>
      </c>
      <c r="FZ1" s="129" t="s">
        <v>343</v>
      </c>
      <c r="GA1" s="129" t="s">
        <v>342</v>
      </c>
      <c r="GB1" s="129" t="s">
        <v>341</v>
      </c>
      <c r="GC1" s="129" t="s">
        <v>340</v>
      </c>
      <c r="GD1" s="129" t="s">
        <v>339</v>
      </c>
      <c r="GE1" s="129" t="s">
        <v>338</v>
      </c>
      <c r="GF1" s="129" t="s">
        <v>337</v>
      </c>
      <c r="GG1" s="129" t="s">
        <v>336</v>
      </c>
      <c r="GH1" s="129" t="s">
        <v>335</v>
      </c>
      <c r="GI1" s="129" t="s">
        <v>334</v>
      </c>
      <c r="GJ1" s="129" t="s">
        <v>333</v>
      </c>
      <c r="GK1" s="129" t="s">
        <v>332</v>
      </c>
      <c r="GL1" s="129" t="s">
        <v>331</v>
      </c>
      <c r="GM1" s="129" t="s">
        <v>330</v>
      </c>
      <c r="GN1" s="129" t="s">
        <v>329</v>
      </c>
      <c r="GO1" s="129" t="s">
        <v>328</v>
      </c>
      <c r="GP1" s="129" t="s">
        <v>327</v>
      </c>
      <c r="GQ1" s="129" t="s">
        <v>326</v>
      </c>
      <c r="GR1" s="129" t="s">
        <v>325</v>
      </c>
      <c r="GS1" s="129" t="s">
        <v>324</v>
      </c>
      <c r="GT1" s="129" t="s">
        <v>323</v>
      </c>
      <c r="GU1" s="129" t="s">
        <v>322</v>
      </c>
      <c r="GV1" s="129" t="s">
        <v>321</v>
      </c>
      <c r="GW1" s="129" t="s">
        <v>320</v>
      </c>
      <c r="GX1" s="129" t="s">
        <v>319</v>
      </c>
      <c r="GY1" s="129" t="s">
        <v>318</v>
      </c>
      <c r="GZ1" s="129" t="s">
        <v>317</v>
      </c>
      <c r="HA1" s="129" t="s">
        <v>316</v>
      </c>
      <c r="HB1" s="129" t="s">
        <v>315</v>
      </c>
      <c r="HC1" s="129" t="s">
        <v>314</v>
      </c>
      <c r="HD1" s="129" t="s">
        <v>313</v>
      </c>
      <c r="HE1" s="129" t="s">
        <v>312</v>
      </c>
      <c r="HF1" s="129" t="s">
        <v>311</v>
      </c>
      <c r="HG1" s="129" t="s">
        <v>310</v>
      </c>
      <c r="HH1" s="129" t="s">
        <v>309</v>
      </c>
      <c r="HI1" s="129" t="s">
        <v>308</v>
      </c>
      <c r="HJ1" s="129" t="s">
        <v>307</v>
      </c>
      <c r="HK1" s="129" t="s">
        <v>306</v>
      </c>
      <c r="HL1" s="129" t="s">
        <v>305</v>
      </c>
      <c r="HM1" s="129" t="s">
        <v>304</v>
      </c>
      <c r="HN1" s="129" t="s">
        <v>303</v>
      </c>
      <c r="HO1" s="129" t="s">
        <v>302</v>
      </c>
      <c r="HP1" s="129" t="s">
        <v>301</v>
      </c>
      <c r="HQ1" s="129" t="s">
        <v>300</v>
      </c>
      <c r="HR1" s="129" t="s">
        <v>299</v>
      </c>
      <c r="HS1" s="129" t="s">
        <v>298</v>
      </c>
      <c r="HT1" s="129" t="s">
        <v>297</v>
      </c>
      <c r="HU1" s="129" t="s">
        <v>296</v>
      </c>
      <c r="HV1" s="129" t="s">
        <v>295</v>
      </c>
      <c r="HW1" s="129" t="s">
        <v>294</v>
      </c>
      <c r="HX1" s="129" t="s">
        <v>293</v>
      </c>
      <c r="HY1" s="129" t="s">
        <v>292</v>
      </c>
      <c r="HZ1" s="129" t="s">
        <v>291</v>
      </c>
      <c r="IA1" s="129" t="s">
        <v>290</v>
      </c>
      <c r="IB1" s="129" t="s">
        <v>289</v>
      </c>
      <c r="IC1" s="129" t="s">
        <v>288</v>
      </c>
      <c r="ID1" s="129" t="s">
        <v>287</v>
      </c>
      <c r="IE1" s="129" t="s">
        <v>286</v>
      </c>
      <c r="IF1" s="129" t="s">
        <v>285</v>
      </c>
      <c r="IG1" s="129" t="s">
        <v>284</v>
      </c>
      <c r="IH1" s="129" t="s">
        <v>283</v>
      </c>
      <c r="II1" s="129" t="s">
        <v>282</v>
      </c>
      <c r="IJ1" s="129" t="s">
        <v>281</v>
      </c>
      <c r="IK1" s="129" t="s">
        <v>280</v>
      </c>
      <c r="IL1" s="129" t="s">
        <v>279</v>
      </c>
      <c r="IM1" s="129" t="s">
        <v>278</v>
      </c>
      <c r="IN1" s="129" t="s">
        <v>277</v>
      </c>
      <c r="IO1" s="129" t="s">
        <v>276</v>
      </c>
      <c r="IP1" s="129" t="s">
        <v>275</v>
      </c>
      <c r="IQ1" s="129" t="s">
        <v>274</v>
      </c>
      <c r="IR1" s="129" t="s">
        <v>273</v>
      </c>
      <c r="IS1" s="129" t="s">
        <v>272</v>
      </c>
      <c r="IT1" s="129" t="s">
        <v>271</v>
      </c>
      <c r="IU1" s="129" t="s">
        <v>270</v>
      </c>
      <c r="IV1" s="129" t="s">
        <v>269</v>
      </c>
      <c r="IW1" s="129" t="s">
        <v>268</v>
      </c>
      <c r="IX1" s="129" t="s">
        <v>267</v>
      </c>
      <c r="IY1" s="129" t="s">
        <v>266</v>
      </c>
      <c r="IZ1" s="129" t="s">
        <v>265</v>
      </c>
      <c r="JA1" s="129" t="s">
        <v>264</v>
      </c>
      <c r="JB1" s="129" t="s">
        <v>263</v>
      </c>
      <c r="JC1" s="129" t="s">
        <v>262</v>
      </c>
      <c r="JD1" s="129" t="s">
        <v>261</v>
      </c>
      <c r="JE1" s="129" t="s">
        <v>260</v>
      </c>
      <c r="JF1" s="129" t="s">
        <v>259</v>
      </c>
      <c r="JG1" s="129" t="s">
        <v>258</v>
      </c>
      <c r="JH1" s="129" t="s">
        <v>257</v>
      </c>
      <c r="JI1" s="129" t="s">
        <v>256</v>
      </c>
      <c r="JJ1" s="129" t="s">
        <v>255</v>
      </c>
      <c r="JK1" s="129" t="s">
        <v>254</v>
      </c>
      <c r="JL1" s="129" t="s">
        <v>253</v>
      </c>
      <c r="JM1" s="129" t="s">
        <v>252</v>
      </c>
      <c r="JN1" s="129" t="s">
        <v>251</v>
      </c>
      <c r="JO1" s="129" t="s">
        <v>250</v>
      </c>
      <c r="JP1" s="129" t="s">
        <v>249</v>
      </c>
      <c r="JQ1" s="129" t="s">
        <v>248</v>
      </c>
      <c r="JR1" s="129" t="s">
        <v>247</v>
      </c>
      <c r="JS1" s="129" t="s">
        <v>246</v>
      </c>
      <c r="JT1" s="129" t="s">
        <v>245</v>
      </c>
      <c r="JU1" s="129" t="s">
        <v>244</v>
      </c>
      <c r="JV1" s="129" t="s">
        <v>243</v>
      </c>
      <c r="JW1" s="129" t="s">
        <v>242</v>
      </c>
      <c r="JX1" s="129" t="s">
        <v>241</v>
      </c>
      <c r="JY1" s="129" t="s">
        <v>240</v>
      </c>
      <c r="JZ1" s="129" t="s">
        <v>239</v>
      </c>
      <c r="KA1" s="129" t="s">
        <v>238</v>
      </c>
      <c r="KB1" s="129" t="s">
        <v>237</v>
      </c>
      <c r="KC1" s="129" t="s">
        <v>236</v>
      </c>
      <c r="KD1" s="129" t="s">
        <v>235</v>
      </c>
      <c r="KE1" s="129" t="s">
        <v>234</v>
      </c>
      <c r="KF1" s="129" t="s">
        <v>233</v>
      </c>
      <c r="KG1" s="129" t="s">
        <v>232</v>
      </c>
      <c r="KH1" s="129" t="s">
        <v>231</v>
      </c>
      <c r="KI1" s="129" t="s">
        <v>230</v>
      </c>
      <c r="KJ1" s="129" t="s">
        <v>229</v>
      </c>
      <c r="KK1" s="129" t="s">
        <v>228</v>
      </c>
      <c r="KL1" s="129" t="s">
        <v>227</v>
      </c>
      <c r="KM1" s="129" t="s">
        <v>226</v>
      </c>
      <c r="KN1" s="129" t="s">
        <v>225</v>
      </c>
      <c r="KO1" s="129" t="s">
        <v>224</v>
      </c>
      <c r="KP1" s="129" t="s">
        <v>223</v>
      </c>
      <c r="KQ1" s="129" t="s">
        <v>222</v>
      </c>
      <c r="KR1" s="129" t="s">
        <v>221</v>
      </c>
      <c r="KS1" s="129" t="s">
        <v>220</v>
      </c>
      <c r="KT1" s="129" t="s">
        <v>219</v>
      </c>
      <c r="KU1" s="129" t="s">
        <v>218</v>
      </c>
      <c r="KV1" s="129" t="s">
        <v>217</v>
      </c>
      <c r="KW1" s="129" t="s">
        <v>216</v>
      </c>
      <c r="KX1" s="129" t="s">
        <v>215</v>
      </c>
      <c r="KY1" s="129" t="s">
        <v>214</v>
      </c>
      <c r="KZ1" s="129" t="s">
        <v>213</v>
      </c>
      <c r="LA1" s="129" t="s">
        <v>212</v>
      </c>
      <c r="LB1" s="129" t="s">
        <v>211</v>
      </c>
      <c r="LC1" s="129" t="s">
        <v>210</v>
      </c>
      <c r="LD1" s="129" t="s">
        <v>209</v>
      </c>
      <c r="LE1" s="129" t="s">
        <v>208</v>
      </c>
      <c r="LF1" s="129" t="s">
        <v>207</v>
      </c>
      <c r="LG1" s="129" t="s">
        <v>206</v>
      </c>
      <c r="LH1" s="129" t="s">
        <v>205</v>
      </c>
      <c r="LI1" s="129" t="s">
        <v>204</v>
      </c>
      <c r="LJ1" s="129" t="s">
        <v>203</v>
      </c>
      <c r="LK1" s="129" t="s">
        <v>202</v>
      </c>
      <c r="LL1" s="129" t="s">
        <v>201</v>
      </c>
      <c r="LM1" s="129" t="s">
        <v>200</v>
      </c>
      <c r="LN1" s="129" t="s">
        <v>199</v>
      </c>
      <c r="LO1" s="129" t="s">
        <v>198</v>
      </c>
      <c r="LP1" s="129" t="s">
        <v>197</v>
      </c>
      <c r="LQ1" s="129" t="s">
        <v>196</v>
      </c>
      <c r="LR1" s="129" t="s">
        <v>195</v>
      </c>
      <c r="LS1" s="129" t="s">
        <v>194</v>
      </c>
      <c r="LT1" s="129" t="s">
        <v>193</v>
      </c>
      <c r="LU1" s="129" t="s">
        <v>192</v>
      </c>
      <c r="LV1" s="129" t="s">
        <v>191</v>
      </c>
      <c r="LW1" s="129" t="s">
        <v>190</v>
      </c>
      <c r="LX1" s="129" t="s">
        <v>189</v>
      </c>
      <c r="LY1" s="129" t="s">
        <v>188</v>
      </c>
      <c r="LZ1" s="129" t="s">
        <v>187</v>
      </c>
      <c r="MA1" s="129" t="s">
        <v>186</v>
      </c>
      <c r="MB1" s="129" t="s">
        <v>185</v>
      </c>
      <c r="MC1" s="129" t="s">
        <v>184</v>
      </c>
      <c r="MD1" s="129" t="s">
        <v>183</v>
      </c>
      <c r="ME1" s="129" t="s">
        <v>182</v>
      </c>
      <c r="MF1" s="129" t="s">
        <v>181</v>
      </c>
      <c r="MG1" s="129" t="s">
        <v>180</v>
      </c>
      <c r="MH1" s="129" t="s">
        <v>179</v>
      </c>
      <c r="MI1" s="129" t="s">
        <v>178</v>
      </c>
      <c r="MJ1" s="129" t="s">
        <v>177</v>
      </c>
      <c r="MK1" s="129" t="s">
        <v>176</v>
      </c>
      <c r="ML1" s="129" t="s">
        <v>175</v>
      </c>
      <c r="MM1" s="129" t="s">
        <v>174</v>
      </c>
      <c r="MN1" s="129" t="s">
        <v>173</v>
      </c>
      <c r="MO1" s="129" t="s">
        <v>172</v>
      </c>
      <c r="MP1" s="129" t="s">
        <v>171</v>
      </c>
      <c r="MQ1" s="129" t="s">
        <v>170</v>
      </c>
      <c r="MR1" s="129" t="s">
        <v>169</v>
      </c>
      <c r="MS1" s="129" t="s">
        <v>168</v>
      </c>
      <c r="MT1" s="129" t="s">
        <v>167</v>
      </c>
      <c r="MU1" s="129" t="s">
        <v>166</v>
      </c>
      <c r="MV1" s="129" t="s">
        <v>165</v>
      </c>
      <c r="MW1" s="129" t="s">
        <v>164</v>
      </c>
      <c r="MX1" s="129" t="s">
        <v>163</v>
      </c>
      <c r="MY1" s="129" t="s">
        <v>162</v>
      </c>
      <c r="MZ1" s="129" t="s">
        <v>161</v>
      </c>
      <c r="NA1" s="129" t="s">
        <v>160</v>
      </c>
      <c r="NB1" s="129" t="s">
        <v>159</v>
      </c>
      <c r="NC1" s="129" t="s">
        <v>158</v>
      </c>
      <c r="ND1" s="129" t="s">
        <v>157</v>
      </c>
      <c r="NE1" s="129" t="s">
        <v>156</v>
      </c>
      <c r="NF1" s="129" t="s">
        <v>155</v>
      </c>
      <c r="NG1" s="129" t="s">
        <v>154</v>
      </c>
      <c r="NH1" s="129" t="s">
        <v>153</v>
      </c>
      <c r="NI1" s="129" t="s">
        <v>152</v>
      </c>
      <c r="NJ1" s="129" t="s">
        <v>151</v>
      </c>
      <c r="NK1" s="129" t="s">
        <v>150</v>
      </c>
      <c r="NL1" s="129" t="s">
        <v>149</v>
      </c>
      <c r="NM1" s="129" t="s">
        <v>148</v>
      </c>
      <c r="NN1" s="129" t="s">
        <v>147</v>
      </c>
      <c r="NO1" s="129" t="s">
        <v>146</v>
      </c>
      <c r="NP1" s="129" t="s">
        <v>145</v>
      </c>
      <c r="NQ1" s="129" t="s">
        <v>144</v>
      </c>
      <c r="NR1" s="129" t="s">
        <v>143</v>
      </c>
      <c r="NS1" s="129" t="s">
        <v>142</v>
      </c>
      <c r="NT1" s="129" t="s">
        <v>141</v>
      </c>
      <c r="NU1" s="129" t="s">
        <v>140</v>
      </c>
      <c r="NV1" s="129" t="s">
        <v>139</v>
      </c>
      <c r="NW1" s="129" t="s">
        <v>138</v>
      </c>
      <c r="NX1" s="129" t="s">
        <v>137</v>
      </c>
    </row>
    <row r="2" spans="1:388" x14ac:dyDescent="0.25">
      <c r="A2" t="s">
        <v>136</v>
      </c>
      <c r="B2">
        <v>2008</v>
      </c>
      <c r="C2">
        <v>1</v>
      </c>
      <c r="D2" t="s">
        <v>535</v>
      </c>
      <c r="E2">
        <v>768839</v>
      </c>
      <c r="F2">
        <v>0.44171539999999998</v>
      </c>
      <c r="G2">
        <v>339608</v>
      </c>
      <c r="H2">
        <v>0.13241739999999999</v>
      </c>
      <c r="I2">
        <v>339608</v>
      </c>
      <c r="J2">
        <v>2.4130800000000001E-2</v>
      </c>
      <c r="K2">
        <v>339608</v>
      </c>
      <c r="L2">
        <v>0.1339986</v>
      </c>
      <c r="M2">
        <v>339608</v>
      </c>
      <c r="N2">
        <v>5.5110600000000003E-2</v>
      </c>
      <c r="O2">
        <v>339608</v>
      </c>
      <c r="P2">
        <v>2.4410500000000002E-2</v>
      </c>
      <c r="Q2">
        <v>339608</v>
      </c>
      <c r="R2">
        <v>3.6757100000000001E-2</v>
      </c>
      <c r="S2">
        <v>339608</v>
      </c>
      <c r="T2">
        <v>0.1291842</v>
      </c>
      <c r="U2">
        <v>339608</v>
      </c>
      <c r="V2">
        <v>0.12335989999999999</v>
      </c>
      <c r="W2">
        <v>339608</v>
      </c>
      <c r="X2">
        <v>0.101414</v>
      </c>
      <c r="Y2">
        <v>339608</v>
      </c>
      <c r="Z2">
        <v>9.7273899999999996E-2</v>
      </c>
      <c r="AA2">
        <v>339608</v>
      </c>
      <c r="AB2">
        <v>7.2312799999999997E-2</v>
      </c>
      <c r="AC2">
        <v>339608</v>
      </c>
      <c r="AD2">
        <v>3.9419000000000003E-2</v>
      </c>
      <c r="AE2">
        <v>339608</v>
      </c>
      <c r="AF2">
        <v>3.02113E-2</v>
      </c>
      <c r="AG2">
        <v>768839</v>
      </c>
      <c r="AH2">
        <v>0.55828460000000002</v>
      </c>
      <c r="AI2">
        <v>429231</v>
      </c>
      <c r="AJ2">
        <v>0.1053186</v>
      </c>
      <c r="AK2">
        <v>429231</v>
      </c>
      <c r="AL2">
        <v>1.71469E-2</v>
      </c>
      <c r="AM2">
        <v>429231</v>
      </c>
      <c r="AN2">
        <v>0.1007499</v>
      </c>
      <c r="AO2">
        <v>429231</v>
      </c>
      <c r="AP2">
        <v>5.26639E-2</v>
      </c>
      <c r="AQ2">
        <v>429231</v>
      </c>
      <c r="AR2">
        <v>1.56559E-2</v>
      </c>
      <c r="AS2">
        <v>429231</v>
      </c>
      <c r="AT2">
        <v>3.24348E-2</v>
      </c>
      <c r="AU2">
        <v>429231</v>
      </c>
      <c r="AV2">
        <v>0.13723150000000001</v>
      </c>
      <c r="AW2">
        <v>429231</v>
      </c>
      <c r="AX2">
        <v>0.14772469999999999</v>
      </c>
      <c r="AY2">
        <v>429231</v>
      </c>
      <c r="AZ2">
        <v>0.1092023</v>
      </c>
      <c r="BA2">
        <v>429231</v>
      </c>
      <c r="BB2">
        <v>0.1062342</v>
      </c>
      <c r="BC2">
        <v>429231</v>
      </c>
      <c r="BD2">
        <v>6.5020900000000006E-2</v>
      </c>
      <c r="BE2">
        <v>429231</v>
      </c>
      <c r="BF2">
        <v>5.0935300000000003E-2</v>
      </c>
      <c r="BG2">
        <v>429231</v>
      </c>
      <c r="BH2">
        <v>5.9681199999999997E-2</v>
      </c>
      <c r="BI2">
        <v>4441315</v>
      </c>
      <c r="BJ2">
        <v>0.49600559999999999</v>
      </c>
      <c r="BK2">
        <v>2202917</v>
      </c>
      <c r="BL2">
        <v>6.8064299999999994E-2</v>
      </c>
      <c r="BM2">
        <v>2202917</v>
      </c>
      <c r="BN2">
        <v>1.2881999999999999E-2</v>
      </c>
      <c r="BO2">
        <v>2202917</v>
      </c>
      <c r="BP2">
        <v>7.77283E-2</v>
      </c>
      <c r="BQ2">
        <v>2202917</v>
      </c>
      <c r="BR2">
        <v>3.8390000000000001E-2</v>
      </c>
      <c r="BS2">
        <v>2202917</v>
      </c>
      <c r="BT2">
        <v>1.3933299999999999E-2</v>
      </c>
      <c r="BU2">
        <v>2202917</v>
      </c>
      <c r="BV2">
        <v>2.79189E-2</v>
      </c>
      <c r="BW2">
        <v>2202917</v>
      </c>
      <c r="BX2">
        <v>9.3274099999999999E-2</v>
      </c>
      <c r="BY2">
        <v>2202917</v>
      </c>
      <c r="BZ2">
        <v>0.14793390000000001</v>
      </c>
      <c r="CA2">
        <v>2202917</v>
      </c>
      <c r="CB2">
        <v>0.16191939999999999</v>
      </c>
      <c r="CC2">
        <v>2202917</v>
      </c>
      <c r="CD2">
        <v>0.1514065</v>
      </c>
      <c r="CE2">
        <v>2202917</v>
      </c>
      <c r="CF2">
        <v>0.10596</v>
      </c>
      <c r="CG2">
        <v>2202917</v>
      </c>
      <c r="CH2">
        <v>5.8055799999999998E-2</v>
      </c>
      <c r="CI2">
        <v>2202917</v>
      </c>
      <c r="CJ2">
        <v>4.2533599999999998E-2</v>
      </c>
      <c r="CK2">
        <v>4441315</v>
      </c>
      <c r="CL2">
        <v>0.50399439999999995</v>
      </c>
      <c r="CM2">
        <v>2238398</v>
      </c>
      <c r="CN2">
        <v>6.2544299999999997E-2</v>
      </c>
      <c r="CO2">
        <v>2238398</v>
      </c>
      <c r="CP2">
        <v>1.2060400000000001E-2</v>
      </c>
      <c r="CQ2">
        <v>2238398</v>
      </c>
      <c r="CR2">
        <v>6.9972800000000002E-2</v>
      </c>
      <c r="CS2">
        <v>2238398</v>
      </c>
      <c r="CT2">
        <v>3.8458800000000001E-2</v>
      </c>
      <c r="CU2">
        <v>2238398</v>
      </c>
      <c r="CV2">
        <v>1.26126E-2</v>
      </c>
      <c r="CW2">
        <v>2238398</v>
      </c>
      <c r="CX2">
        <v>2.6718700000000001E-2</v>
      </c>
      <c r="CY2">
        <v>2238398</v>
      </c>
      <c r="CZ2">
        <v>8.2360199999999995E-2</v>
      </c>
      <c r="DA2">
        <v>2238398</v>
      </c>
      <c r="DB2">
        <v>0.1312961</v>
      </c>
      <c r="DC2">
        <v>2238398</v>
      </c>
      <c r="DD2">
        <v>0.15353839999999999</v>
      </c>
      <c r="DE2">
        <v>2238398</v>
      </c>
      <c r="DF2">
        <v>0.15263589999999999</v>
      </c>
      <c r="DG2">
        <v>2238398</v>
      </c>
      <c r="DH2">
        <v>0.1183404</v>
      </c>
      <c r="DI2">
        <v>2238398</v>
      </c>
      <c r="DJ2">
        <v>7.1037400000000001E-2</v>
      </c>
      <c r="DK2">
        <v>2238398</v>
      </c>
      <c r="DL2">
        <v>6.8423899999999996E-2</v>
      </c>
      <c r="DM2">
        <v>3416268</v>
      </c>
      <c r="DN2">
        <v>0.1138213</v>
      </c>
      <c r="DO2">
        <v>388844</v>
      </c>
      <c r="DP2">
        <v>0.40523959999999998</v>
      </c>
      <c r="DQ2">
        <v>157575</v>
      </c>
      <c r="DR2">
        <v>0.37752819999999998</v>
      </c>
      <c r="DS2">
        <v>157575</v>
      </c>
      <c r="DT2">
        <v>0.29629070000000002</v>
      </c>
      <c r="DU2">
        <v>157575</v>
      </c>
      <c r="DV2">
        <v>0.18202760000000001</v>
      </c>
      <c r="DW2">
        <v>157575</v>
      </c>
      <c r="DX2">
        <v>0.14415359999999999</v>
      </c>
      <c r="DY2">
        <v>388844</v>
      </c>
      <c r="DZ2">
        <v>0.59476039999999997</v>
      </c>
      <c r="EA2">
        <v>231269</v>
      </c>
      <c r="EB2">
        <v>0.33867920000000001</v>
      </c>
      <c r="EC2">
        <v>231269</v>
      </c>
      <c r="ED2">
        <v>0.28998699999999999</v>
      </c>
      <c r="EE2">
        <v>231269</v>
      </c>
      <c r="EF2">
        <v>0.2399587</v>
      </c>
      <c r="EG2">
        <v>231269</v>
      </c>
      <c r="EH2">
        <v>0.13137509999999999</v>
      </c>
      <c r="EI2">
        <v>3416268</v>
      </c>
      <c r="EJ2">
        <v>0.88617869999999999</v>
      </c>
      <c r="EK2">
        <v>3027424</v>
      </c>
      <c r="EL2">
        <v>0.48593389999999997</v>
      </c>
      <c r="EM2">
        <v>1471128</v>
      </c>
      <c r="EN2">
        <v>0.15834719999999999</v>
      </c>
      <c r="EO2">
        <v>1471128</v>
      </c>
      <c r="EP2">
        <v>0.2390873</v>
      </c>
      <c r="EQ2">
        <v>1471128</v>
      </c>
      <c r="ER2">
        <v>0.25300519999999999</v>
      </c>
      <c r="ES2">
        <v>1471128</v>
      </c>
      <c r="ET2">
        <v>0.34956039999999999</v>
      </c>
      <c r="EU2">
        <v>3027424</v>
      </c>
      <c r="EV2">
        <v>0.51406609999999997</v>
      </c>
      <c r="EW2">
        <v>1556296</v>
      </c>
      <c r="EX2">
        <v>0.13571449999999999</v>
      </c>
      <c r="EY2">
        <v>1556296</v>
      </c>
      <c r="EZ2">
        <v>0.23621539999999999</v>
      </c>
      <c r="FA2">
        <v>1556296</v>
      </c>
      <c r="FB2">
        <v>0.27372429999999998</v>
      </c>
      <c r="FC2">
        <v>1556296</v>
      </c>
      <c r="FD2">
        <v>0.35434579999999999</v>
      </c>
      <c r="FE2">
        <v>4056589</v>
      </c>
      <c r="FF2">
        <v>0.1276997</v>
      </c>
      <c r="FG2">
        <v>518025</v>
      </c>
      <c r="FH2">
        <v>0.41297240000000002</v>
      </c>
      <c r="FI2">
        <v>213930</v>
      </c>
      <c r="FJ2">
        <v>0.1177208</v>
      </c>
      <c r="FK2">
        <v>213930</v>
      </c>
      <c r="FL2">
        <v>0.29351660000000002</v>
      </c>
      <c r="FM2">
        <v>213930</v>
      </c>
      <c r="FN2">
        <v>0.58876269999999997</v>
      </c>
      <c r="FO2">
        <v>213930</v>
      </c>
      <c r="FP2">
        <v>0.4608797</v>
      </c>
      <c r="FQ2">
        <v>213930</v>
      </c>
      <c r="FR2">
        <v>0.5391203</v>
      </c>
      <c r="FS2">
        <v>98596</v>
      </c>
      <c r="FT2">
        <v>0.68909489999999995</v>
      </c>
      <c r="FU2">
        <v>98596</v>
      </c>
      <c r="FV2">
        <v>0.31090509999999999</v>
      </c>
      <c r="FW2">
        <v>518025</v>
      </c>
      <c r="FX2">
        <v>0.58702770000000004</v>
      </c>
      <c r="FY2">
        <v>304095</v>
      </c>
      <c r="FZ2">
        <v>7.9741500000000007E-2</v>
      </c>
      <c r="GA2">
        <v>304095</v>
      </c>
      <c r="GB2">
        <v>0.29339189999999998</v>
      </c>
      <c r="GC2">
        <v>304095</v>
      </c>
      <c r="GD2">
        <v>0.62686660000000005</v>
      </c>
      <c r="GE2">
        <v>304095</v>
      </c>
      <c r="GF2">
        <v>0.38485999999999998</v>
      </c>
      <c r="GG2">
        <v>304095</v>
      </c>
      <c r="GH2">
        <v>0.61514000000000002</v>
      </c>
      <c r="GI2">
        <v>117034</v>
      </c>
      <c r="GJ2">
        <v>0.74109230000000004</v>
      </c>
      <c r="GK2">
        <v>117034</v>
      </c>
      <c r="GL2">
        <v>0.25890770000000002</v>
      </c>
      <c r="GM2">
        <v>4056589</v>
      </c>
      <c r="GN2">
        <v>0.87230030000000003</v>
      </c>
      <c r="GO2">
        <v>3538564</v>
      </c>
      <c r="GP2">
        <v>0.49118970000000001</v>
      </c>
      <c r="GQ2">
        <v>1738106</v>
      </c>
      <c r="GR2">
        <v>0.57557190000000003</v>
      </c>
      <c r="GS2">
        <v>1738106</v>
      </c>
      <c r="GT2">
        <v>0.21089740000000001</v>
      </c>
      <c r="GU2">
        <v>1738106</v>
      </c>
      <c r="GV2">
        <v>0.21353069999999999</v>
      </c>
      <c r="GW2">
        <v>1736608</v>
      </c>
      <c r="GX2">
        <v>0.77694739999999995</v>
      </c>
      <c r="GY2">
        <v>1736608</v>
      </c>
      <c r="GZ2">
        <v>0.22305259999999999</v>
      </c>
      <c r="HA2">
        <v>1349253</v>
      </c>
      <c r="HB2">
        <v>0.93381380000000003</v>
      </c>
      <c r="HC2">
        <v>1349253</v>
      </c>
      <c r="HD2">
        <v>6.6186200000000001E-2</v>
      </c>
      <c r="HE2">
        <v>3538564</v>
      </c>
      <c r="HF2">
        <v>0.50881030000000005</v>
      </c>
      <c r="HG2">
        <v>1800458</v>
      </c>
      <c r="HH2">
        <v>0.43223889999999998</v>
      </c>
      <c r="HI2">
        <v>1800458</v>
      </c>
      <c r="HJ2">
        <v>0.2453148</v>
      </c>
      <c r="HK2">
        <v>1800458</v>
      </c>
      <c r="HL2">
        <v>0.32244630000000002</v>
      </c>
      <c r="HM2">
        <v>1800162</v>
      </c>
      <c r="HN2">
        <v>0.66018940000000004</v>
      </c>
      <c r="HO2">
        <v>1800162</v>
      </c>
      <c r="HP2">
        <v>0.33981050000000002</v>
      </c>
      <c r="HQ2">
        <v>1188448</v>
      </c>
      <c r="HR2">
        <v>0.94279429999999997</v>
      </c>
      <c r="HS2">
        <v>1188448</v>
      </c>
      <c r="HT2">
        <v>5.7205699999999998E-2</v>
      </c>
      <c r="HU2">
        <v>1198534</v>
      </c>
      <c r="HV2">
        <v>0.1572296</v>
      </c>
      <c r="HW2">
        <v>188445</v>
      </c>
      <c r="HX2">
        <v>0.35527609999999998</v>
      </c>
      <c r="HY2">
        <v>66950</v>
      </c>
      <c r="HZ2">
        <v>0.66879759999999999</v>
      </c>
      <c r="IA2">
        <v>66950</v>
      </c>
      <c r="IB2">
        <v>0.66879759999999999</v>
      </c>
      <c r="IC2">
        <v>66950</v>
      </c>
      <c r="ID2">
        <v>0.66879759999999999</v>
      </c>
      <c r="IE2">
        <v>66950</v>
      </c>
      <c r="IF2">
        <v>0.66879759999999999</v>
      </c>
      <c r="IG2">
        <v>66950</v>
      </c>
      <c r="IH2">
        <v>0.33120240000000001</v>
      </c>
      <c r="II2">
        <v>188445</v>
      </c>
      <c r="IJ2">
        <v>0.64472399999999996</v>
      </c>
      <c r="IK2">
        <v>121495</v>
      </c>
      <c r="IL2">
        <v>0.14573439999999999</v>
      </c>
      <c r="IM2">
        <v>17706</v>
      </c>
      <c r="IN2">
        <v>0.72444370000000002</v>
      </c>
      <c r="IO2">
        <v>12827</v>
      </c>
      <c r="IP2">
        <v>0.27426519999999999</v>
      </c>
      <c r="IQ2">
        <v>12827</v>
      </c>
      <c r="IR2">
        <v>0.29687380000000002</v>
      </c>
      <c r="IS2">
        <v>12827</v>
      </c>
      <c r="IT2">
        <v>0.42886099999999999</v>
      </c>
      <c r="IU2">
        <v>17706</v>
      </c>
      <c r="IV2">
        <v>0.27555629999999998</v>
      </c>
      <c r="IW2">
        <v>121495</v>
      </c>
      <c r="IX2">
        <v>0.85426559999999996</v>
      </c>
      <c r="IY2">
        <v>103789</v>
      </c>
      <c r="IZ2">
        <v>0.8222933</v>
      </c>
      <c r="JA2">
        <v>85345</v>
      </c>
      <c r="JB2">
        <v>0.15986880000000001</v>
      </c>
      <c r="JC2">
        <v>85345</v>
      </c>
      <c r="JD2">
        <v>0.30410690000000001</v>
      </c>
      <c r="JE2">
        <v>85345</v>
      </c>
      <c r="JF2">
        <v>0.53602439999999996</v>
      </c>
      <c r="JG2">
        <v>103789</v>
      </c>
      <c r="JH2">
        <v>0.1777067</v>
      </c>
      <c r="JI2">
        <v>1198534</v>
      </c>
      <c r="JJ2">
        <v>3.1414200000000003E-2</v>
      </c>
      <c r="JK2">
        <v>37651</v>
      </c>
      <c r="JL2">
        <v>0.54909560000000002</v>
      </c>
      <c r="JM2">
        <v>20674</v>
      </c>
      <c r="JN2">
        <v>0.66276480000000004</v>
      </c>
      <c r="JO2">
        <v>20674</v>
      </c>
      <c r="JP2">
        <v>0.66276480000000004</v>
      </c>
      <c r="JQ2">
        <v>20674</v>
      </c>
      <c r="JR2">
        <v>0.66276480000000004</v>
      </c>
      <c r="JS2">
        <v>20674</v>
      </c>
      <c r="JT2">
        <v>0.66276480000000004</v>
      </c>
      <c r="JU2">
        <v>20674</v>
      </c>
      <c r="JV2">
        <v>0.33723520000000001</v>
      </c>
      <c r="JW2">
        <v>37651</v>
      </c>
      <c r="JX2">
        <v>0.45090439999999998</v>
      </c>
      <c r="JY2">
        <v>16977</v>
      </c>
      <c r="JZ2">
        <v>0.1612181</v>
      </c>
      <c r="KA2">
        <v>2737</v>
      </c>
      <c r="KB2">
        <v>0.79247350000000005</v>
      </c>
      <c r="KC2">
        <v>2169</v>
      </c>
      <c r="KD2">
        <v>0.19502079999999999</v>
      </c>
      <c r="KE2">
        <v>2169</v>
      </c>
      <c r="KF2">
        <v>0.3093592</v>
      </c>
      <c r="KG2">
        <v>2169</v>
      </c>
      <c r="KH2">
        <v>0.49562010000000001</v>
      </c>
      <c r="KI2">
        <v>2737</v>
      </c>
      <c r="KJ2">
        <v>0.2075265</v>
      </c>
      <c r="KK2">
        <v>16977</v>
      </c>
      <c r="KL2">
        <v>0.83878189999999997</v>
      </c>
      <c r="KM2">
        <v>14240</v>
      </c>
      <c r="KN2">
        <v>0.71060400000000001</v>
      </c>
      <c r="KO2">
        <v>10119</v>
      </c>
      <c r="KP2">
        <v>0.13183120000000001</v>
      </c>
      <c r="KQ2">
        <v>10119</v>
      </c>
      <c r="KR2">
        <v>0.19962450000000001</v>
      </c>
      <c r="KS2">
        <v>10119</v>
      </c>
      <c r="KT2">
        <v>0.66854440000000004</v>
      </c>
      <c r="KU2">
        <v>14240</v>
      </c>
      <c r="KV2">
        <v>0.28939609999999999</v>
      </c>
      <c r="KW2">
        <v>1198534</v>
      </c>
      <c r="KX2">
        <v>5.7472700000000002E-2</v>
      </c>
      <c r="KY2">
        <v>68883</v>
      </c>
      <c r="KZ2">
        <v>0.52880970000000005</v>
      </c>
      <c r="LA2">
        <v>36426</v>
      </c>
      <c r="LB2">
        <v>0.66027020000000003</v>
      </c>
      <c r="LC2">
        <v>36426</v>
      </c>
      <c r="LD2">
        <v>0.66027020000000003</v>
      </c>
      <c r="LE2">
        <v>36426</v>
      </c>
      <c r="LF2">
        <v>0.66027020000000003</v>
      </c>
      <c r="LG2">
        <v>36426</v>
      </c>
      <c r="LH2">
        <v>0.66027020000000003</v>
      </c>
      <c r="LI2">
        <v>36426</v>
      </c>
      <c r="LJ2">
        <v>0.33972989999999997</v>
      </c>
      <c r="LK2">
        <v>68883</v>
      </c>
      <c r="LL2">
        <v>0.47119030000000001</v>
      </c>
      <c r="LM2">
        <v>32457</v>
      </c>
      <c r="LN2">
        <v>0.23098250000000001</v>
      </c>
      <c r="LO2">
        <v>7497</v>
      </c>
      <c r="LP2">
        <v>0.59717220000000004</v>
      </c>
      <c r="LQ2">
        <v>4477</v>
      </c>
      <c r="LR2">
        <v>0.25709179999999998</v>
      </c>
      <c r="LS2">
        <v>4477</v>
      </c>
      <c r="LT2">
        <v>0.32410099999999997</v>
      </c>
      <c r="LU2">
        <v>4477</v>
      </c>
      <c r="LV2">
        <v>0.41880719999999999</v>
      </c>
      <c r="LW2">
        <v>7497</v>
      </c>
      <c r="LX2">
        <v>0.40282780000000001</v>
      </c>
      <c r="LY2">
        <v>32457</v>
      </c>
      <c r="LZ2">
        <v>0.76901750000000002</v>
      </c>
      <c r="MA2">
        <v>24960</v>
      </c>
      <c r="MB2">
        <v>0.69859769999999999</v>
      </c>
      <c r="MC2">
        <v>17437</v>
      </c>
      <c r="MD2">
        <v>0.1405632</v>
      </c>
      <c r="ME2">
        <v>17437</v>
      </c>
      <c r="MF2">
        <v>0.20479439999999999</v>
      </c>
      <c r="MG2">
        <v>17437</v>
      </c>
      <c r="MH2">
        <v>0.65464239999999996</v>
      </c>
      <c r="MI2">
        <v>24960</v>
      </c>
      <c r="MJ2">
        <v>0.30140220000000001</v>
      </c>
      <c r="MK2">
        <v>1198534</v>
      </c>
      <c r="ML2">
        <v>0.75388350000000004</v>
      </c>
      <c r="MM2">
        <v>903555</v>
      </c>
      <c r="MN2">
        <v>0.75302550000000001</v>
      </c>
      <c r="MO2">
        <v>680400</v>
      </c>
      <c r="MP2">
        <v>0.4639124</v>
      </c>
      <c r="MQ2">
        <v>680400</v>
      </c>
      <c r="MR2">
        <v>0.4639124</v>
      </c>
      <c r="MS2">
        <v>680400</v>
      </c>
      <c r="MT2">
        <v>0.4639124</v>
      </c>
      <c r="MU2">
        <v>680400</v>
      </c>
      <c r="MV2">
        <v>0.4639124</v>
      </c>
      <c r="MW2">
        <v>680400</v>
      </c>
      <c r="MX2">
        <v>0.5360876</v>
      </c>
      <c r="MY2">
        <v>903555</v>
      </c>
      <c r="MZ2">
        <v>0.24697450000000001</v>
      </c>
      <c r="NA2">
        <v>223155</v>
      </c>
      <c r="NB2">
        <v>0.30576510000000001</v>
      </c>
      <c r="NC2">
        <v>68233</v>
      </c>
      <c r="ND2">
        <v>0.41049049999999998</v>
      </c>
      <c r="NE2">
        <v>28009</v>
      </c>
      <c r="NF2">
        <v>0.15841340000000001</v>
      </c>
      <c r="NG2">
        <v>28009</v>
      </c>
      <c r="NH2">
        <v>9.9218100000000004E-2</v>
      </c>
      <c r="NI2">
        <v>28009</v>
      </c>
      <c r="NJ2">
        <v>0.74236849999999999</v>
      </c>
      <c r="NK2">
        <v>68233</v>
      </c>
      <c r="NL2">
        <v>0.58950950000000002</v>
      </c>
      <c r="NM2">
        <v>223155</v>
      </c>
      <c r="NN2">
        <v>0.69423500000000005</v>
      </c>
      <c r="NO2">
        <v>154922</v>
      </c>
      <c r="NP2">
        <v>0.47474860000000002</v>
      </c>
      <c r="NQ2">
        <v>73549</v>
      </c>
      <c r="NR2">
        <v>0.1337748</v>
      </c>
      <c r="NS2">
        <v>73549</v>
      </c>
      <c r="NT2">
        <v>0.1351888</v>
      </c>
      <c r="NU2">
        <v>73549</v>
      </c>
      <c r="NV2">
        <v>0.73103640000000003</v>
      </c>
      <c r="NW2">
        <v>154922</v>
      </c>
      <c r="NX2">
        <v>0.52525140000000003</v>
      </c>
    </row>
    <row r="3" spans="1:388" x14ac:dyDescent="0.25">
      <c r="A3" t="s">
        <v>135</v>
      </c>
      <c r="B3">
        <v>2008</v>
      </c>
      <c r="C3">
        <v>1</v>
      </c>
      <c r="D3" t="s">
        <v>536</v>
      </c>
      <c r="E3">
        <v>52131</v>
      </c>
      <c r="F3">
        <v>0.40975620000000001</v>
      </c>
      <c r="G3">
        <v>21361</v>
      </c>
      <c r="H3">
        <v>0.1072047</v>
      </c>
      <c r="I3">
        <v>21361</v>
      </c>
      <c r="J3">
        <v>3.9511299999999999E-2</v>
      </c>
      <c r="K3">
        <v>21361</v>
      </c>
      <c r="L3">
        <v>0.1486354</v>
      </c>
      <c r="M3">
        <v>21361</v>
      </c>
      <c r="N3">
        <v>7.4856000000000006E-2</v>
      </c>
      <c r="O3">
        <v>21361</v>
      </c>
      <c r="P3">
        <v>1.6338200000000001E-2</v>
      </c>
      <c r="Q3">
        <v>21361</v>
      </c>
      <c r="R3">
        <v>1.6899999999999998E-2</v>
      </c>
      <c r="S3">
        <v>21361</v>
      </c>
      <c r="T3">
        <v>9.5454300000000006E-2</v>
      </c>
      <c r="U3">
        <v>21361</v>
      </c>
      <c r="V3">
        <v>0.1240579</v>
      </c>
      <c r="W3">
        <v>21361</v>
      </c>
      <c r="X3">
        <v>0.1057535</v>
      </c>
      <c r="Y3">
        <v>21361</v>
      </c>
      <c r="Z3">
        <v>0.102336</v>
      </c>
      <c r="AA3">
        <v>21361</v>
      </c>
      <c r="AB3">
        <v>0.1009316</v>
      </c>
      <c r="AC3">
        <v>21361</v>
      </c>
      <c r="AD3">
        <v>4.1056099999999998E-2</v>
      </c>
      <c r="AE3">
        <v>21361</v>
      </c>
      <c r="AF3">
        <v>2.6964999999999999E-2</v>
      </c>
      <c r="AG3">
        <v>52131</v>
      </c>
      <c r="AH3">
        <v>0.59024379999999999</v>
      </c>
      <c r="AI3">
        <v>30770</v>
      </c>
      <c r="AJ3">
        <v>8.3945400000000003E-2</v>
      </c>
      <c r="AK3">
        <v>30770</v>
      </c>
      <c r="AL3">
        <v>3.4448999999999999E-3</v>
      </c>
      <c r="AM3">
        <v>30770</v>
      </c>
      <c r="AN3">
        <v>0.10763730000000001</v>
      </c>
      <c r="AO3">
        <v>30770</v>
      </c>
      <c r="AP3">
        <v>4.9821299999999999E-2</v>
      </c>
      <c r="AQ3">
        <v>30770</v>
      </c>
      <c r="AR3">
        <v>8.7747999999999993E-3</v>
      </c>
      <c r="AS3">
        <v>30770</v>
      </c>
      <c r="AT3">
        <v>1.7614600000000001E-2</v>
      </c>
      <c r="AU3">
        <v>30770</v>
      </c>
      <c r="AV3">
        <v>0.1286968</v>
      </c>
      <c r="AW3">
        <v>30770</v>
      </c>
      <c r="AX3">
        <v>0.17240820000000001</v>
      </c>
      <c r="AY3">
        <v>30770</v>
      </c>
      <c r="AZ3">
        <v>0.1105947</v>
      </c>
      <c r="BA3">
        <v>30770</v>
      </c>
      <c r="BB3">
        <v>8.5505399999999995E-2</v>
      </c>
      <c r="BC3">
        <v>30770</v>
      </c>
      <c r="BD3">
        <v>0.1023399</v>
      </c>
      <c r="BE3">
        <v>30770</v>
      </c>
      <c r="BF3">
        <v>4.7448799999999999E-2</v>
      </c>
      <c r="BG3">
        <v>30770</v>
      </c>
      <c r="BH3">
        <v>8.1767999999999993E-2</v>
      </c>
      <c r="BI3">
        <v>865090</v>
      </c>
      <c r="BJ3">
        <v>0.50465499999999996</v>
      </c>
      <c r="BK3">
        <v>436572</v>
      </c>
      <c r="BL3">
        <v>6.5817299999999995E-2</v>
      </c>
      <c r="BM3">
        <v>436572</v>
      </c>
      <c r="BN3">
        <v>1.01037E-2</v>
      </c>
      <c r="BO3">
        <v>436572</v>
      </c>
      <c r="BP3">
        <v>8.1995600000000002E-2</v>
      </c>
      <c r="BQ3">
        <v>436572</v>
      </c>
      <c r="BR3">
        <v>4.55022E-2</v>
      </c>
      <c r="BS3">
        <v>436572</v>
      </c>
      <c r="BT3">
        <v>1.32464E-2</v>
      </c>
      <c r="BU3">
        <v>436572</v>
      </c>
      <c r="BV3">
        <v>3.31194E-2</v>
      </c>
      <c r="BW3">
        <v>436572</v>
      </c>
      <c r="BX3">
        <v>9.3796699999999997E-2</v>
      </c>
      <c r="BY3">
        <v>436572</v>
      </c>
      <c r="BZ3">
        <v>0.12110029999999999</v>
      </c>
      <c r="CA3">
        <v>436572</v>
      </c>
      <c r="CB3">
        <v>0.15453120000000001</v>
      </c>
      <c r="CC3">
        <v>436572</v>
      </c>
      <c r="CD3">
        <v>0.16861590000000001</v>
      </c>
      <c r="CE3">
        <v>436572</v>
      </c>
      <c r="CF3">
        <v>0.12001000000000001</v>
      </c>
      <c r="CG3">
        <v>436572</v>
      </c>
      <c r="CH3">
        <v>5.8606600000000002E-2</v>
      </c>
      <c r="CI3">
        <v>436572</v>
      </c>
      <c r="CJ3">
        <v>3.3554599999999997E-2</v>
      </c>
      <c r="CK3">
        <v>865090</v>
      </c>
      <c r="CL3">
        <v>0.49534499999999998</v>
      </c>
      <c r="CM3">
        <v>428518</v>
      </c>
      <c r="CN3">
        <v>6.1080299999999997E-2</v>
      </c>
      <c r="CO3">
        <v>428518</v>
      </c>
      <c r="CP3">
        <v>1.45945E-2</v>
      </c>
      <c r="CQ3">
        <v>428518</v>
      </c>
      <c r="CR3">
        <v>7.5861499999999998E-2</v>
      </c>
      <c r="CS3">
        <v>428518</v>
      </c>
      <c r="CT3">
        <v>4.5307300000000002E-2</v>
      </c>
      <c r="CU3">
        <v>428518</v>
      </c>
      <c r="CV3">
        <v>1.4942199999999999E-2</v>
      </c>
      <c r="CW3">
        <v>428518</v>
      </c>
      <c r="CX3">
        <v>2.9534299999999999E-2</v>
      </c>
      <c r="CY3">
        <v>428518</v>
      </c>
      <c r="CZ3">
        <v>7.9116900000000004E-2</v>
      </c>
      <c r="DA3">
        <v>428518</v>
      </c>
      <c r="DB3">
        <v>0.1098484</v>
      </c>
      <c r="DC3">
        <v>428518</v>
      </c>
      <c r="DD3">
        <v>0.15146850000000001</v>
      </c>
      <c r="DE3">
        <v>428518</v>
      </c>
      <c r="DF3">
        <v>0.1775678</v>
      </c>
      <c r="DG3">
        <v>428518</v>
      </c>
      <c r="DH3">
        <v>0.1239294</v>
      </c>
      <c r="DI3">
        <v>428518</v>
      </c>
      <c r="DJ3">
        <v>6.3719600000000001E-2</v>
      </c>
      <c r="DK3">
        <v>428518</v>
      </c>
      <c r="DL3">
        <v>5.3029300000000001E-2</v>
      </c>
      <c r="DM3">
        <v>606947</v>
      </c>
      <c r="DN3">
        <v>4.80569E-2</v>
      </c>
      <c r="DO3">
        <v>29168</v>
      </c>
      <c r="DP3">
        <v>0.36697750000000001</v>
      </c>
      <c r="DQ3">
        <v>10704</v>
      </c>
      <c r="DR3">
        <v>0.2251495</v>
      </c>
      <c r="DS3">
        <v>10704</v>
      </c>
      <c r="DT3">
        <v>0.18740660000000001</v>
      </c>
      <c r="DU3">
        <v>10704</v>
      </c>
      <c r="DV3">
        <v>0.22804559999999999</v>
      </c>
      <c r="DW3">
        <v>10704</v>
      </c>
      <c r="DX3">
        <v>0.35939840000000001</v>
      </c>
      <c r="DY3">
        <v>29168</v>
      </c>
      <c r="DZ3">
        <v>0.63302250000000004</v>
      </c>
      <c r="EA3">
        <v>18464</v>
      </c>
      <c r="EB3">
        <v>0.23759749999999999</v>
      </c>
      <c r="EC3">
        <v>18464</v>
      </c>
      <c r="ED3">
        <v>0.29966419999999999</v>
      </c>
      <c r="EE3">
        <v>18464</v>
      </c>
      <c r="EF3">
        <v>0.22725300000000001</v>
      </c>
      <c r="EG3">
        <v>18464</v>
      </c>
      <c r="EH3">
        <v>0.23548530000000001</v>
      </c>
      <c r="EI3">
        <v>606947</v>
      </c>
      <c r="EJ3">
        <v>0.95194310000000004</v>
      </c>
      <c r="EK3">
        <v>577779</v>
      </c>
      <c r="EL3">
        <v>0.4959924</v>
      </c>
      <c r="EM3">
        <v>286574</v>
      </c>
      <c r="EN3">
        <v>7.2103500000000001E-2</v>
      </c>
      <c r="EO3">
        <v>286574</v>
      </c>
      <c r="EP3">
        <v>0.18052579999999999</v>
      </c>
      <c r="EQ3">
        <v>286574</v>
      </c>
      <c r="ER3">
        <v>0.26698509999999998</v>
      </c>
      <c r="ES3">
        <v>286574</v>
      </c>
      <c r="ET3">
        <v>0.48038550000000002</v>
      </c>
      <c r="EU3">
        <v>577779</v>
      </c>
      <c r="EV3">
        <v>0.5040076</v>
      </c>
      <c r="EW3">
        <v>291205</v>
      </c>
      <c r="EX3">
        <v>6.83951E-2</v>
      </c>
      <c r="EY3">
        <v>291205</v>
      </c>
      <c r="EZ3">
        <v>0.20596139999999999</v>
      </c>
      <c r="FA3">
        <v>291205</v>
      </c>
      <c r="FB3">
        <v>0.2819835</v>
      </c>
      <c r="FC3">
        <v>291205</v>
      </c>
      <c r="FD3">
        <v>0.44366</v>
      </c>
      <c r="FE3">
        <v>715816</v>
      </c>
      <c r="FF3">
        <v>5.0389999999999997E-2</v>
      </c>
      <c r="FG3">
        <v>36070</v>
      </c>
      <c r="FH3">
        <v>0.36329359999999999</v>
      </c>
      <c r="FI3">
        <v>13104</v>
      </c>
      <c r="FJ3">
        <v>0.18108969999999999</v>
      </c>
      <c r="FK3">
        <v>13104</v>
      </c>
      <c r="FL3">
        <v>0.42712149999999999</v>
      </c>
      <c r="FM3">
        <v>13104</v>
      </c>
      <c r="FN3">
        <v>0.39178879999999999</v>
      </c>
      <c r="FO3">
        <v>13104</v>
      </c>
      <c r="FP3">
        <v>0.62248170000000003</v>
      </c>
      <c r="FQ3">
        <v>13104</v>
      </c>
      <c r="FR3">
        <v>0.37751829999999997</v>
      </c>
      <c r="FS3">
        <v>8157</v>
      </c>
      <c r="FT3">
        <v>0.68775280000000005</v>
      </c>
      <c r="FU3">
        <v>8157</v>
      </c>
      <c r="FV3">
        <v>0.3122472</v>
      </c>
      <c r="FW3">
        <v>36070</v>
      </c>
      <c r="FX3">
        <v>0.63670640000000001</v>
      </c>
      <c r="FY3">
        <v>22966</v>
      </c>
      <c r="FZ3">
        <v>7.7418799999999996E-2</v>
      </c>
      <c r="GA3">
        <v>22966</v>
      </c>
      <c r="GB3">
        <v>0.3988505</v>
      </c>
      <c r="GC3">
        <v>22966</v>
      </c>
      <c r="GD3">
        <v>0.52373080000000005</v>
      </c>
      <c r="GE3">
        <v>22966</v>
      </c>
      <c r="GF3">
        <v>0.42985279999999998</v>
      </c>
      <c r="GG3">
        <v>22966</v>
      </c>
      <c r="GH3">
        <v>0.57014719999999997</v>
      </c>
      <c r="GI3">
        <v>9872</v>
      </c>
      <c r="GJ3">
        <v>0.84299029999999997</v>
      </c>
      <c r="GK3">
        <v>9872</v>
      </c>
      <c r="GL3">
        <v>0.1570097</v>
      </c>
      <c r="GM3">
        <v>715816</v>
      </c>
      <c r="GN3">
        <v>0.94960990000000001</v>
      </c>
      <c r="GO3">
        <v>679746</v>
      </c>
      <c r="GP3">
        <v>0.50310259999999996</v>
      </c>
      <c r="GQ3">
        <v>341982</v>
      </c>
      <c r="GR3">
        <v>0.61929290000000004</v>
      </c>
      <c r="GS3">
        <v>341982</v>
      </c>
      <c r="GT3">
        <v>0.23672589999999999</v>
      </c>
      <c r="GU3">
        <v>341982</v>
      </c>
      <c r="GV3">
        <v>0.14398130000000001</v>
      </c>
      <c r="GW3">
        <v>341598</v>
      </c>
      <c r="GX3">
        <v>0.82582160000000004</v>
      </c>
      <c r="GY3">
        <v>341598</v>
      </c>
      <c r="GZ3">
        <v>0.17417840000000001</v>
      </c>
      <c r="HA3">
        <v>282099</v>
      </c>
      <c r="HB3">
        <v>0.94842590000000004</v>
      </c>
      <c r="HC3">
        <v>282099</v>
      </c>
      <c r="HD3">
        <v>5.1574099999999998E-2</v>
      </c>
      <c r="HE3">
        <v>679746</v>
      </c>
      <c r="HF3">
        <v>0.49689739999999999</v>
      </c>
      <c r="HG3">
        <v>337764</v>
      </c>
      <c r="HH3">
        <v>0.41053220000000001</v>
      </c>
      <c r="HI3">
        <v>337764</v>
      </c>
      <c r="HJ3">
        <v>0.30003790000000002</v>
      </c>
      <c r="HK3">
        <v>337764</v>
      </c>
      <c r="HL3">
        <v>0.28942990000000002</v>
      </c>
      <c r="HM3">
        <v>337764</v>
      </c>
      <c r="HN3">
        <v>0.67417780000000005</v>
      </c>
      <c r="HO3">
        <v>337764</v>
      </c>
      <c r="HP3">
        <v>0.32582220000000001</v>
      </c>
      <c r="HQ3">
        <v>227713</v>
      </c>
      <c r="HR3">
        <v>0.95352040000000005</v>
      </c>
      <c r="HS3">
        <v>227713</v>
      </c>
      <c r="HT3">
        <v>4.6479600000000003E-2</v>
      </c>
      <c r="HU3">
        <v>239431</v>
      </c>
      <c r="HV3">
        <v>5.6500599999999998E-2</v>
      </c>
      <c r="HW3">
        <v>13528</v>
      </c>
      <c r="HX3">
        <v>0.44529859999999999</v>
      </c>
      <c r="HY3">
        <v>6024</v>
      </c>
      <c r="HZ3">
        <v>0.64724429999999999</v>
      </c>
      <c r="IA3">
        <v>6024</v>
      </c>
      <c r="IB3">
        <v>0.64724429999999999</v>
      </c>
      <c r="IC3">
        <v>6024</v>
      </c>
      <c r="ID3">
        <v>0.64724429999999999</v>
      </c>
      <c r="IE3">
        <v>6024</v>
      </c>
      <c r="IF3">
        <v>0.64724429999999999</v>
      </c>
      <c r="IG3">
        <v>6024</v>
      </c>
      <c r="IH3">
        <v>0.3527556</v>
      </c>
      <c r="II3">
        <v>13528</v>
      </c>
      <c r="IJ3">
        <v>0.55470140000000001</v>
      </c>
      <c r="IK3">
        <v>7504</v>
      </c>
      <c r="IL3">
        <v>0.26052769999999997</v>
      </c>
      <c r="IM3">
        <v>1955</v>
      </c>
      <c r="IN3">
        <v>0.88491050000000004</v>
      </c>
      <c r="IO3">
        <v>1730</v>
      </c>
      <c r="IP3">
        <v>0.3578035</v>
      </c>
      <c r="IQ3">
        <v>1730</v>
      </c>
      <c r="IR3">
        <v>0.27687859999999997</v>
      </c>
      <c r="IS3">
        <v>1730</v>
      </c>
      <c r="IT3">
        <v>0.36531789999999997</v>
      </c>
      <c r="IU3">
        <v>1955</v>
      </c>
      <c r="IV3">
        <v>0.1150895</v>
      </c>
      <c r="IW3">
        <v>7504</v>
      </c>
      <c r="IX3">
        <v>0.73947229999999997</v>
      </c>
      <c r="IY3">
        <v>5549</v>
      </c>
      <c r="IZ3">
        <v>0.86772389999999999</v>
      </c>
      <c r="JA3">
        <v>4815</v>
      </c>
      <c r="JB3">
        <v>0.1052959</v>
      </c>
      <c r="JC3">
        <v>4815</v>
      </c>
      <c r="JD3">
        <v>0.22139149999999999</v>
      </c>
      <c r="JE3">
        <v>4815</v>
      </c>
      <c r="JF3">
        <v>0.67331249999999998</v>
      </c>
      <c r="JG3">
        <v>5549</v>
      </c>
      <c r="JH3">
        <v>0.13227610000000001</v>
      </c>
      <c r="JI3">
        <v>239431</v>
      </c>
      <c r="JJ3">
        <v>1.6614400000000001E-2</v>
      </c>
      <c r="JK3">
        <v>3978</v>
      </c>
      <c r="JL3">
        <v>0.58572150000000001</v>
      </c>
      <c r="JM3">
        <v>2330</v>
      </c>
      <c r="JN3">
        <v>0.57510729999999999</v>
      </c>
      <c r="JO3">
        <v>2330</v>
      </c>
      <c r="JP3">
        <v>0.57510729999999999</v>
      </c>
      <c r="JQ3">
        <v>2330</v>
      </c>
      <c r="JR3">
        <v>0.57510729999999999</v>
      </c>
      <c r="JS3">
        <v>2330</v>
      </c>
      <c r="JT3">
        <v>0.57510729999999999</v>
      </c>
      <c r="JU3">
        <v>2330</v>
      </c>
      <c r="JV3">
        <v>0.42489270000000001</v>
      </c>
      <c r="JW3">
        <v>3978</v>
      </c>
      <c r="JX3">
        <v>0.41427849999999999</v>
      </c>
      <c r="JY3">
        <v>1648</v>
      </c>
      <c r="JZ3">
        <v>0.47754849999999999</v>
      </c>
      <c r="KA3">
        <v>787</v>
      </c>
      <c r="KB3">
        <v>0.87166449999999995</v>
      </c>
      <c r="KC3">
        <v>686</v>
      </c>
      <c r="KD3">
        <v>0.51457730000000002</v>
      </c>
      <c r="KE3">
        <v>686</v>
      </c>
      <c r="KF3">
        <v>7.1428599999999995E-2</v>
      </c>
      <c r="KG3">
        <v>686</v>
      </c>
      <c r="KH3">
        <v>0.41399419999999998</v>
      </c>
      <c r="KI3">
        <v>787</v>
      </c>
      <c r="KJ3">
        <v>0.12833539999999999</v>
      </c>
      <c r="KK3">
        <v>1648</v>
      </c>
      <c r="KL3">
        <v>0.52245149999999996</v>
      </c>
      <c r="KM3">
        <v>861</v>
      </c>
      <c r="KN3">
        <v>0.81765390000000004</v>
      </c>
      <c r="KO3">
        <v>704</v>
      </c>
      <c r="KP3">
        <v>0</v>
      </c>
      <c r="KQ3">
        <v>704</v>
      </c>
      <c r="KR3">
        <v>0.41477269999999999</v>
      </c>
      <c r="KS3">
        <v>704</v>
      </c>
      <c r="KT3">
        <v>0.58522730000000001</v>
      </c>
      <c r="KU3">
        <v>861</v>
      </c>
      <c r="KV3">
        <v>0.18234610000000001</v>
      </c>
      <c r="KW3">
        <v>239431</v>
      </c>
      <c r="KX3">
        <v>3.2268199999999997E-2</v>
      </c>
      <c r="KY3">
        <v>7726</v>
      </c>
      <c r="KZ3">
        <v>0.58697900000000003</v>
      </c>
      <c r="LA3">
        <v>4535</v>
      </c>
      <c r="LB3">
        <v>0.61543550000000002</v>
      </c>
      <c r="LC3">
        <v>4535</v>
      </c>
      <c r="LD3">
        <v>0.61543550000000002</v>
      </c>
      <c r="LE3">
        <v>4535</v>
      </c>
      <c r="LF3">
        <v>0.61543550000000002</v>
      </c>
      <c r="LG3">
        <v>4535</v>
      </c>
      <c r="LH3">
        <v>0.61543550000000002</v>
      </c>
      <c r="LI3">
        <v>4535</v>
      </c>
      <c r="LJ3">
        <v>0.38456449999999998</v>
      </c>
      <c r="LK3">
        <v>7726</v>
      </c>
      <c r="LL3">
        <v>0.41302100000000003</v>
      </c>
      <c r="LM3">
        <v>3191</v>
      </c>
      <c r="LN3">
        <v>0.34973359999999998</v>
      </c>
      <c r="LO3">
        <v>1116</v>
      </c>
      <c r="LP3">
        <v>0.59498209999999996</v>
      </c>
      <c r="LQ3">
        <v>664</v>
      </c>
      <c r="LR3">
        <v>0.375</v>
      </c>
      <c r="LS3">
        <v>664</v>
      </c>
      <c r="LT3">
        <v>0.20933740000000001</v>
      </c>
      <c r="LU3">
        <v>664</v>
      </c>
      <c r="LV3">
        <v>0.41566259999999999</v>
      </c>
      <c r="LW3">
        <v>1116</v>
      </c>
      <c r="LX3">
        <v>0.40501789999999999</v>
      </c>
      <c r="LY3">
        <v>3191</v>
      </c>
      <c r="LZ3">
        <v>0.65026629999999996</v>
      </c>
      <c r="MA3">
        <v>2075</v>
      </c>
      <c r="MB3">
        <v>0.93638560000000004</v>
      </c>
      <c r="MC3">
        <v>1943</v>
      </c>
      <c r="MD3">
        <v>0.14410700000000001</v>
      </c>
      <c r="ME3">
        <v>1943</v>
      </c>
      <c r="MF3">
        <v>0.1152856</v>
      </c>
      <c r="MG3">
        <v>1943</v>
      </c>
      <c r="MH3">
        <v>0.74060729999999997</v>
      </c>
      <c r="MI3">
        <v>2075</v>
      </c>
      <c r="MJ3">
        <v>6.3614500000000004E-2</v>
      </c>
      <c r="MK3">
        <v>239431</v>
      </c>
      <c r="ML3">
        <v>0.89461679999999999</v>
      </c>
      <c r="MM3">
        <v>214199</v>
      </c>
      <c r="MN3">
        <v>0.84534940000000003</v>
      </c>
      <c r="MO3">
        <v>181073</v>
      </c>
      <c r="MP3">
        <v>0.4917299</v>
      </c>
      <c r="MQ3">
        <v>181073</v>
      </c>
      <c r="MR3">
        <v>0.4917299</v>
      </c>
      <c r="MS3">
        <v>181073</v>
      </c>
      <c r="MT3">
        <v>0.4917299</v>
      </c>
      <c r="MU3">
        <v>181073</v>
      </c>
      <c r="MV3">
        <v>0.4917299</v>
      </c>
      <c r="MW3">
        <v>181073</v>
      </c>
      <c r="MX3">
        <v>0.50827009999999995</v>
      </c>
      <c r="MY3">
        <v>214199</v>
      </c>
      <c r="MZ3">
        <v>0.1546506</v>
      </c>
      <c r="NA3">
        <v>33126</v>
      </c>
      <c r="NB3">
        <v>0.31096420000000002</v>
      </c>
      <c r="NC3">
        <v>10301</v>
      </c>
      <c r="ND3">
        <v>0.39937869999999998</v>
      </c>
      <c r="NE3">
        <v>4114</v>
      </c>
      <c r="NF3">
        <v>0.27248420000000001</v>
      </c>
      <c r="NG3">
        <v>4114</v>
      </c>
      <c r="NH3">
        <v>5.2017500000000001E-2</v>
      </c>
      <c r="NI3">
        <v>4114</v>
      </c>
      <c r="NJ3">
        <v>0.6754983</v>
      </c>
      <c r="NK3">
        <v>10301</v>
      </c>
      <c r="NL3">
        <v>0.60062130000000002</v>
      </c>
      <c r="NM3">
        <v>33126</v>
      </c>
      <c r="NN3">
        <v>0.68903579999999998</v>
      </c>
      <c r="NO3">
        <v>22825</v>
      </c>
      <c r="NP3">
        <v>0.53997810000000002</v>
      </c>
      <c r="NQ3">
        <v>12325</v>
      </c>
      <c r="NR3">
        <v>0.1024746</v>
      </c>
      <c r="NS3">
        <v>12325</v>
      </c>
      <c r="NT3">
        <v>3.4807299999999999E-2</v>
      </c>
      <c r="NU3">
        <v>12325</v>
      </c>
      <c r="NV3">
        <v>0.86271799999999998</v>
      </c>
      <c r="NW3">
        <v>22825</v>
      </c>
      <c r="NX3">
        <v>0.46002189999999998</v>
      </c>
    </row>
    <row r="4" spans="1:388" x14ac:dyDescent="0.25">
      <c r="A4" t="s">
        <v>134</v>
      </c>
      <c r="B4">
        <v>2008</v>
      </c>
      <c r="C4">
        <v>1</v>
      </c>
      <c r="D4" t="s">
        <v>537</v>
      </c>
      <c r="E4">
        <v>47297</v>
      </c>
      <c r="F4">
        <v>0.45873950000000002</v>
      </c>
      <c r="G4">
        <v>21697</v>
      </c>
      <c r="H4">
        <v>0.1902567</v>
      </c>
      <c r="I4">
        <v>21697</v>
      </c>
      <c r="J4">
        <v>3.2953900000000001E-2</v>
      </c>
      <c r="K4">
        <v>21697</v>
      </c>
      <c r="L4">
        <v>0.13725399999999999</v>
      </c>
      <c r="M4">
        <v>21697</v>
      </c>
      <c r="N4">
        <v>8.9182800000000007E-2</v>
      </c>
      <c r="O4">
        <v>21697</v>
      </c>
      <c r="P4">
        <v>1.33198E-2</v>
      </c>
      <c r="Q4">
        <v>21697</v>
      </c>
      <c r="R4">
        <v>3.6917499999999999E-2</v>
      </c>
      <c r="S4">
        <v>21697</v>
      </c>
      <c r="T4">
        <v>7.7706600000000001E-2</v>
      </c>
      <c r="U4">
        <v>21697</v>
      </c>
      <c r="V4">
        <v>0.17080699999999999</v>
      </c>
      <c r="W4">
        <v>21697</v>
      </c>
      <c r="X4">
        <v>0.10789509999999999</v>
      </c>
      <c r="Y4">
        <v>21697</v>
      </c>
      <c r="Z4">
        <v>4.5905000000000001E-2</v>
      </c>
      <c r="AA4">
        <v>21697</v>
      </c>
      <c r="AB4">
        <v>2.7469199999999999E-2</v>
      </c>
      <c r="AC4">
        <v>21697</v>
      </c>
      <c r="AD4">
        <v>3.9129799999999999E-2</v>
      </c>
      <c r="AE4">
        <v>21697</v>
      </c>
      <c r="AF4">
        <v>3.1202500000000001E-2</v>
      </c>
      <c r="AG4">
        <v>47297</v>
      </c>
      <c r="AH4">
        <v>0.54126050000000003</v>
      </c>
      <c r="AI4">
        <v>25600</v>
      </c>
      <c r="AJ4">
        <v>0.21445310000000001</v>
      </c>
      <c r="AK4">
        <v>25600</v>
      </c>
      <c r="AL4">
        <v>4.48828E-2</v>
      </c>
      <c r="AM4">
        <v>25600</v>
      </c>
      <c r="AN4">
        <v>9.6445299999999998E-2</v>
      </c>
      <c r="AO4">
        <v>25600</v>
      </c>
      <c r="AP4">
        <v>2.5898399999999999E-2</v>
      </c>
      <c r="AQ4">
        <v>25600</v>
      </c>
      <c r="AR4">
        <v>6.8358999999999998E-3</v>
      </c>
      <c r="AS4">
        <v>25600</v>
      </c>
      <c r="AT4">
        <v>1.8437499999999999E-2</v>
      </c>
      <c r="AU4">
        <v>25600</v>
      </c>
      <c r="AV4">
        <v>9.4921900000000003E-2</v>
      </c>
      <c r="AW4">
        <v>25600</v>
      </c>
      <c r="AX4">
        <v>0.2046094</v>
      </c>
      <c r="AY4">
        <v>25600</v>
      </c>
      <c r="AZ4">
        <v>7.8007800000000002E-2</v>
      </c>
      <c r="BA4">
        <v>25600</v>
      </c>
      <c r="BB4">
        <v>8.2070299999999999E-2</v>
      </c>
      <c r="BC4">
        <v>25600</v>
      </c>
      <c r="BD4">
        <v>5.9374999999999997E-2</v>
      </c>
      <c r="BE4">
        <v>25600</v>
      </c>
      <c r="BF4">
        <v>3.1992199999999998E-2</v>
      </c>
      <c r="BG4">
        <v>25600</v>
      </c>
      <c r="BH4">
        <v>4.2070299999999998E-2</v>
      </c>
      <c r="BI4">
        <v>450341</v>
      </c>
      <c r="BJ4">
        <v>0.51069739999999997</v>
      </c>
      <c r="BK4">
        <v>229988</v>
      </c>
      <c r="BL4">
        <v>7.5647400000000004E-2</v>
      </c>
      <c r="BM4">
        <v>229988</v>
      </c>
      <c r="BN4">
        <v>1.25007E-2</v>
      </c>
      <c r="BO4">
        <v>229988</v>
      </c>
      <c r="BP4">
        <v>9.3117900000000003E-2</v>
      </c>
      <c r="BQ4">
        <v>229988</v>
      </c>
      <c r="BR4">
        <v>5.2624499999999998E-2</v>
      </c>
      <c r="BS4">
        <v>229988</v>
      </c>
      <c r="BT4">
        <v>1.42399E-2</v>
      </c>
      <c r="BU4">
        <v>229988</v>
      </c>
      <c r="BV4">
        <v>3.4062599999999998E-2</v>
      </c>
      <c r="BW4">
        <v>229988</v>
      </c>
      <c r="BX4">
        <v>9.1469999999999996E-2</v>
      </c>
      <c r="BY4">
        <v>229988</v>
      </c>
      <c r="BZ4">
        <v>0.1523253</v>
      </c>
      <c r="CA4">
        <v>229988</v>
      </c>
      <c r="CB4">
        <v>0.1511209</v>
      </c>
      <c r="CC4">
        <v>229988</v>
      </c>
      <c r="CD4">
        <v>0.14667720000000001</v>
      </c>
      <c r="CE4">
        <v>229988</v>
      </c>
      <c r="CF4">
        <v>0.1027314</v>
      </c>
      <c r="CG4">
        <v>229988</v>
      </c>
      <c r="CH4">
        <v>4.6102400000000002E-2</v>
      </c>
      <c r="CI4">
        <v>229988</v>
      </c>
      <c r="CJ4">
        <v>2.73797E-2</v>
      </c>
      <c r="CK4">
        <v>450341</v>
      </c>
      <c r="CL4">
        <v>0.48930249999999997</v>
      </c>
      <c r="CM4">
        <v>220353</v>
      </c>
      <c r="CN4">
        <v>7.4149199999999998E-2</v>
      </c>
      <c r="CO4">
        <v>220353</v>
      </c>
      <c r="CP4">
        <v>1.6260299999999998E-2</v>
      </c>
      <c r="CQ4">
        <v>220353</v>
      </c>
      <c r="CR4">
        <v>9.51428E-2</v>
      </c>
      <c r="CS4">
        <v>220353</v>
      </c>
      <c r="CT4">
        <v>4.4619300000000001E-2</v>
      </c>
      <c r="CU4">
        <v>220353</v>
      </c>
      <c r="CV4">
        <v>1.45448E-2</v>
      </c>
      <c r="CW4">
        <v>220353</v>
      </c>
      <c r="CX4">
        <v>3.3582500000000001E-2</v>
      </c>
      <c r="CY4">
        <v>220353</v>
      </c>
      <c r="CZ4">
        <v>7.7557399999999999E-2</v>
      </c>
      <c r="DA4">
        <v>220353</v>
      </c>
      <c r="DB4">
        <v>0.14425489999999999</v>
      </c>
      <c r="DC4">
        <v>220353</v>
      </c>
      <c r="DD4">
        <v>0.15358079999999999</v>
      </c>
      <c r="DE4">
        <v>220353</v>
      </c>
      <c r="DF4">
        <v>0.14507629999999999</v>
      </c>
      <c r="DG4">
        <v>220353</v>
      </c>
      <c r="DH4">
        <v>0.10448689999999999</v>
      </c>
      <c r="DI4">
        <v>220353</v>
      </c>
      <c r="DJ4">
        <v>5.1235999999999997E-2</v>
      </c>
      <c r="DK4">
        <v>220353</v>
      </c>
      <c r="DL4">
        <v>4.5508800000000002E-2</v>
      </c>
      <c r="DM4">
        <v>307906</v>
      </c>
      <c r="DN4">
        <v>7.1180800000000002E-2</v>
      </c>
      <c r="DO4">
        <v>21917</v>
      </c>
      <c r="DP4">
        <v>0.4181685</v>
      </c>
      <c r="DQ4">
        <v>9165</v>
      </c>
      <c r="DR4">
        <v>0.55024550000000005</v>
      </c>
      <c r="DS4">
        <v>9165</v>
      </c>
      <c r="DT4">
        <v>0.16704859999999999</v>
      </c>
      <c r="DU4">
        <v>9165</v>
      </c>
      <c r="DV4">
        <v>0.19290779999999999</v>
      </c>
      <c r="DW4">
        <v>9165</v>
      </c>
      <c r="DX4">
        <v>8.9798100000000006E-2</v>
      </c>
      <c r="DY4">
        <v>21917</v>
      </c>
      <c r="DZ4">
        <v>0.58183149999999995</v>
      </c>
      <c r="EA4">
        <v>12752</v>
      </c>
      <c r="EB4">
        <v>0.43616690000000002</v>
      </c>
      <c r="EC4">
        <v>12752</v>
      </c>
      <c r="ED4">
        <v>0.29869820000000002</v>
      </c>
      <c r="EE4">
        <v>12752</v>
      </c>
      <c r="EF4">
        <v>0.22129860000000001</v>
      </c>
      <c r="EG4">
        <v>12752</v>
      </c>
      <c r="EH4">
        <v>4.3836300000000002E-2</v>
      </c>
      <c r="EI4">
        <v>307906</v>
      </c>
      <c r="EJ4">
        <v>0.92881919999999996</v>
      </c>
      <c r="EK4">
        <v>285989</v>
      </c>
      <c r="EL4">
        <v>0.50369070000000005</v>
      </c>
      <c r="EM4">
        <v>144050</v>
      </c>
      <c r="EN4">
        <v>0.15969459999999999</v>
      </c>
      <c r="EO4">
        <v>144050</v>
      </c>
      <c r="EP4">
        <v>0.24136060000000001</v>
      </c>
      <c r="EQ4">
        <v>144050</v>
      </c>
      <c r="ER4">
        <v>0.2572024</v>
      </c>
      <c r="ES4">
        <v>144050</v>
      </c>
      <c r="ET4">
        <v>0.3417425</v>
      </c>
      <c r="EU4">
        <v>285989</v>
      </c>
      <c r="EV4">
        <v>0.49630930000000001</v>
      </c>
      <c r="EW4">
        <v>141939</v>
      </c>
      <c r="EX4">
        <v>0.13239490000000001</v>
      </c>
      <c r="EY4">
        <v>141939</v>
      </c>
      <c r="EZ4">
        <v>0.2517913</v>
      </c>
      <c r="FA4">
        <v>141939</v>
      </c>
      <c r="FB4">
        <v>0.27521679999999998</v>
      </c>
      <c r="FC4">
        <v>141939</v>
      </c>
      <c r="FD4">
        <v>0.34059699999999998</v>
      </c>
      <c r="FE4">
        <v>366656</v>
      </c>
      <c r="FF4">
        <v>7.44731E-2</v>
      </c>
      <c r="FG4">
        <v>27306</v>
      </c>
      <c r="FH4">
        <v>0.42671940000000003</v>
      </c>
      <c r="FI4">
        <v>11652</v>
      </c>
      <c r="FJ4">
        <v>0.24939919999999999</v>
      </c>
      <c r="FK4">
        <v>11652</v>
      </c>
      <c r="FL4">
        <v>0.3323893</v>
      </c>
      <c r="FM4">
        <v>11652</v>
      </c>
      <c r="FN4">
        <v>0.41821150000000001</v>
      </c>
      <c r="FO4">
        <v>11585</v>
      </c>
      <c r="FP4">
        <v>0.55545960000000005</v>
      </c>
      <c r="FQ4">
        <v>11585</v>
      </c>
      <c r="FR4">
        <v>0.4445404</v>
      </c>
      <c r="FS4">
        <v>6435</v>
      </c>
      <c r="FT4">
        <v>0.90644910000000001</v>
      </c>
      <c r="FU4">
        <v>6435</v>
      </c>
      <c r="FV4">
        <v>9.3550900000000006E-2</v>
      </c>
      <c r="FW4">
        <v>27306</v>
      </c>
      <c r="FX4">
        <v>0.57328060000000003</v>
      </c>
      <c r="FY4">
        <v>15654</v>
      </c>
      <c r="FZ4">
        <v>6.1581700000000003E-2</v>
      </c>
      <c r="GA4">
        <v>15654</v>
      </c>
      <c r="GB4">
        <v>0.3215153</v>
      </c>
      <c r="GC4">
        <v>15654</v>
      </c>
      <c r="GD4">
        <v>0.61690299999999998</v>
      </c>
      <c r="GE4">
        <v>15654</v>
      </c>
      <c r="GF4">
        <v>0.35473359999999998</v>
      </c>
      <c r="GG4">
        <v>15654</v>
      </c>
      <c r="GH4">
        <v>0.64526640000000002</v>
      </c>
      <c r="GI4">
        <v>5553</v>
      </c>
      <c r="GJ4">
        <v>0.72015119999999999</v>
      </c>
      <c r="GK4">
        <v>5553</v>
      </c>
      <c r="GL4">
        <v>0.27984870000000001</v>
      </c>
      <c r="GM4">
        <v>366656</v>
      </c>
      <c r="GN4">
        <v>0.92552690000000004</v>
      </c>
      <c r="GO4">
        <v>339350</v>
      </c>
      <c r="GP4">
        <v>0.50956539999999995</v>
      </c>
      <c r="GQ4">
        <v>172921</v>
      </c>
      <c r="GR4">
        <v>0.60899479999999995</v>
      </c>
      <c r="GS4">
        <v>172921</v>
      </c>
      <c r="GT4">
        <v>0.23384669999999999</v>
      </c>
      <c r="GU4">
        <v>172921</v>
      </c>
      <c r="GV4">
        <v>0.15715850000000001</v>
      </c>
      <c r="GW4">
        <v>172793</v>
      </c>
      <c r="GX4">
        <v>0.81764890000000001</v>
      </c>
      <c r="GY4">
        <v>172793</v>
      </c>
      <c r="GZ4">
        <v>0.18235109999999999</v>
      </c>
      <c r="HA4">
        <v>141284</v>
      </c>
      <c r="HB4">
        <v>0.95093570000000005</v>
      </c>
      <c r="HC4">
        <v>141284</v>
      </c>
      <c r="HD4">
        <v>4.9064299999999998E-2</v>
      </c>
      <c r="HE4">
        <v>339350</v>
      </c>
      <c r="HF4">
        <v>0.4904346</v>
      </c>
      <c r="HG4">
        <v>166429</v>
      </c>
      <c r="HH4">
        <v>0.40586080000000002</v>
      </c>
      <c r="HI4">
        <v>166429</v>
      </c>
      <c r="HJ4">
        <v>0.30232110000000001</v>
      </c>
      <c r="HK4">
        <v>166429</v>
      </c>
      <c r="HL4">
        <v>0.29181810000000002</v>
      </c>
      <c r="HM4">
        <v>166393</v>
      </c>
      <c r="HN4">
        <v>0.68228230000000001</v>
      </c>
      <c r="HO4">
        <v>166393</v>
      </c>
      <c r="HP4">
        <v>0.31771769999999999</v>
      </c>
      <c r="HQ4">
        <v>113527</v>
      </c>
      <c r="HR4">
        <v>0.95151810000000003</v>
      </c>
      <c r="HS4">
        <v>113527</v>
      </c>
      <c r="HT4">
        <v>4.8481900000000001E-2</v>
      </c>
      <c r="HU4">
        <v>121262</v>
      </c>
      <c r="HV4">
        <v>0.1222477</v>
      </c>
      <c r="HW4">
        <v>14824</v>
      </c>
      <c r="HX4">
        <v>0.46856449999999999</v>
      </c>
      <c r="HY4">
        <v>6946</v>
      </c>
      <c r="HZ4">
        <v>0.808091</v>
      </c>
      <c r="IA4">
        <v>6946</v>
      </c>
      <c r="IB4">
        <v>0.808091</v>
      </c>
      <c r="IC4">
        <v>6946</v>
      </c>
      <c r="ID4">
        <v>0.808091</v>
      </c>
      <c r="IE4">
        <v>6946</v>
      </c>
      <c r="IF4">
        <v>0.808091</v>
      </c>
      <c r="IG4">
        <v>6946</v>
      </c>
      <c r="IH4">
        <v>0.191909</v>
      </c>
      <c r="II4">
        <v>14824</v>
      </c>
      <c r="IJ4">
        <v>0.53143549999999995</v>
      </c>
      <c r="IK4">
        <v>7878</v>
      </c>
      <c r="IL4">
        <v>0.20715919999999999</v>
      </c>
      <c r="IM4">
        <v>1632</v>
      </c>
      <c r="IN4">
        <v>0.85355400000000003</v>
      </c>
      <c r="IO4">
        <v>1393</v>
      </c>
      <c r="IP4">
        <v>0.1083991</v>
      </c>
      <c r="IQ4">
        <v>1393</v>
      </c>
      <c r="IR4">
        <v>0.36970570000000003</v>
      </c>
      <c r="IS4">
        <v>1393</v>
      </c>
      <c r="IT4">
        <v>0.5218952</v>
      </c>
      <c r="IU4">
        <v>1632</v>
      </c>
      <c r="IV4">
        <v>0.1464461</v>
      </c>
      <c r="IW4">
        <v>7878</v>
      </c>
      <c r="IX4">
        <v>0.79284080000000001</v>
      </c>
      <c r="IY4">
        <v>6246</v>
      </c>
      <c r="IZ4">
        <v>0.93627919999999998</v>
      </c>
      <c r="JA4">
        <v>5848</v>
      </c>
      <c r="JB4">
        <v>0.2159713</v>
      </c>
      <c r="JC4">
        <v>5848</v>
      </c>
      <c r="JD4">
        <v>0.33909030000000001</v>
      </c>
      <c r="JE4">
        <v>5848</v>
      </c>
      <c r="JF4">
        <v>0.44493850000000001</v>
      </c>
      <c r="JG4">
        <v>6246</v>
      </c>
      <c r="JH4">
        <v>6.3720799999999994E-2</v>
      </c>
      <c r="JI4">
        <v>121262</v>
      </c>
      <c r="JJ4">
        <v>1.3343000000000001E-2</v>
      </c>
      <c r="JK4">
        <v>1618</v>
      </c>
      <c r="JL4">
        <v>0.66131030000000002</v>
      </c>
      <c r="JM4">
        <v>1070</v>
      </c>
      <c r="JN4">
        <v>0.82616820000000002</v>
      </c>
      <c r="JO4">
        <v>1070</v>
      </c>
      <c r="JP4">
        <v>0.82616820000000002</v>
      </c>
      <c r="JQ4">
        <v>1070</v>
      </c>
      <c r="JR4">
        <v>0.82616820000000002</v>
      </c>
      <c r="JS4">
        <v>1070</v>
      </c>
      <c r="JT4">
        <v>0.82616820000000002</v>
      </c>
      <c r="JU4">
        <v>1070</v>
      </c>
      <c r="JV4">
        <v>0.17383180000000001</v>
      </c>
      <c r="JW4">
        <v>1618</v>
      </c>
      <c r="JX4">
        <v>0.33868969999999998</v>
      </c>
      <c r="JY4">
        <v>548</v>
      </c>
      <c r="JZ4">
        <v>0.64233580000000001</v>
      </c>
      <c r="KA4">
        <v>352</v>
      </c>
      <c r="KB4">
        <v>1</v>
      </c>
      <c r="KC4">
        <v>352</v>
      </c>
      <c r="KD4">
        <v>0.84659090000000004</v>
      </c>
      <c r="KE4">
        <v>352</v>
      </c>
      <c r="KF4">
        <v>0</v>
      </c>
      <c r="KG4">
        <v>352</v>
      </c>
      <c r="KH4">
        <v>0.15340909999999999</v>
      </c>
      <c r="KI4">
        <v>352</v>
      </c>
      <c r="KJ4">
        <v>0</v>
      </c>
      <c r="KK4">
        <v>548</v>
      </c>
      <c r="KL4">
        <v>0.35766419999999999</v>
      </c>
      <c r="KM4">
        <v>196</v>
      </c>
      <c r="KN4">
        <v>0.78571429999999998</v>
      </c>
      <c r="KO4">
        <v>154</v>
      </c>
      <c r="KP4">
        <v>0.22727269999999999</v>
      </c>
      <c r="KQ4">
        <v>154</v>
      </c>
      <c r="KR4">
        <v>0</v>
      </c>
      <c r="KS4">
        <v>154</v>
      </c>
      <c r="KT4">
        <v>0.77272730000000001</v>
      </c>
      <c r="KU4">
        <v>196</v>
      </c>
      <c r="KV4">
        <v>0.2142857</v>
      </c>
      <c r="KW4">
        <v>121262</v>
      </c>
      <c r="KX4">
        <v>3.6969500000000002E-2</v>
      </c>
      <c r="KY4">
        <v>4483</v>
      </c>
      <c r="KZ4">
        <v>0.72696850000000002</v>
      </c>
      <c r="LA4">
        <v>3259</v>
      </c>
      <c r="LB4">
        <v>0.83154340000000004</v>
      </c>
      <c r="LC4">
        <v>3259</v>
      </c>
      <c r="LD4">
        <v>0.83154340000000004</v>
      </c>
      <c r="LE4">
        <v>3259</v>
      </c>
      <c r="LF4">
        <v>0.83154340000000004</v>
      </c>
      <c r="LG4">
        <v>3259</v>
      </c>
      <c r="LH4">
        <v>0.83154340000000004</v>
      </c>
      <c r="LI4">
        <v>3259</v>
      </c>
      <c r="LJ4">
        <v>0.16845660000000001</v>
      </c>
      <c r="LK4">
        <v>4483</v>
      </c>
      <c r="LL4">
        <v>0.27303139999999998</v>
      </c>
      <c r="LM4">
        <v>1224</v>
      </c>
      <c r="LN4">
        <v>0.15114379999999999</v>
      </c>
      <c r="LO4">
        <v>185</v>
      </c>
      <c r="LP4">
        <v>1</v>
      </c>
      <c r="LQ4">
        <v>185</v>
      </c>
      <c r="LR4">
        <v>0.55675669999999999</v>
      </c>
      <c r="LS4">
        <v>185</v>
      </c>
      <c r="LT4">
        <v>0.4432432</v>
      </c>
      <c r="LU4">
        <v>185</v>
      </c>
      <c r="LV4">
        <v>0</v>
      </c>
      <c r="LW4">
        <v>185</v>
      </c>
      <c r="LX4">
        <v>0</v>
      </c>
      <c r="LY4">
        <v>1224</v>
      </c>
      <c r="LZ4">
        <v>0.84885619999999995</v>
      </c>
      <c r="MA4">
        <v>1039</v>
      </c>
      <c r="MB4">
        <v>1</v>
      </c>
      <c r="MC4">
        <v>1039</v>
      </c>
      <c r="MD4">
        <v>0.1231954</v>
      </c>
      <c r="ME4">
        <v>1039</v>
      </c>
      <c r="MF4">
        <v>0.19922999999999999</v>
      </c>
      <c r="MG4">
        <v>1039</v>
      </c>
      <c r="MH4">
        <v>0.67757460000000003</v>
      </c>
      <c r="MI4">
        <v>1039</v>
      </c>
      <c r="MJ4">
        <v>0</v>
      </c>
      <c r="MK4">
        <v>121262</v>
      </c>
      <c r="ML4">
        <v>0.82743979999999995</v>
      </c>
      <c r="MM4">
        <v>100337</v>
      </c>
      <c r="MN4">
        <v>0.83478680000000005</v>
      </c>
      <c r="MO4">
        <v>83760</v>
      </c>
      <c r="MP4">
        <v>0.48228270000000001</v>
      </c>
      <c r="MQ4">
        <v>83760</v>
      </c>
      <c r="MR4">
        <v>0.48228270000000001</v>
      </c>
      <c r="MS4">
        <v>83760</v>
      </c>
      <c r="MT4">
        <v>0.48228270000000001</v>
      </c>
      <c r="MU4">
        <v>83760</v>
      </c>
      <c r="MV4">
        <v>0.48228270000000001</v>
      </c>
      <c r="MW4">
        <v>83760</v>
      </c>
      <c r="MX4">
        <v>0.51771730000000005</v>
      </c>
      <c r="MY4">
        <v>100337</v>
      </c>
      <c r="MZ4">
        <v>0.1652132</v>
      </c>
      <c r="NA4">
        <v>16577</v>
      </c>
      <c r="NB4">
        <v>0.3979007</v>
      </c>
      <c r="NC4">
        <v>6596</v>
      </c>
      <c r="ND4">
        <v>0.64296540000000002</v>
      </c>
      <c r="NE4">
        <v>4241</v>
      </c>
      <c r="NF4">
        <v>0.2230606</v>
      </c>
      <c r="NG4">
        <v>4241</v>
      </c>
      <c r="NH4">
        <v>9.3845799999999993E-2</v>
      </c>
      <c r="NI4">
        <v>4241</v>
      </c>
      <c r="NJ4">
        <v>0.68309359999999997</v>
      </c>
      <c r="NK4">
        <v>6596</v>
      </c>
      <c r="NL4">
        <v>0.35703459999999998</v>
      </c>
      <c r="NM4">
        <v>16577</v>
      </c>
      <c r="NN4">
        <v>0.6020993</v>
      </c>
      <c r="NO4">
        <v>9981</v>
      </c>
      <c r="NP4">
        <v>0.65083659999999999</v>
      </c>
      <c r="NQ4">
        <v>6496</v>
      </c>
      <c r="NR4">
        <v>0.13392860000000001</v>
      </c>
      <c r="NS4">
        <v>6496</v>
      </c>
      <c r="NT4">
        <v>1.12377E-2</v>
      </c>
      <c r="NU4">
        <v>6496</v>
      </c>
      <c r="NV4">
        <v>0.85483370000000003</v>
      </c>
      <c r="NW4">
        <v>9981</v>
      </c>
      <c r="NX4">
        <v>0.34916340000000001</v>
      </c>
    </row>
    <row r="5" spans="1:388" x14ac:dyDescent="0.25">
      <c r="A5" t="s">
        <v>133</v>
      </c>
      <c r="B5">
        <v>2008</v>
      </c>
      <c r="C5">
        <v>1</v>
      </c>
      <c r="D5" t="s">
        <v>538</v>
      </c>
      <c r="E5">
        <v>54088</v>
      </c>
      <c r="F5">
        <v>0.45006289999999999</v>
      </c>
      <c r="G5">
        <v>24343</v>
      </c>
      <c r="H5">
        <v>0.11604979999999999</v>
      </c>
      <c r="I5">
        <v>24343</v>
      </c>
      <c r="J5">
        <v>3.17956E-2</v>
      </c>
      <c r="K5">
        <v>24343</v>
      </c>
      <c r="L5">
        <v>0.1725342</v>
      </c>
      <c r="M5">
        <v>24343</v>
      </c>
      <c r="N5">
        <v>6.6056000000000004E-2</v>
      </c>
      <c r="O5">
        <v>24343</v>
      </c>
      <c r="P5">
        <v>3.1466899999999999E-2</v>
      </c>
      <c r="Q5">
        <v>24343</v>
      </c>
      <c r="R5">
        <v>3.24529E-2</v>
      </c>
      <c r="S5">
        <v>24343</v>
      </c>
      <c r="T5">
        <v>0.1186378</v>
      </c>
      <c r="U5">
        <v>24343</v>
      </c>
      <c r="V5">
        <v>0.15856709999999999</v>
      </c>
      <c r="W5">
        <v>24343</v>
      </c>
      <c r="X5">
        <v>0.1179805</v>
      </c>
      <c r="Y5">
        <v>24343</v>
      </c>
      <c r="Z5">
        <v>6.0551300000000002E-2</v>
      </c>
      <c r="AA5">
        <v>24343</v>
      </c>
      <c r="AB5">
        <v>3.9600700000000003E-2</v>
      </c>
      <c r="AC5">
        <v>24343</v>
      </c>
      <c r="AD5">
        <v>3.2001000000000002E-2</v>
      </c>
      <c r="AE5">
        <v>24343</v>
      </c>
      <c r="AF5">
        <v>2.2306200000000002E-2</v>
      </c>
      <c r="AG5">
        <v>54088</v>
      </c>
      <c r="AH5">
        <v>0.54993709999999996</v>
      </c>
      <c r="AI5">
        <v>29745</v>
      </c>
      <c r="AJ5">
        <v>0.13215669999999999</v>
      </c>
      <c r="AK5">
        <v>29745</v>
      </c>
      <c r="AL5">
        <v>3.7518900000000001E-2</v>
      </c>
      <c r="AM5">
        <v>29745</v>
      </c>
      <c r="AN5">
        <v>9.6049800000000005E-2</v>
      </c>
      <c r="AO5">
        <v>29745</v>
      </c>
      <c r="AP5">
        <v>6.2027199999999998E-2</v>
      </c>
      <c r="AQ5">
        <v>29745</v>
      </c>
      <c r="AR5">
        <v>1.70785E-2</v>
      </c>
      <c r="AS5">
        <v>29745</v>
      </c>
      <c r="AT5">
        <v>3.7115500000000003E-2</v>
      </c>
      <c r="AU5">
        <v>29745</v>
      </c>
      <c r="AV5">
        <v>7.9979800000000004E-2</v>
      </c>
      <c r="AW5">
        <v>29745</v>
      </c>
      <c r="AX5">
        <v>0.1673559</v>
      </c>
      <c r="AY5">
        <v>29745</v>
      </c>
      <c r="AZ5">
        <v>0.145369</v>
      </c>
      <c r="BA5">
        <v>29745</v>
      </c>
      <c r="BB5">
        <v>7.5844700000000001E-2</v>
      </c>
      <c r="BC5">
        <v>29745</v>
      </c>
      <c r="BD5">
        <v>7.1138000000000007E-2</v>
      </c>
      <c r="BE5">
        <v>29745</v>
      </c>
      <c r="BF5">
        <v>3.1064000000000001E-2</v>
      </c>
      <c r="BG5">
        <v>29745</v>
      </c>
      <c r="BH5">
        <v>4.73021E-2</v>
      </c>
      <c r="BI5">
        <v>644957</v>
      </c>
      <c r="BJ5">
        <v>0.50251100000000004</v>
      </c>
      <c r="BK5">
        <v>324098</v>
      </c>
      <c r="BL5">
        <v>7.0339799999999994E-2</v>
      </c>
      <c r="BM5">
        <v>324098</v>
      </c>
      <c r="BN5">
        <v>1.44339E-2</v>
      </c>
      <c r="BO5">
        <v>324098</v>
      </c>
      <c r="BP5">
        <v>9.1191599999999998E-2</v>
      </c>
      <c r="BQ5">
        <v>324098</v>
      </c>
      <c r="BR5">
        <v>4.77232E-2</v>
      </c>
      <c r="BS5">
        <v>324098</v>
      </c>
      <c r="BT5">
        <v>1.7525599999999999E-2</v>
      </c>
      <c r="BU5">
        <v>324098</v>
      </c>
      <c r="BV5">
        <v>3.1956400000000003E-2</v>
      </c>
      <c r="BW5">
        <v>324098</v>
      </c>
      <c r="BX5">
        <v>9.0503500000000001E-2</v>
      </c>
      <c r="BY5">
        <v>324098</v>
      </c>
      <c r="BZ5">
        <v>0.12555150000000001</v>
      </c>
      <c r="CA5">
        <v>324098</v>
      </c>
      <c r="CB5">
        <v>0.14596200000000001</v>
      </c>
      <c r="CC5">
        <v>324098</v>
      </c>
      <c r="CD5">
        <v>0.16553019999999999</v>
      </c>
      <c r="CE5">
        <v>324098</v>
      </c>
      <c r="CF5">
        <v>0.1115403</v>
      </c>
      <c r="CG5">
        <v>324098</v>
      </c>
      <c r="CH5">
        <v>5.4872299999999999E-2</v>
      </c>
      <c r="CI5">
        <v>324098</v>
      </c>
      <c r="CJ5">
        <v>3.2869700000000002E-2</v>
      </c>
      <c r="CK5">
        <v>644957</v>
      </c>
      <c r="CL5">
        <v>0.49748900000000001</v>
      </c>
      <c r="CM5">
        <v>320859</v>
      </c>
      <c r="CN5">
        <v>6.4003199999999996E-2</v>
      </c>
      <c r="CO5">
        <v>320859</v>
      </c>
      <c r="CP5">
        <v>1.3264400000000001E-2</v>
      </c>
      <c r="CQ5">
        <v>320859</v>
      </c>
      <c r="CR5">
        <v>9.4377900000000001E-2</v>
      </c>
      <c r="CS5">
        <v>320859</v>
      </c>
      <c r="CT5">
        <v>4.1582099999999997E-2</v>
      </c>
      <c r="CU5">
        <v>320859</v>
      </c>
      <c r="CV5">
        <v>1.5555100000000001E-2</v>
      </c>
      <c r="CW5">
        <v>320859</v>
      </c>
      <c r="CX5">
        <v>3.1138300000000001E-2</v>
      </c>
      <c r="CY5">
        <v>320859</v>
      </c>
      <c r="CZ5">
        <v>8.6050299999999996E-2</v>
      </c>
      <c r="DA5">
        <v>320859</v>
      </c>
      <c r="DB5">
        <v>0.12314749999999999</v>
      </c>
      <c r="DC5">
        <v>320859</v>
      </c>
      <c r="DD5">
        <v>0.1450668</v>
      </c>
      <c r="DE5">
        <v>320859</v>
      </c>
      <c r="DF5">
        <v>0.16929240000000001</v>
      </c>
      <c r="DG5">
        <v>320859</v>
      </c>
      <c r="DH5">
        <v>0.1104067</v>
      </c>
      <c r="DI5">
        <v>320859</v>
      </c>
      <c r="DJ5">
        <v>5.9979600000000001E-2</v>
      </c>
      <c r="DK5">
        <v>320859</v>
      </c>
      <c r="DL5">
        <v>4.6135500000000003E-2</v>
      </c>
      <c r="DM5">
        <v>442580</v>
      </c>
      <c r="DN5">
        <v>5.9869400000000003E-2</v>
      </c>
      <c r="DO5">
        <v>26497</v>
      </c>
      <c r="DP5">
        <v>0.39596940000000003</v>
      </c>
      <c r="DQ5">
        <v>10492</v>
      </c>
      <c r="DR5">
        <v>0.38515060000000001</v>
      </c>
      <c r="DS5">
        <v>10492</v>
      </c>
      <c r="DT5">
        <v>0.2988944</v>
      </c>
      <c r="DU5">
        <v>10492</v>
      </c>
      <c r="DV5">
        <v>0.21606939999999999</v>
      </c>
      <c r="DW5">
        <v>10492</v>
      </c>
      <c r="DX5">
        <v>9.9885600000000005E-2</v>
      </c>
      <c r="DY5">
        <v>26497</v>
      </c>
      <c r="DZ5">
        <v>0.60403070000000003</v>
      </c>
      <c r="EA5">
        <v>16005</v>
      </c>
      <c r="EB5">
        <v>0.3142143</v>
      </c>
      <c r="EC5">
        <v>16005</v>
      </c>
      <c r="ED5">
        <v>0.35645110000000002</v>
      </c>
      <c r="EE5">
        <v>16005</v>
      </c>
      <c r="EF5">
        <v>0.21630740000000001</v>
      </c>
      <c r="EG5">
        <v>16005</v>
      </c>
      <c r="EH5">
        <v>0.11302719999999999</v>
      </c>
      <c r="EI5">
        <v>442580</v>
      </c>
      <c r="EJ5">
        <v>0.94013060000000004</v>
      </c>
      <c r="EK5">
        <v>416083</v>
      </c>
      <c r="EL5">
        <v>0.49565110000000001</v>
      </c>
      <c r="EM5">
        <v>206232</v>
      </c>
      <c r="EN5">
        <v>0.128884</v>
      </c>
      <c r="EO5">
        <v>206232</v>
      </c>
      <c r="EP5">
        <v>0.19161429999999999</v>
      </c>
      <c r="EQ5">
        <v>206232</v>
      </c>
      <c r="ER5">
        <v>0.24534500000000001</v>
      </c>
      <c r="ES5">
        <v>206232</v>
      </c>
      <c r="ET5">
        <v>0.43415670000000001</v>
      </c>
      <c r="EU5">
        <v>416083</v>
      </c>
      <c r="EV5">
        <v>0.50434889999999999</v>
      </c>
      <c r="EW5">
        <v>209851</v>
      </c>
      <c r="EX5">
        <v>9.8198199999999999E-2</v>
      </c>
      <c r="EY5">
        <v>209851</v>
      </c>
      <c r="EZ5">
        <v>0.19434270000000001</v>
      </c>
      <c r="FA5">
        <v>209851</v>
      </c>
      <c r="FB5">
        <v>0.2770204</v>
      </c>
      <c r="FC5">
        <v>209851</v>
      </c>
      <c r="FD5">
        <v>0.43043870000000001</v>
      </c>
      <c r="FE5">
        <v>527031</v>
      </c>
      <c r="FF5">
        <v>6.3863400000000001E-2</v>
      </c>
      <c r="FG5">
        <v>33658</v>
      </c>
      <c r="FH5">
        <v>0.42099950000000003</v>
      </c>
      <c r="FI5">
        <v>14170</v>
      </c>
      <c r="FJ5">
        <v>0.19082569999999999</v>
      </c>
      <c r="FK5">
        <v>14170</v>
      </c>
      <c r="FL5">
        <v>0.44728299999999999</v>
      </c>
      <c r="FM5">
        <v>14170</v>
      </c>
      <c r="FN5">
        <v>0.36189130000000003</v>
      </c>
      <c r="FO5">
        <v>14170</v>
      </c>
      <c r="FP5">
        <v>0.68630910000000001</v>
      </c>
      <c r="FQ5">
        <v>14170</v>
      </c>
      <c r="FR5">
        <v>0.31369089999999999</v>
      </c>
      <c r="FS5">
        <v>9725</v>
      </c>
      <c r="FT5">
        <v>0.70889460000000004</v>
      </c>
      <c r="FU5">
        <v>9725</v>
      </c>
      <c r="FV5">
        <v>0.29110540000000001</v>
      </c>
      <c r="FW5">
        <v>33658</v>
      </c>
      <c r="FX5">
        <v>0.57900050000000003</v>
      </c>
      <c r="FY5">
        <v>19488</v>
      </c>
      <c r="FZ5">
        <v>6.09093E-2</v>
      </c>
      <c r="GA5">
        <v>19488</v>
      </c>
      <c r="GB5">
        <v>0.34605910000000001</v>
      </c>
      <c r="GC5">
        <v>19488</v>
      </c>
      <c r="GD5">
        <v>0.59303159999999999</v>
      </c>
      <c r="GE5">
        <v>19488</v>
      </c>
      <c r="GF5">
        <v>0.43288179999999998</v>
      </c>
      <c r="GG5">
        <v>19488</v>
      </c>
      <c r="GH5">
        <v>0.56711820000000002</v>
      </c>
      <c r="GI5">
        <v>8436</v>
      </c>
      <c r="GJ5">
        <v>0.69938359999999999</v>
      </c>
      <c r="GK5">
        <v>8436</v>
      </c>
      <c r="GL5">
        <v>0.30061640000000001</v>
      </c>
      <c r="GM5">
        <v>527031</v>
      </c>
      <c r="GN5">
        <v>0.93613659999999999</v>
      </c>
      <c r="GO5">
        <v>493373</v>
      </c>
      <c r="GP5">
        <v>0.49844840000000001</v>
      </c>
      <c r="GQ5">
        <v>245921</v>
      </c>
      <c r="GR5">
        <v>0.60732920000000001</v>
      </c>
      <c r="GS5">
        <v>245921</v>
      </c>
      <c r="GT5">
        <v>0.23174919999999999</v>
      </c>
      <c r="GU5">
        <v>245921</v>
      </c>
      <c r="GV5">
        <v>0.1609216</v>
      </c>
      <c r="GW5">
        <v>244536</v>
      </c>
      <c r="GX5">
        <v>0.81645239999999997</v>
      </c>
      <c r="GY5">
        <v>244536</v>
      </c>
      <c r="GZ5">
        <v>0.18354760000000001</v>
      </c>
      <c r="HA5">
        <v>199652</v>
      </c>
      <c r="HB5">
        <v>0.94643180000000005</v>
      </c>
      <c r="HC5">
        <v>199652</v>
      </c>
      <c r="HD5">
        <v>5.3568200000000003E-2</v>
      </c>
      <c r="HE5">
        <v>493373</v>
      </c>
      <c r="HF5">
        <v>0.50155159999999999</v>
      </c>
      <c r="HG5">
        <v>247452</v>
      </c>
      <c r="HH5">
        <v>0.41010380000000002</v>
      </c>
      <c r="HI5">
        <v>247452</v>
      </c>
      <c r="HJ5">
        <v>0.30263649999999997</v>
      </c>
      <c r="HK5">
        <v>247452</v>
      </c>
      <c r="HL5">
        <v>0.28725980000000001</v>
      </c>
      <c r="HM5">
        <v>246837</v>
      </c>
      <c r="HN5">
        <v>0.67382929999999996</v>
      </c>
      <c r="HO5">
        <v>246837</v>
      </c>
      <c r="HP5">
        <v>0.32617069999999998</v>
      </c>
      <c r="HQ5">
        <v>166326</v>
      </c>
      <c r="HR5">
        <v>0.94829430000000003</v>
      </c>
      <c r="HS5">
        <v>166326</v>
      </c>
      <c r="HT5">
        <v>5.17057E-2</v>
      </c>
      <c r="HU5">
        <v>176026</v>
      </c>
      <c r="HV5">
        <v>7.4721899999999994E-2</v>
      </c>
      <c r="HW5">
        <v>13153</v>
      </c>
      <c r="HX5">
        <v>0.53721580000000002</v>
      </c>
      <c r="HY5">
        <v>7066</v>
      </c>
      <c r="HZ5">
        <v>0.85876019999999997</v>
      </c>
      <c r="IA5">
        <v>7066</v>
      </c>
      <c r="IB5">
        <v>0.85876019999999997</v>
      </c>
      <c r="IC5">
        <v>7066</v>
      </c>
      <c r="ID5">
        <v>0.85876019999999997</v>
      </c>
      <c r="IE5">
        <v>7066</v>
      </c>
      <c r="IF5">
        <v>0.85876019999999997</v>
      </c>
      <c r="IG5">
        <v>7066</v>
      </c>
      <c r="IH5">
        <v>0.1412397</v>
      </c>
      <c r="II5">
        <v>13153</v>
      </c>
      <c r="IJ5">
        <v>0.46278409999999998</v>
      </c>
      <c r="IK5">
        <v>6087</v>
      </c>
      <c r="IL5">
        <v>0.1698702</v>
      </c>
      <c r="IM5">
        <v>1034</v>
      </c>
      <c r="IN5">
        <v>0.82688589999999995</v>
      </c>
      <c r="IO5">
        <v>855</v>
      </c>
      <c r="IP5">
        <v>0</v>
      </c>
      <c r="IQ5">
        <v>855</v>
      </c>
      <c r="IR5">
        <v>0.34035090000000001</v>
      </c>
      <c r="IS5">
        <v>855</v>
      </c>
      <c r="IT5">
        <v>0.65964909999999999</v>
      </c>
      <c r="IU5">
        <v>1034</v>
      </c>
      <c r="IV5">
        <v>0.17311409999999999</v>
      </c>
      <c r="IW5">
        <v>6087</v>
      </c>
      <c r="IX5">
        <v>0.83012980000000003</v>
      </c>
      <c r="IY5">
        <v>5053</v>
      </c>
      <c r="IZ5">
        <v>0.90342370000000005</v>
      </c>
      <c r="JA5">
        <v>4565</v>
      </c>
      <c r="JB5">
        <v>0.1483023</v>
      </c>
      <c r="JC5">
        <v>4565</v>
      </c>
      <c r="JD5">
        <v>0.2685652</v>
      </c>
      <c r="JE5">
        <v>4565</v>
      </c>
      <c r="JF5">
        <v>0.58313250000000005</v>
      </c>
      <c r="JG5">
        <v>5053</v>
      </c>
      <c r="JH5">
        <v>9.6576300000000004E-2</v>
      </c>
      <c r="JI5">
        <v>176026</v>
      </c>
      <c r="JJ5">
        <v>1.5895400000000001E-2</v>
      </c>
      <c r="JK5">
        <v>2798</v>
      </c>
      <c r="JL5">
        <v>0.40243030000000002</v>
      </c>
      <c r="JM5">
        <v>1126</v>
      </c>
      <c r="JN5">
        <v>0.78508</v>
      </c>
      <c r="JO5">
        <v>1126</v>
      </c>
      <c r="JP5">
        <v>0.78508</v>
      </c>
      <c r="JQ5">
        <v>1126</v>
      </c>
      <c r="JR5">
        <v>0.78508</v>
      </c>
      <c r="JS5">
        <v>1126</v>
      </c>
      <c r="JT5">
        <v>0.78508</v>
      </c>
      <c r="JU5">
        <v>1126</v>
      </c>
      <c r="JV5">
        <v>0.2149201</v>
      </c>
      <c r="JW5">
        <v>2798</v>
      </c>
      <c r="JX5">
        <v>0.59756969999999998</v>
      </c>
      <c r="JY5">
        <v>1672</v>
      </c>
      <c r="JZ5">
        <v>0.1812201</v>
      </c>
      <c r="KA5">
        <v>303</v>
      </c>
      <c r="KB5">
        <v>0.69967000000000001</v>
      </c>
      <c r="KC5">
        <v>212</v>
      </c>
      <c r="KD5">
        <v>0</v>
      </c>
      <c r="KE5">
        <v>212</v>
      </c>
      <c r="KF5">
        <v>0.259434</v>
      </c>
      <c r="KG5">
        <v>212</v>
      </c>
      <c r="KH5">
        <v>0.74056599999999995</v>
      </c>
      <c r="KI5">
        <v>303</v>
      </c>
      <c r="KJ5">
        <v>0.30032999999999999</v>
      </c>
      <c r="KK5">
        <v>1672</v>
      </c>
      <c r="KL5">
        <v>0.8187799</v>
      </c>
      <c r="KM5">
        <v>1369</v>
      </c>
      <c r="KN5">
        <v>0.85098609999999997</v>
      </c>
      <c r="KO5">
        <v>1165</v>
      </c>
      <c r="KP5">
        <v>5.4935600000000001E-2</v>
      </c>
      <c r="KQ5">
        <v>1165</v>
      </c>
      <c r="KR5">
        <v>0.36738199999999999</v>
      </c>
      <c r="KS5">
        <v>1165</v>
      </c>
      <c r="KT5">
        <v>0.57768240000000004</v>
      </c>
      <c r="KU5">
        <v>1369</v>
      </c>
      <c r="KV5">
        <v>0.1490139</v>
      </c>
      <c r="KW5">
        <v>176026</v>
      </c>
      <c r="KX5">
        <v>3.3546199999999998E-2</v>
      </c>
      <c r="KY5">
        <v>5905</v>
      </c>
      <c r="KZ5">
        <v>0.59305669999999999</v>
      </c>
      <c r="LA5">
        <v>3502</v>
      </c>
      <c r="LB5">
        <v>0.76956029999999997</v>
      </c>
      <c r="LC5">
        <v>3502</v>
      </c>
      <c r="LD5">
        <v>0.76956029999999997</v>
      </c>
      <c r="LE5">
        <v>3502</v>
      </c>
      <c r="LF5">
        <v>0.76956029999999997</v>
      </c>
      <c r="LG5">
        <v>3502</v>
      </c>
      <c r="LH5">
        <v>0.76956029999999997</v>
      </c>
      <c r="LI5">
        <v>3502</v>
      </c>
      <c r="LJ5">
        <v>0.2304398</v>
      </c>
      <c r="LK5">
        <v>5905</v>
      </c>
      <c r="LL5">
        <v>0.40694330000000001</v>
      </c>
      <c r="LM5">
        <v>2403</v>
      </c>
      <c r="LN5">
        <v>0.38035790000000003</v>
      </c>
      <c r="LO5">
        <v>914</v>
      </c>
      <c r="LP5">
        <v>0.52844639999999998</v>
      </c>
      <c r="LQ5">
        <v>483</v>
      </c>
      <c r="LR5">
        <v>0.20289850000000001</v>
      </c>
      <c r="LS5">
        <v>483</v>
      </c>
      <c r="LT5">
        <v>0.46169769999999999</v>
      </c>
      <c r="LU5">
        <v>483</v>
      </c>
      <c r="LV5">
        <v>0.33540370000000003</v>
      </c>
      <c r="LW5">
        <v>914</v>
      </c>
      <c r="LX5">
        <v>0.47155360000000002</v>
      </c>
      <c r="LY5">
        <v>2403</v>
      </c>
      <c r="LZ5">
        <v>0.61964209999999997</v>
      </c>
      <c r="MA5">
        <v>1489</v>
      </c>
      <c r="MB5">
        <v>0.81128279999999997</v>
      </c>
      <c r="MC5">
        <v>1208</v>
      </c>
      <c r="MD5">
        <v>0</v>
      </c>
      <c r="ME5">
        <v>1208</v>
      </c>
      <c r="MF5">
        <v>0.15562909999999999</v>
      </c>
      <c r="MG5">
        <v>1208</v>
      </c>
      <c r="MH5">
        <v>0.84437079999999998</v>
      </c>
      <c r="MI5">
        <v>1489</v>
      </c>
      <c r="MJ5">
        <v>0.1887173</v>
      </c>
      <c r="MK5">
        <v>176026</v>
      </c>
      <c r="ML5">
        <v>0.87583659999999997</v>
      </c>
      <c r="MM5">
        <v>154170</v>
      </c>
      <c r="MN5">
        <v>0.84851140000000003</v>
      </c>
      <c r="MO5">
        <v>130815</v>
      </c>
      <c r="MP5">
        <v>0.50738070000000002</v>
      </c>
      <c r="MQ5">
        <v>130815</v>
      </c>
      <c r="MR5">
        <v>0.50738070000000002</v>
      </c>
      <c r="MS5">
        <v>130815</v>
      </c>
      <c r="MT5">
        <v>0.50738070000000002</v>
      </c>
      <c r="MU5">
        <v>130815</v>
      </c>
      <c r="MV5">
        <v>0.50738070000000002</v>
      </c>
      <c r="MW5">
        <v>130815</v>
      </c>
      <c r="MX5">
        <v>0.49261929999999998</v>
      </c>
      <c r="MY5">
        <v>154170</v>
      </c>
      <c r="MZ5">
        <v>0.1514886</v>
      </c>
      <c r="NA5">
        <v>23355</v>
      </c>
      <c r="NB5">
        <v>0.34938989999999998</v>
      </c>
      <c r="NC5">
        <v>8160</v>
      </c>
      <c r="ND5">
        <v>0.58431379999999999</v>
      </c>
      <c r="NE5">
        <v>4768</v>
      </c>
      <c r="NF5">
        <v>0.24391779999999999</v>
      </c>
      <c r="NG5">
        <v>4768</v>
      </c>
      <c r="NH5">
        <v>0.12919459999999999</v>
      </c>
      <c r="NI5">
        <v>4768</v>
      </c>
      <c r="NJ5">
        <v>0.62688759999999999</v>
      </c>
      <c r="NK5">
        <v>8160</v>
      </c>
      <c r="NL5">
        <v>0.41568630000000001</v>
      </c>
      <c r="NM5">
        <v>23355</v>
      </c>
      <c r="NN5">
        <v>0.65061009999999997</v>
      </c>
      <c r="NO5">
        <v>15195</v>
      </c>
      <c r="NP5">
        <v>0.65409669999999998</v>
      </c>
      <c r="NQ5">
        <v>9939</v>
      </c>
      <c r="NR5">
        <v>0.19327900000000001</v>
      </c>
      <c r="NS5">
        <v>9939</v>
      </c>
      <c r="NT5">
        <v>6.2581700000000004E-2</v>
      </c>
      <c r="NU5">
        <v>9939</v>
      </c>
      <c r="NV5">
        <v>0.74413929999999995</v>
      </c>
      <c r="NW5">
        <v>15195</v>
      </c>
      <c r="NX5">
        <v>0.34590320000000002</v>
      </c>
    </row>
    <row r="6" spans="1:388" x14ac:dyDescent="0.25">
      <c r="A6" t="s">
        <v>132</v>
      </c>
      <c r="B6">
        <v>2008</v>
      </c>
      <c r="C6">
        <v>1</v>
      </c>
      <c r="D6" t="s">
        <v>539</v>
      </c>
      <c r="E6">
        <v>17099</v>
      </c>
      <c r="F6">
        <v>0.50997130000000002</v>
      </c>
      <c r="G6">
        <v>8720</v>
      </c>
      <c r="H6">
        <v>0.19082569999999999</v>
      </c>
      <c r="I6">
        <v>8720</v>
      </c>
      <c r="J6">
        <v>1.8922000000000001E-2</v>
      </c>
      <c r="K6">
        <v>8720</v>
      </c>
      <c r="L6">
        <v>6.2385299999999998E-2</v>
      </c>
      <c r="M6">
        <v>8720</v>
      </c>
      <c r="N6">
        <v>0.10458720000000001</v>
      </c>
      <c r="O6">
        <v>8720</v>
      </c>
      <c r="P6">
        <v>0</v>
      </c>
      <c r="Q6">
        <v>8720</v>
      </c>
      <c r="R6">
        <v>6.9953999999999997E-3</v>
      </c>
      <c r="S6">
        <v>8720</v>
      </c>
      <c r="T6">
        <v>0.12729360000000001</v>
      </c>
      <c r="U6">
        <v>8720</v>
      </c>
      <c r="V6">
        <v>7.43119E-2</v>
      </c>
      <c r="W6">
        <v>8720</v>
      </c>
      <c r="X6">
        <v>0.19621559999999999</v>
      </c>
      <c r="Y6">
        <v>8720</v>
      </c>
      <c r="Z6">
        <v>6.6169699999999998E-2</v>
      </c>
      <c r="AA6">
        <v>8720</v>
      </c>
      <c r="AB6">
        <v>8.8073399999999996E-2</v>
      </c>
      <c r="AC6">
        <v>8720</v>
      </c>
      <c r="AD6">
        <v>4.9426600000000001E-2</v>
      </c>
      <c r="AE6">
        <v>8720</v>
      </c>
      <c r="AF6">
        <v>1.47936E-2</v>
      </c>
      <c r="AG6">
        <v>17099</v>
      </c>
      <c r="AH6">
        <v>0.49002859999999998</v>
      </c>
      <c r="AI6">
        <v>8379</v>
      </c>
      <c r="AJ6">
        <v>5.72861E-2</v>
      </c>
      <c r="AK6">
        <v>8379</v>
      </c>
      <c r="AL6">
        <v>2.1124199999999999E-2</v>
      </c>
      <c r="AM6">
        <v>8379</v>
      </c>
      <c r="AN6">
        <v>0.1146915</v>
      </c>
      <c r="AO6">
        <v>8379</v>
      </c>
      <c r="AP6">
        <v>3.3774899999999997E-2</v>
      </c>
      <c r="AQ6">
        <v>8379</v>
      </c>
      <c r="AR6">
        <v>8.9508999999999995E-3</v>
      </c>
      <c r="AS6">
        <v>8379</v>
      </c>
      <c r="AT6">
        <v>5.0483300000000002E-2</v>
      </c>
      <c r="AU6">
        <v>8379</v>
      </c>
      <c r="AV6">
        <v>0.1436926</v>
      </c>
      <c r="AW6">
        <v>8379</v>
      </c>
      <c r="AX6">
        <v>8.6645200000000006E-2</v>
      </c>
      <c r="AY6">
        <v>8379</v>
      </c>
      <c r="AZ6">
        <v>0.15503040000000001</v>
      </c>
      <c r="BA6">
        <v>8379</v>
      </c>
      <c r="BB6">
        <v>9.6312200000000001E-2</v>
      </c>
      <c r="BC6">
        <v>8379</v>
      </c>
      <c r="BD6">
        <v>9.0106199999999997E-2</v>
      </c>
      <c r="BE6">
        <v>8379</v>
      </c>
      <c r="BF6">
        <v>3.3894300000000002E-2</v>
      </c>
      <c r="BG6">
        <v>8379</v>
      </c>
      <c r="BH6">
        <v>0.1080081</v>
      </c>
      <c r="BI6">
        <v>299338</v>
      </c>
      <c r="BJ6">
        <v>0.50337410000000005</v>
      </c>
      <c r="BK6">
        <v>150679</v>
      </c>
      <c r="BL6">
        <v>6.3552300000000006E-2</v>
      </c>
      <c r="BM6">
        <v>150679</v>
      </c>
      <c r="BN6">
        <v>1.88148E-2</v>
      </c>
      <c r="BO6">
        <v>150679</v>
      </c>
      <c r="BP6">
        <v>8.4942199999999995E-2</v>
      </c>
      <c r="BQ6">
        <v>150679</v>
      </c>
      <c r="BR6">
        <v>4.8148700000000003E-2</v>
      </c>
      <c r="BS6">
        <v>150679</v>
      </c>
      <c r="BT6">
        <v>1.49059E-2</v>
      </c>
      <c r="BU6">
        <v>150679</v>
      </c>
      <c r="BV6">
        <v>3.5280300000000001E-2</v>
      </c>
      <c r="BW6">
        <v>150679</v>
      </c>
      <c r="BX6">
        <v>8.7935299999999994E-2</v>
      </c>
      <c r="BY6">
        <v>150679</v>
      </c>
      <c r="BZ6">
        <v>0.13538720000000001</v>
      </c>
      <c r="CA6">
        <v>150679</v>
      </c>
      <c r="CB6">
        <v>0.15337239999999999</v>
      </c>
      <c r="CC6">
        <v>150679</v>
      </c>
      <c r="CD6">
        <v>0.16540460000000001</v>
      </c>
      <c r="CE6">
        <v>150679</v>
      </c>
      <c r="CF6">
        <v>0.10387639999999999</v>
      </c>
      <c r="CG6">
        <v>150679</v>
      </c>
      <c r="CH6">
        <v>5.3849599999999997E-2</v>
      </c>
      <c r="CI6">
        <v>150679</v>
      </c>
      <c r="CJ6">
        <v>3.4530400000000003E-2</v>
      </c>
      <c r="CK6">
        <v>299338</v>
      </c>
      <c r="CL6">
        <v>0.49662590000000001</v>
      </c>
      <c r="CM6">
        <v>148659</v>
      </c>
      <c r="CN6">
        <v>6.8687399999999996E-2</v>
      </c>
      <c r="CO6">
        <v>148659</v>
      </c>
      <c r="CP6">
        <v>1.54111E-2</v>
      </c>
      <c r="CQ6">
        <v>148659</v>
      </c>
      <c r="CR6">
        <v>8.9480000000000004E-2</v>
      </c>
      <c r="CS6">
        <v>148659</v>
      </c>
      <c r="CT6">
        <v>4.2802699999999999E-2</v>
      </c>
      <c r="CU6">
        <v>148659</v>
      </c>
      <c r="CV6">
        <v>1.7301299999999999E-2</v>
      </c>
      <c r="CW6">
        <v>148659</v>
      </c>
      <c r="CX6">
        <v>2.8084399999999999E-2</v>
      </c>
      <c r="CY6">
        <v>148659</v>
      </c>
      <c r="CZ6">
        <v>7.8858300000000006E-2</v>
      </c>
      <c r="DA6">
        <v>148659</v>
      </c>
      <c r="DB6">
        <v>0.13658100000000001</v>
      </c>
      <c r="DC6">
        <v>148659</v>
      </c>
      <c r="DD6">
        <v>0.1523621</v>
      </c>
      <c r="DE6">
        <v>148659</v>
      </c>
      <c r="DF6">
        <v>0.16272809999999999</v>
      </c>
      <c r="DG6">
        <v>148659</v>
      </c>
      <c r="DH6">
        <v>0.1012855</v>
      </c>
      <c r="DI6">
        <v>148659</v>
      </c>
      <c r="DJ6">
        <v>6.0325999999999998E-2</v>
      </c>
      <c r="DK6">
        <v>148659</v>
      </c>
      <c r="DL6">
        <v>4.6092099999999997E-2</v>
      </c>
      <c r="DM6">
        <v>204464</v>
      </c>
      <c r="DN6">
        <v>4.4213200000000001E-2</v>
      </c>
      <c r="DO6">
        <v>9040</v>
      </c>
      <c r="DP6">
        <v>0.47168139999999997</v>
      </c>
      <c r="DQ6">
        <v>4264</v>
      </c>
      <c r="DR6">
        <v>0.17213880000000001</v>
      </c>
      <c r="DS6">
        <v>4264</v>
      </c>
      <c r="DT6">
        <v>0.39774860000000001</v>
      </c>
      <c r="DU6">
        <v>4264</v>
      </c>
      <c r="DV6">
        <v>0.3006566</v>
      </c>
      <c r="DW6">
        <v>4264</v>
      </c>
      <c r="DX6">
        <v>0.12945590000000001</v>
      </c>
      <c r="DY6">
        <v>9040</v>
      </c>
      <c r="DZ6">
        <v>0.52831859999999997</v>
      </c>
      <c r="EA6">
        <v>4776</v>
      </c>
      <c r="EB6">
        <v>0.21859300000000001</v>
      </c>
      <c r="EC6">
        <v>4776</v>
      </c>
      <c r="ED6">
        <v>0.3337521</v>
      </c>
      <c r="EE6">
        <v>4776</v>
      </c>
      <c r="EF6">
        <v>0.18781410000000001</v>
      </c>
      <c r="EG6">
        <v>4776</v>
      </c>
      <c r="EH6">
        <v>0.25984089999999999</v>
      </c>
      <c r="EI6">
        <v>204464</v>
      </c>
      <c r="EJ6">
        <v>0.95578680000000005</v>
      </c>
      <c r="EK6">
        <v>195424</v>
      </c>
      <c r="EL6">
        <v>0.49841370000000002</v>
      </c>
      <c r="EM6">
        <v>97402</v>
      </c>
      <c r="EN6">
        <v>7.0932800000000004E-2</v>
      </c>
      <c r="EO6">
        <v>97402</v>
      </c>
      <c r="EP6">
        <v>0.25690439999999998</v>
      </c>
      <c r="EQ6">
        <v>97402</v>
      </c>
      <c r="ER6">
        <v>0.33406910000000001</v>
      </c>
      <c r="ES6">
        <v>97402</v>
      </c>
      <c r="ET6">
        <v>0.3380937</v>
      </c>
      <c r="EU6">
        <v>195424</v>
      </c>
      <c r="EV6">
        <v>0.50158630000000004</v>
      </c>
      <c r="EW6">
        <v>98022</v>
      </c>
      <c r="EX6">
        <v>7.2412299999999999E-2</v>
      </c>
      <c r="EY6">
        <v>98022</v>
      </c>
      <c r="EZ6">
        <v>0.28904740000000001</v>
      </c>
      <c r="FA6">
        <v>98022</v>
      </c>
      <c r="FB6">
        <v>0.30629859999999998</v>
      </c>
      <c r="FC6">
        <v>98022</v>
      </c>
      <c r="FD6">
        <v>0.33224169999999997</v>
      </c>
      <c r="FE6">
        <v>241726</v>
      </c>
      <c r="FF6">
        <v>4.8972799999999997E-2</v>
      </c>
      <c r="FG6">
        <v>11838</v>
      </c>
      <c r="FH6">
        <v>0.45911469999999999</v>
      </c>
      <c r="FI6">
        <v>5435</v>
      </c>
      <c r="FJ6">
        <v>0.1116835</v>
      </c>
      <c r="FK6">
        <v>5435</v>
      </c>
      <c r="FL6">
        <v>0.40846369999999999</v>
      </c>
      <c r="FM6">
        <v>5435</v>
      </c>
      <c r="FN6">
        <v>0.47985280000000002</v>
      </c>
      <c r="FO6">
        <v>5435</v>
      </c>
      <c r="FP6">
        <v>0.5304508</v>
      </c>
      <c r="FQ6">
        <v>5435</v>
      </c>
      <c r="FR6">
        <v>0.4695492</v>
      </c>
      <c r="FS6">
        <v>2883</v>
      </c>
      <c r="FT6">
        <v>0.8009018</v>
      </c>
      <c r="FU6">
        <v>2883</v>
      </c>
      <c r="FV6">
        <v>0.1990982</v>
      </c>
      <c r="FW6">
        <v>11838</v>
      </c>
      <c r="FX6">
        <v>0.54088530000000001</v>
      </c>
      <c r="FY6">
        <v>6403</v>
      </c>
      <c r="FZ6">
        <v>4.90395E-2</v>
      </c>
      <c r="GA6">
        <v>6403</v>
      </c>
      <c r="GB6">
        <v>0.37419960000000002</v>
      </c>
      <c r="GC6">
        <v>6403</v>
      </c>
      <c r="GD6">
        <v>0.57676090000000002</v>
      </c>
      <c r="GE6">
        <v>6403</v>
      </c>
      <c r="GF6">
        <v>0.42292679999999999</v>
      </c>
      <c r="GG6">
        <v>6403</v>
      </c>
      <c r="GH6">
        <v>0.57707330000000001</v>
      </c>
      <c r="GI6">
        <v>2708</v>
      </c>
      <c r="GJ6">
        <v>0.65805020000000003</v>
      </c>
      <c r="GK6">
        <v>2708</v>
      </c>
      <c r="GL6">
        <v>0.34194980000000003</v>
      </c>
      <c r="GM6">
        <v>241726</v>
      </c>
      <c r="GN6">
        <v>0.95102719999999996</v>
      </c>
      <c r="GO6">
        <v>229888</v>
      </c>
      <c r="GP6">
        <v>0.50445430000000002</v>
      </c>
      <c r="GQ6">
        <v>115968</v>
      </c>
      <c r="GR6">
        <v>0.60982340000000002</v>
      </c>
      <c r="GS6">
        <v>115968</v>
      </c>
      <c r="GT6">
        <v>0.2305895</v>
      </c>
      <c r="GU6">
        <v>115968</v>
      </c>
      <c r="GV6">
        <v>0.15958710000000001</v>
      </c>
      <c r="GW6">
        <v>115803</v>
      </c>
      <c r="GX6">
        <v>0.81253509999999995</v>
      </c>
      <c r="GY6">
        <v>115803</v>
      </c>
      <c r="GZ6">
        <v>0.18746489999999999</v>
      </c>
      <c r="HA6">
        <v>94094</v>
      </c>
      <c r="HB6">
        <v>0.95404599999999995</v>
      </c>
      <c r="HC6">
        <v>94094</v>
      </c>
      <c r="HD6">
        <v>4.5954000000000002E-2</v>
      </c>
      <c r="HE6">
        <v>229888</v>
      </c>
      <c r="HF6">
        <v>0.49554569999999998</v>
      </c>
      <c r="HG6">
        <v>113920</v>
      </c>
      <c r="HH6">
        <v>0.3937851</v>
      </c>
      <c r="HI6">
        <v>113920</v>
      </c>
      <c r="HJ6">
        <v>0.3234551</v>
      </c>
      <c r="HK6">
        <v>113920</v>
      </c>
      <c r="HL6">
        <v>0.28275980000000001</v>
      </c>
      <c r="HM6">
        <v>113920</v>
      </c>
      <c r="HN6">
        <v>0.67869559999999995</v>
      </c>
      <c r="HO6">
        <v>113920</v>
      </c>
      <c r="HP6">
        <v>0.32130439999999999</v>
      </c>
      <c r="HQ6">
        <v>77317</v>
      </c>
      <c r="HR6">
        <v>0.94929960000000002</v>
      </c>
      <c r="HS6">
        <v>77317</v>
      </c>
      <c r="HT6">
        <v>5.07004E-2</v>
      </c>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row>
    <row r="7" spans="1:388" x14ac:dyDescent="0.25">
      <c r="A7" t="s">
        <v>131</v>
      </c>
      <c r="B7">
        <v>2008</v>
      </c>
      <c r="C7">
        <v>1</v>
      </c>
      <c r="D7" t="s">
        <v>540</v>
      </c>
      <c r="E7">
        <v>44290</v>
      </c>
      <c r="F7">
        <v>0.39397159999999998</v>
      </c>
      <c r="G7">
        <v>17449</v>
      </c>
      <c r="H7">
        <v>0.20872260000000001</v>
      </c>
      <c r="I7">
        <v>17449</v>
      </c>
      <c r="J7">
        <v>1.6849099999999999E-2</v>
      </c>
      <c r="K7">
        <v>17449</v>
      </c>
      <c r="L7">
        <v>0.1742793</v>
      </c>
      <c r="M7">
        <v>17449</v>
      </c>
      <c r="N7">
        <v>4.8369500000000003E-2</v>
      </c>
      <c r="O7">
        <v>17449</v>
      </c>
      <c r="P7">
        <v>1.2952E-2</v>
      </c>
      <c r="Q7">
        <v>17449</v>
      </c>
      <c r="R7">
        <v>5.3756699999999998E-2</v>
      </c>
      <c r="S7">
        <v>17449</v>
      </c>
      <c r="T7">
        <v>9.8859500000000003E-2</v>
      </c>
      <c r="U7">
        <v>17449</v>
      </c>
      <c r="V7">
        <v>0.1190326</v>
      </c>
      <c r="W7">
        <v>17449</v>
      </c>
      <c r="X7">
        <v>5.5991699999999998E-2</v>
      </c>
      <c r="Y7">
        <v>17449</v>
      </c>
      <c r="Z7">
        <v>7.3872400000000005E-2</v>
      </c>
      <c r="AA7">
        <v>17449</v>
      </c>
      <c r="AB7">
        <v>6.9344900000000001E-2</v>
      </c>
      <c r="AC7">
        <v>17449</v>
      </c>
      <c r="AD7">
        <v>3.62771E-2</v>
      </c>
      <c r="AE7">
        <v>17449</v>
      </c>
      <c r="AF7">
        <v>3.1692400000000003E-2</v>
      </c>
      <c r="AG7">
        <v>44290</v>
      </c>
      <c r="AH7">
        <v>0.60602840000000002</v>
      </c>
      <c r="AI7">
        <v>26841</v>
      </c>
      <c r="AJ7">
        <v>0.105473</v>
      </c>
      <c r="AK7">
        <v>26841</v>
      </c>
      <c r="AL7">
        <v>1.0022E-2</v>
      </c>
      <c r="AM7">
        <v>26841</v>
      </c>
      <c r="AN7">
        <v>8.7291800000000003E-2</v>
      </c>
      <c r="AO7">
        <v>26841</v>
      </c>
      <c r="AP7">
        <v>6.48262E-2</v>
      </c>
      <c r="AQ7">
        <v>26841</v>
      </c>
      <c r="AR7">
        <v>1.95969E-2</v>
      </c>
      <c r="AS7">
        <v>26841</v>
      </c>
      <c r="AT7">
        <v>2.2242100000000001E-2</v>
      </c>
      <c r="AU7">
        <v>26841</v>
      </c>
      <c r="AV7">
        <v>0.1567751</v>
      </c>
      <c r="AW7">
        <v>26841</v>
      </c>
      <c r="AX7">
        <v>0.22070709999999999</v>
      </c>
      <c r="AY7">
        <v>26841</v>
      </c>
      <c r="AZ7">
        <v>8.1554299999999996E-2</v>
      </c>
      <c r="BA7">
        <v>26841</v>
      </c>
      <c r="BB7">
        <v>8.1703399999999995E-2</v>
      </c>
      <c r="BC7">
        <v>26841</v>
      </c>
      <c r="BD7">
        <v>6.6502699999999998E-2</v>
      </c>
      <c r="BE7">
        <v>26841</v>
      </c>
      <c r="BF7">
        <v>3.9678100000000001E-2</v>
      </c>
      <c r="BG7">
        <v>26841</v>
      </c>
      <c r="BH7">
        <v>4.3627300000000001E-2</v>
      </c>
      <c r="BI7">
        <v>626749</v>
      </c>
      <c r="BJ7">
        <v>0.50701799999999997</v>
      </c>
      <c r="BK7">
        <v>317773</v>
      </c>
      <c r="BL7">
        <v>7.2828699999999996E-2</v>
      </c>
      <c r="BM7">
        <v>317773</v>
      </c>
      <c r="BN7">
        <v>1.50799E-2</v>
      </c>
      <c r="BO7">
        <v>317773</v>
      </c>
      <c r="BP7">
        <v>9.9785100000000002E-2</v>
      </c>
      <c r="BQ7">
        <v>317773</v>
      </c>
      <c r="BR7">
        <v>4.5154899999999998E-2</v>
      </c>
      <c r="BS7">
        <v>317773</v>
      </c>
      <c r="BT7">
        <v>1.4724299999999999E-2</v>
      </c>
      <c r="BU7">
        <v>317773</v>
      </c>
      <c r="BV7">
        <v>3.1871799999999999E-2</v>
      </c>
      <c r="BW7">
        <v>317773</v>
      </c>
      <c r="BX7">
        <v>9.3450400000000003E-2</v>
      </c>
      <c r="BY7">
        <v>317773</v>
      </c>
      <c r="BZ7">
        <v>0.1581129</v>
      </c>
      <c r="CA7">
        <v>317773</v>
      </c>
      <c r="CB7">
        <v>0.15944710000000001</v>
      </c>
      <c r="CC7">
        <v>317773</v>
      </c>
      <c r="CD7">
        <v>0.1474229</v>
      </c>
      <c r="CE7">
        <v>317773</v>
      </c>
      <c r="CF7">
        <v>9.0973700000000005E-2</v>
      </c>
      <c r="CG7">
        <v>317773</v>
      </c>
      <c r="CH7">
        <v>4.6825899999999997E-2</v>
      </c>
      <c r="CI7">
        <v>317773</v>
      </c>
      <c r="CJ7">
        <v>2.4322400000000001E-2</v>
      </c>
      <c r="CK7">
        <v>626749</v>
      </c>
      <c r="CL7">
        <v>0.49298199999999998</v>
      </c>
      <c r="CM7">
        <v>308976</v>
      </c>
      <c r="CN7">
        <v>7.3960399999999996E-2</v>
      </c>
      <c r="CO7">
        <v>308976</v>
      </c>
      <c r="CP7">
        <v>9.1009999999999997E-3</v>
      </c>
      <c r="CQ7">
        <v>308976</v>
      </c>
      <c r="CR7">
        <v>9.7195299999999998E-2</v>
      </c>
      <c r="CS7">
        <v>308976</v>
      </c>
      <c r="CT7">
        <v>4.9139700000000001E-2</v>
      </c>
      <c r="CU7">
        <v>308976</v>
      </c>
      <c r="CV7">
        <v>1.2017099999999999E-2</v>
      </c>
      <c r="CW7">
        <v>308976</v>
      </c>
      <c r="CX7">
        <v>3.5135399999999997E-2</v>
      </c>
      <c r="CY7">
        <v>308976</v>
      </c>
      <c r="CZ7">
        <v>8.3588999999999997E-2</v>
      </c>
      <c r="DA7">
        <v>308976</v>
      </c>
      <c r="DB7">
        <v>0.1514972</v>
      </c>
      <c r="DC7">
        <v>308976</v>
      </c>
      <c r="DD7">
        <v>0.1600027</v>
      </c>
      <c r="DE7">
        <v>308976</v>
      </c>
      <c r="DF7">
        <v>0.14676539999999999</v>
      </c>
      <c r="DG7">
        <v>308976</v>
      </c>
      <c r="DH7">
        <v>9.3874600000000002E-2</v>
      </c>
      <c r="DI7">
        <v>308976</v>
      </c>
      <c r="DJ7">
        <v>5.1152799999999998E-2</v>
      </c>
      <c r="DK7">
        <v>308976</v>
      </c>
      <c r="DL7">
        <v>3.6569200000000003E-2</v>
      </c>
      <c r="DM7">
        <v>418045</v>
      </c>
      <c r="DN7">
        <v>5.0391699999999998E-2</v>
      </c>
      <c r="DO7">
        <v>21066</v>
      </c>
      <c r="DP7">
        <v>0.3198994</v>
      </c>
      <c r="DQ7">
        <v>6739</v>
      </c>
      <c r="DR7">
        <v>0.20255229999999999</v>
      </c>
      <c r="DS7">
        <v>6739</v>
      </c>
      <c r="DT7">
        <v>0.32927729999999999</v>
      </c>
      <c r="DU7">
        <v>6739</v>
      </c>
      <c r="DV7">
        <v>0.2998961</v>
      </c>
      <c r="DW7">
        <v>6739</v>
      </c>
      <c r="DX7">
        <v>0.16827420000000001</v>
      </c>
      <c r="DY7">
        <v>21066</v>
      </c>
      <c r="DZ7">
        <v>0.68010060000000006</v>
      </c>
      <c r="EA7">
        <v>14327</v>
      </c>
      <c r="EB7">
        <v>0.18007960000000001</v>
      </c>
      <c r="EC7">
        <v>14327</v>
      </c>
      <c r="ED7">
        <v>0.41229850000000001</v>
      </c>
      <c r="EE7">
        <v>14327</v>
      </c>
      <c r="EF7">
        <v>0.2834508</v>
      </c>
      <c r="EG7">
        <v>14327</v>
      </c>
      <c r="EH7">
        <v>0.12417110000000001</v>
      </c>
      <c r="EI7">
        <v>418045</v>
      </c>
      <c r="EJ7">
        <v>0.94960829999999996</v>
      </c>
      <c r="EK7">
        <v>396979</v>
      </c>
      <c r="EL7">
        <v>0.50198379999999998</v>
      </c>
      <c r="EM7">
        <v>199277</v>
      </c>
      <c r="EN7">
        <v>0.10676090000000001</v>
      </c>
      <c r="EO7">
        <v>199277</v>
      </c>
      <c r="EP7">
        <v>0.2662274</v>
      </c>
      <c r="EQ7">
        <v>199277</v>
      </c>
      <c r="ER7">
        <v>0.31045729999999999</v>
      </c>
      <c r="ES7">
        <v>199277</v>
      </c>
      <c r="ET7">
        <v>0.31655430000000001</v>
      </c>
      <c r="EU7">
        <v>396979</v>
      </c>
      <c r="EV7">
        <v>0.49801630000000002</v>
      </c>
      <c r="EW7">
        <v>197702</v>
      </c>
      <c r="EX7">
        <v>9.4627299999999998E-2</v>
      </c>
      <c r="EY7">
        <v>197702</v>
      </c>
      <c r="EZ7">
        <v>0.2675593</v>
      </c>
      <c r="FA7">
        <v>197702</v>
      </c>
      <c r="FB7">
        <v>0.32100329999999999</v>
      </c>
      <c r="FC7">
        <v>197702</v>
      </c>
      <c r="FD7">
        <v>0.31681019999999999</v>
      </c>
      <c r="FE7">
        <v>502020</v>
      </c>
      <c r="FF7">
        <v>5.6838399999999997E-2</v>
      </c>
      <c r="FG7">
        <v>28534</v>
      </c>
      <c r="FH7">
        <v>0.32950170000000001</v>
      </c>
      <c r="FI7">
        <v>9402</v>
      </c>
      <c r="FJ7">
        <v>0.1194427</v>
      </c>
      <c r="FK7">
        <v>9402</v>
      </c>
      <c r="FL7">
        <v>0.43129119999999999</v>
      </c>
      <c r="FM7">
        <v>9402</v>
      </c>
      <c r="FN7">
        <v>0.4492661</v>
      </c>
      <c r="FO7">
        <v>9402</v>
      </c>
      <c r="FP7">
        <v>0.5486067</v>
      </c>
      <c r="FQ7">
        <v>9402</v>
      </c>
      <c r="FR7">
        <v>0.4513933</v>
      </c>
      <c r="FS7">
        <v>5158</v>
      </c>
      <c r="FT7">
        <v>0.70298559999999999</v>
      </c>
      <c r="FU7">
        <v>5158</v>
      </c>
      <c r="FV7">
        <v>0.29701440000000001</v>
      </c>
      <c r="FW7">
        <v>28534</v>
      </c>
      <c r="FX7">
        <v>0.67049840000000005</v>
      </c>
      <c r="FY7">
        <v>19132</v>
      </c>
      <c r="FZ7">
        <v>8.6974700000000002E-2</v>
      </c>
      <c r="GA7">
        <v>19132</v>
      </c>
      <c r="GB7">
        <v>0.38469579999999998</v>
      </c>
      <c r="GC7">
        <v>19132</v>
      </c>
      <c r="GD7">
        <v>0.52832950000000001</v>
      </c>
      <c r="GE7">
        <v>19132</v>
      </c>
      <c r="GF7">
        <v>0.47459750000000001</v>
      </c>
      <c r="GG7">
        <v>19132</v>
      </c>
      <c r="GH7">
        <v>0.52540249999999999</v>
      </c>
      <c r="GI7">
        <v>9080</v>
      </c>
      <c r="GJ7">
        <v>0.69251099999999999</v>
      </c>
      <c r="GK7">
        <v>9080</v>
      </c>
      <c r="GL7">
        <v>0.30748900000000001</v>
      </c>
      <c r="GM7">
        <v>502020</v>
      </c>
      <c r="GN7">
        <v>0.94316160000000004</v>
      </c>
      <c r="GO7">
        <v>473486</v>
      </c>
      <c r="GP7">
        <v>0.50498010000000004</v>
      </c>
      <c r="GQ7">
        <v>239101</v>
      </c>
      <c r="GR7">
        <v>0.628521</v>
      </c>
      <c r="GS7">
        <v>239101</v>
      </c>
      <c r="GT7">
        <v>0.22249179999999999</v>
      </c>
      <c r="GU7">
        <v>239101</v>
      </c>
      <c r="GV7">
        <v>0.14898719999999999</v>
      </c>
      <c r="GW7">
        <v>238948</v>
      </c>
      <c r="GX7">
        <v>0.83473810000000004</v>
      </c>
      <c r="GY7">
        <v>238948</v>
      </c>
      <c r="GZ7">
        <v>0.16526189999999999</v>
      </c>
      <c r="HA7">
        <v>199459</v>
      </c>
      <c r="HB7">
        <v>0.94134130000000005</v>
      </c>
      <c r="HC7">
        <v>199459</v>
      </c>
      <c r="HD7">
        <v>5.8658700000000001E-2</v>
      </c>
      <c r="HE7">
        <v>473486</v>
      </c>
      <c r="HF7">
        <v>0.49501990000000001</v>
      </c>
      <c r="HG7">
        <v>234385</v>
      </c>
      <c r="HH7">
        <v>0.39481620000000001</v>
      </c>
      <c r="HI7">
        <v>234385</v>
      </c>
      <c r="HJ7">
        <v>0.31743070000000001</v>
      </c>
      <c r="HK7">
        <v>234385</v>
      </c>
      <c r="HL7">
        <v>0.28775299999999998</v>
      </c>
      <c r="HM7">
        <v>234300</v>
      </c>
      <c r="HN7">
        <v>0.67587280000000005</v>
      </c>
      <c r="HO7">
        <v>234300</v>
      </c>
      <c r="HP7">
        <v>0.3241272</v>
      </c>
      <c r="HQ7">
        <v>158357</v>
      </c>
      <c r="HR7">
        <v>0.94057729999999995</v>
      </c>
      <c r="HS7">
        <v>158357</v>
      </c>
      <c r="HT7">
        <v>5.9422700000000002E-2</v>
      </c>
      <c r="HU7">
        <v>169152</v>
      </c>
      <c r="HV7">
        <v>8.8399800000000001E-2</v>
      </c>
      <c r="HW7">
        <v>14953</v>
      </c>
      <c r="HX7">
        <v>0.33083659999999998</v>
      </c>
      <c r="HY7">
        <v>4947</v>
      </c>
      <c r="HZ7">
        <v>0.70810589999999995</v>
      </c>
      <c r="IA7">
        <v>4947</v>
      </c>
      <c r="IB7">
        <v>0.70810589999999995</v>
      </c>
      <c r="IC7">
        <v>4947</v>
      </c>
      <c r="ID7">
        <v>0.70810589999999995</v>
      </c>
      <c r="IE7">
        <v>4947</v>
      </c>
      <c r="IF7">
        <v>0.70810589999999995</v>
      </c>
      <c r="IG7">
        <v>4947</v>
      </c>
      <c r="IH7">
        <v>0.29189409999999999</v>
      </c>
      <c r="II7">
        <v>14953</v>
      </c>
      <c r="IJ7">
        <v>0.66916339999999996</v>
      </c>
      <c r="IK7">
        <v>10006</v>
      </c>
      <c r="IL7">
        <v>0.12572459999999999</v>
      </c>
      <c r="IM7">
        <v>1258</v>
      </c>
      <c r="IN7">
        <v>0.86883940000000004</v>
      </c>
      <c r="IO7">
        <v>1093</v>
      </c>
      <c r="IP7">
        <v>0.4693504</v>
      </c>
      <c r="IQ7">
        <v>1093</v>
      </c>
      <c r="IR7">
        <v>0</v>
      </c>
      <c r="IS7">
        <v>1093</v>
      </c>
      <c r="IT7">
        <v>0.53064960000000005</v>
      </c>
      <c r="IU7">
        <v>1258</v>
      </c>
      <c r="IV7">
        <v>0.13116059999999999</v>
      </c>
      <c r="IW7">
        <v>10006</v>
      </c>
      <c r="IX7">
        <v>0.87427540000000004</v>
      </c>
      <c r="IY7">
        <v>8748</v>
      </c>
      <c r="IZ7">
        <v>0.89254690000000003</v>
      </c>
      <c r="JA7">
        <v>7808</v>
      </c>
      <c r="JB7">
        <v>0.27433400000000002</v>
      </c>
      <c r="JC7">
        <v>7808</v>
      </c>
      <c r="JD7">
        <v>0.42174689999999998</v>
      </c>
      <c r="JE7">
        <v>7808</v>
      </c>
      <c r="JF7">
        <v>0.30391899999999999</v>
      </c>
      <c r="JG7">
        <v>8748</v>
      </c>
      <c r="JH7">
        <v>0.1074531</v>
      </c>
      <c r="JI7">
        <v>169152</v>
      </c>
      <c r="JJ7">
        <v>2.6337300000000001E-2</v>
      </c>
      <c r="JK7">
        <v>4455</v>
      </c>
      <c r="JL7">
        <v>0.6343434</v>
      </c>
      <c r="JM7">
        <v>2826</v>
      </c>
      <c r="JN7">
        <v>0.87614999999999998</v>
      </c>
      <c r="JO7">
        <v>2826</v>
      </c>
      <c r="JP7">
        <v>0.87614999999999998</v>
      </c>
      <c r="JQ7">
        <v>2826</v>
      </c>
      <c r="JR7">
        <v>0.87614999999999998</v>
      </c>
      <c r="JS7">
        <v>2826</v>
      </c>
      <c r="JT7">
        <v>0.87614999999999998</v>
      </c>
      <c r="JU7">
        <v>2826</v>
      </c>
      <c r="JV7">
        <v>0.12385</v>
      </c>
      <c r="JW7">
        <v>4455</v>
      </c>
      <c r="JX7">
        <v>0.3656566</v>
      </c>
      <c r="JY7">
        <v>1629</v>
      </c>
      <c r="JZ7">
        <v>0.247391</v>
      </c>
      <c r="KA7">
        <v>403</v>
      </c>
      <c r="KB7">
        <v>0.60794040000000005</v>
      </c>
      <c r="KC7">
        <v>245</v>
      </c>
      <c r="KD7">
        <v>0.1632653</v>
      </c>
      <c r="KE7">
        <v>245</v>
      </c>
      <c r="KF7">
        <v>0</v>
      </c>
      <c r="KG7">
        <v>245</v>
      </c>
      <c r="KH7">
        <v>0.83673470000000005</v>
      </c>
      <c r="KI7">
        <v>403</v>
      </c>
      <c r="KJ7">
        <v>0.39205960000000001</v>
      </c>
      <c r="KK7">
        <v>1629</v>
      </c>
      <c r="KL7">
        <v>0.75260899999999997</v>
      </c>
      <c r="KM7">
        <v>1226</v>
      </c>
      <c r="KN7">
        <v>0.93066879999999996</v>
      </c>
      <c r="KO7">
        <v>1141</v>
      </c>
      <c r="KP7">
        <v>0</v>
      </c>
      <c r="KQ7">
        <v>1141</v>
      </c>
      <c r="KR7">
        <v>0.31288339999999998</v>
      </c>
      <c r="KS7">
        <v>1141</v>
      </c>
      <c r="KT7">
        <v>0.68711659999999997</v>
      </c>
      <c r="KU7">
        <v>1226</v>
      </c>
      <c r="KV7">
        <v>6.9331199999999996E-2</v>
      </c>
      <c r="KW7">
        <v>169152</v>
      </c>
      <c r="KX7">
        <v>3.0735700000000001E-2</v>
      </c>
      <c r="KY7">
        <v>5199</v>
      </c>
      <c r="KZ7">
        <v>0.587036</v>
      </c>
      <c r="LA7">
        <v>3052</v>
      </c>
      <c r="LB7">
        <v>0.68315859999999995</v>
      </c>
      <c r="LC7">
        <v>3052</v>
      </c>
      <c r="LD7">
        <v>0.68315859999999995</v>
      </c>
      <c r="LE7">
        <v>3052</v>
      </c>
      <c r="LF7">
        <v>0.68315859999999995</v>
      </c>
      <c r="LG7">
        <v>3052</v>
      </c>
      <c r="LH7">
        <v>0.68315859999999995</v>
      </c>
      <c r="LI7">
        <v>3052</v>
      </c>
      <c r="LJ7">
        <v>0.3168414</v>
      </c>
      <c r="LK7">
        <v>5199</v>
      </c>
      <c r="LL7">
        <v>0.412964</v>
      </c>
      <c r="LM7">
        <v>2147</v>
      </c>
      <c r="LN7">
        <v>0.50023289999999998</v>
      </c>
      <c r="LO7">
        <v>1074</v>
      </c>
      <c r="LP7">
        <v>1</v>
      </c>
      <c r="LQ7">
        <v>1074</v>
      </c>
      <c r="LR7">
        <v>0.33426440000000002</v>
      </c>
      <c r="LS7">
        <v>1074</v>
      </c>
      <c r="LT7">
        <v>4.1899400000000003E-2</v>
      </c>
      <c r="LU7">
        <v>1074</v>
      </c>
      <c r="LV7">
        <v>0.6238361</v>
      </c>
      <c r="LW7">
        <v>1074</v>
      </c>
      <c r="LX7">
        <v>0</v>
      </c>
      <c r="LY7">
        <v>2147</v>
      </c>
      <c r="LZ7">
        <v>0.49976710000000002</v>
      </c>
      <c r="MA7">
        <v>1073</v>
      </c>
      <c r="MB7">
        <v>0.79310349999999996</v>
      </c>
      <c r="MC7">
        <v>851</v>
      </c>
      <c r="MD7">
        <v>0.2244418</v>
      </c>
      <c r="ME7">
        <v>851</v>
      </c>
      <c r="MF7">
        <v>8.1081100000000003E-2</v>
      </c>
      <c r="MG7">
        <v>851</v>
      </c>
      <c r="MH7">
        <v>0.69447709999999996</v>
      </c>
      <c r="MI7">
        <v>1073</v>
      </c>
      <c r="MJ7">
        <v>0.20689660000000001</v>
      </c>
      <c r="MK7">
        <v>169152</v>
      </c>
      <c r="ML7">
        <v>0.85452729999999999</v>
      </c>
      <c r="MM7">
        <v>144545</v>
      </c>
      <c r="MN7">
        <v>0.86489329999999998</v>
      </c>
      <c r="MO7">
        <v>125016</v>
      </c>
      <c r="MP7">
        <v>0.53879509999999997</v>
      </c>
      <c r="MQ7">
        <v>125016</v>
      </c>
      <c r="MR7">
        <v>0.53879509999999997</v>
      </c>
      <c r="MS7">
        <v>125016</v>
      </c>
      <c r="MT7">
        <v>0.53879509999999997</v>
      </c>
      <c r="MU7">
        <v>125016</v>
      </c>
      <c r="MV7">
        <v>0.53879509999999997</v>
      </c>
      <c r="MW7">
        <v>125016</v>
      </c>
      <c r="MX7">
        <v>0.46120499999999998</v>
      </c>
      <c r="MY7">
        <v>144545</v>
      </c>
      <c r="MZ7">
        <v>0.1351067</v>
      </c>
      <c r="NA7">
        <v>19529</v>
      </c>
      <c r="NB7">
        <v>0.34231139999999999</v>
      </c>
      <c r="NC7">
        <v>6685</v>
      </c>
      <c r="ND7">
        <v>0.44233359999999999</v>
      </c>
      <c r="NE7">
        <v>2957</v>
      </c>
      <c r="NF7">
        <v>0.138654</v>
      </c>
      <c r="NG7">
        <v>2957</v>
      </c>
      <c r="NH7">
        <v>0.15928310000000001</v>
      </c>
      <c r="NI7">
        <v>2957</v>
      </c>
      <c r="NJ7">
        <v>0.70206290000000005</v>
      </c>
      <c r="NK7">
        <v>6685</v>
      </c>
      <c r="NL7">
        <v>0.55766640000000001</v>
      </c>
      <c r="NM7">
        <v>19529</v>
      </c>
      <c r="NN7">
        <v>0.65768859999999996</v>
      </c>
      <c r="NO7">
        <v>12844</v>
      </c>
      <c r="NP7">
        <v>0.65376829999999997</v>
      </c>
      <c r="NQ7">
        <v>8397</v>
      </c>
      <c r="NR7">
        <v>9.3009400000000006E-2</v>
      </c>
      <c r="NS7">
        <v>8397</v>
      </c>
      <c r="NT7">
        <v>0.1012266</v>
      </c>
      <c r="NU7">
        <v>8397</v>
      </c>
      <c r="NV7">
        <v>0.80576400000000004</v>
      </c>
      <c r="NW7">
        <v>12844</v>
      </c>
      <c r="NX7">
        <v>0.34623169999999998</v>
      </c>
    </row>
    <row r="8" spans="1:388" x14ac:dyDescent="0.25">
      <c r="A8" t="s">
        <v>136</v>
      </c>
      <c r="B8">
        <v>2009</v>
      </c>
      <c r="C8">
        <v>1</v>
      </c>
      <c r="D8" t="s">
        <v>541</v>
      </c>
      <c r="E8">
        <v>825870</v>
      </c>
      <c r="F8">
        <v>0.45250829999999997</v>
      </c>
      <c r="G8">
        <v>373713</v>
      </c>
      <c r="H8">
        <v>0.118591</v>
      </c>
      <c r="I8">
        <v>373713</v>
      </c>
      <c r="J8">
        <v>2.4055900000000002E-2</v>
      </c>
      <c r="K8">
        <v>373713</v>
      </c>
      <c r="L8">
        <v>0.1364764</v>
      </c>
      <c r="M8">
        <v>373713</v>
      </c>
      <c r="N8">
        <v>5.47693E-2</v>
      </c>
      <c r="O8">
        <v>373713</v>
      </c>
      <c r="P8">
        <v>2.2404899999999998E-2</v>
      </c>
      <c r="Q8">
        <v>373713</v>
      </c>
      <c r="R8">
        <v>3.8197799999999997E-2</v>
      </c>
      <c r="S8">
        <v>373713</v>
      </c>
      <c r="T8">
        <v>0.13490830000000001</v>
      </c>
      <c r="U8">
        <v>373713</v>
      </c>
      <c r="V8">
        <v>0.13637469999999999</v>
      </c>
      <c r="W8">
        <v>373713</v>
      </c>
      <c r="X8">
        <v>0.10443040000000001</v>
      </c>
      <c r="Y8">
        <v>373713</v>
      </c>
      <c r="Z8">
        <v>9.67026E-2</v>
      </c>
      <c r="AA8">
        <v>373713</v>
      </c>
      <c r="AB8">
        <v>7.0498000000000005E-2</v>
      </c>
      <c r="AC8">
        <v>373713</v>
      </c>
      <c r="AD8">
        <v>3.4285700000000002E-2</v>
      </c>
      <c r="AE8">
        <v>373713</v>
      </c>
      <c r="AF8">
        <v>2.83051E-2</v>
      </c>
      <c r="AG8">
        <v>825870</v>
      </c>
      <c r="AH8">
        <v>0.54749170000000003</v>
      </c>
      <c r="AI8">
        <v>452157</v>
      </c>
      <c r="AJ8">
        <v>9.3186699999999997E-2</v>
      </c>
      <c r="AK8">
        <v>452157</v>
      </c>
      <c r="AL8">
        <v>1.8876199999999999E-2</v>
      </c>
      <c r="AM8">
        <v>452157</v>
      </c>
      <c r="AN8">
        <v>0.1009384</v>
      </c>
      <c r="AO8">
        <v>452157</v>
      </c>
      <c r="AP8">
        <v>5.0385199999999998E-2</v>
      </c>
      <c r="AQ8">
        <v>452157</v>
      </c>
      <c r="AR8">
        <v>1.81441E-2</v>
      </c>
      <c r="AS8">
        <v>452157</v>
      </c>
      <c r="AT8">
        <v>3.2676700000000003E-2</v>
      </c>
      <c r="AU8">
        <v>452157</v>
      </c>
      <c r="AV8">
        <v>0.13320599999999999</v>
      </c>
      <c r="AW8">
        <v>452157</v>
      </c>
      <c r="AX8">
        <v>0.1584052</v>
      </c>
      <c r="AY8">
        <v>452157</v>
      </c>
      <c r="AZ8">
        <v>0.1182642</v>
      </c>
      <c r="BA8">
        <v>452157</v>
      </c>
      <c r="BB8">
        <v>9.8662600000000003E-2</v>
      </c>
      <c r="BC8">
        <v>452157</v>
      </c>
      <c r="BD8">
        <v>7.0864800000000006E-2</v>
      </c>
      <c r="BE8">
        <v>452157</v>
      </c>
      <c r="BF8">
        <v>5.19996E-2</v>
      </c>
      <c r="BG8">
        <v>452157</v>
      </c>
      <c r="BH8">
        <v>5.4390399999999998E-2</v>
      </c>
      <c r="BI8">
        <v>4375209</v>
      </c>
      <c r="BJ8">
        <v>0.49163000000000001</v>
      </c>
      <c r="BK8">
        <v>2150984</v>
      </c>
      <c r="BL8">
        <v>6.8794999999999995E-2</v>
      </c>
      <c r="BM8">
        <v>2150984</v>
      </c>
      <c r="BN8">
        <v>1.0651900000000001E-2</v>
      </c>
      <c r="BO8">
        <v>2150984</v>
      </c>
      <c r="BP8">
        <v>7.2386900000000004E-2</v>
      </c>
      <c r="BQ8">
        <v>2150984</v>
      </c>
      <c r="BR8">
        <v>4.1596300000000003E-2</v>
      </c>
      <c r="BS8">
        <v>2150984</v>
      </c>
      <c r="BT8">
        <v>1.36291E-2</v>
      </c>
      <c r="BU8">
        <v>2150984</v>
      </c>
      <c r="BV8">
        <v>2.5567400000000001E-2</v>
      </c>
      <c r="BW8">
        <v>2150984</v>
      </c>
      <c r="BX8">
        <v>8.64428E-2</v>
      </c>
      <c r="BY8">
        <v>2150984</v>
      </c>
      <c r="BZ8">
        <v>0.1748934</v>
      </c>
      <c r="CA8">
        <v>2150984</v>
      </c>
      <c r="CB8">
        <v>0.15023359999999999</v>
      </c>
      <c r="CC8">
        <v>2150984</v>
      </c>
      <c r="CD8">
        <v>0.14714099999999999</v>
      </c>
      <c r="CE8">
        <v>2150984</v>
      </c>
      <c r="CF8">
        <v>0.1063109</v>
      </c>
      <c r="CG8">
        <v>2150984</v>
      </c>
      <c r="CH8">
        <v>5.8852599999999998E-2</v>
      </c>
      <c r="CI8">
        <v>2150984</v>
      </c>
      <c r="CJ8">
        <v>4.3499200000000002E-2</v>
      </c>
      <c r="CK8">
        <v>4375209</v>
      </c>
      <c r="CL8">
        <v>0.50836999999999999</v>
      </c>
      <c r="CM8">
        <v>2224225</v>
      </c>
      <c r="CN8">
        <v>6.4186400000000005E-2</v>
      </c>
      <c r="CO8">
        <v>2224225</v>
      </c>
      <c r="CP8">
        <v>1.04288E-2</v>
      </c>
      <c r="CQ8">
        <v>2224225</v>
      </c>
      <c r="CR8">
        <v>6.8811399999999995E-2</v>
      </c>
      <c r="CS8">
        <v>2224225</v>
      </c>
      <c r="CT8">
        <v>3.6233300000000003E-2</v>
      </c>
      <c r="CU8">
        <v>2224225</v>
      </c>
      <c r="CV8">
        <v>1.21782E-2</v>
      </c>
      <c r="CW8">
        <v>2224225</v>
      </c>
      <c r="CX8">
        <v>2.3978200000000002E-2</v>
      </c>
      <c r="CY8">
        <v>2224225</v>
      </c>
      <c r="CZ8">
        <v>7.9455100000000001E-2</v>
      </c>
      <c r="DA8">
        <v>2224225</v>
      </c>
      <c r="DB8">
        <v>0.1615606</v>
      </c>
      <c r="DC8">
        <v>2224225</v>
      </c>
      <c r="DD8">
        <v>0.1402767</v>
      </c>
      <c r="DE8">
        <v>2224225</v>
      </c>
      <c r="DF8">
        <v>0.14695910000000001</v>
      </c>
      <c r="DG8">
        <v>2224225</v>
      </c>
      <c r="DH8">
        <v>0.1168106</v>
      </c>
      <c r="DI8">
        <v>2224225</v>
      </c>
      <c r="DJ8">
        <v>6.9980299999999995E-2</v>
      </c>
      <c r="DK8">
        <v>2224225</v>
      </c>
      <c r="DL8">
        <v>6.9141400000000006E-2</v>
      </c>
      <c r="DM8">
        <v>3457870</v>
      </c>
      <c r="DN8">
        <v>0.1231174</v>
      </c>
      <c r="DO8">
        <v>425724</v>
      </c>
      <c r="DP8">
        <v>0.41310330000000001</v>
      </c>
      <c r="DQ8">
        <v>175868</v>
      </c>
      <c r="DR8">
        <v>0.34656100000000001</v>
      </c>
      <c r="DS8">
        <v>175868</v>
      </c>
      <c r="DT8">
        <v>0.27533150000000001</v>
      </c>
      <c r="DU8">
        <v>175868</v>
      </c>
      <c r="DV8">
        <v>0.22839860000000001</v>
      </c>
      <c r="DW8">
        <v>175868</v>
      </c>
      <c r="DX8">
        <v>0.14970890000000001</v>
      </c>
      <c r="DY8">
        <v>425724</v>
      </c>
      <c r="DZ8">
        <v>0.58689670000000005</v>
      </c>
      <c r="EA8">
        <v>249856</v>
      </c>
      <c r="EB8">
        <v>0.32126100000000002</v>
      </c>
      <c r="EC8">
        <v>249856</v>
      </c>
      <c r="ED8">
        <v>0.29881609999999997</v>
      </c>
      <c r="EE8">
        <v>249856</v>
      </c>
      <c r="EF8">
        <v>0.25518299999999999</v>
      </c>
      <c r="EG8">
        <v>249856</v>
      </c>
      <c r="EH8">
        <v>0.1247398</v>
      </c>
      <c r="EI8">
        <v>3457870</v>
      </c>
      <c r="EJ8">
        <v>0.87688259999999996</v>
      </c>
      <c r="EK8">
        <v>3032146</v>
      </c>
      <c r="EL8">
        <v>0.48304770000000002</v>
      </c>
      <c r="EM8">
        <v>1464671</v>
      </c>
      <c r="EN8">
        <v>0.14721049999999999</v>
      </c>
      <c r="EO8">
        <v>1464671</v>
      </c>
      <c r="EP8">
        <v>0.24205370000000001</v>
      </c>
      <c r="EQ8">
        <v>1464671</v>
      </c>
      <c r="ER8">
        <v>0.24779970000000001</v>
      </c>
      <c r="ES8">
        <v>1464671</v>
      </c>
      <c r="ET8">
        <v>0.36293609999999998</v>
      </c>
      <c r="EU8">
        <v>3032146</v>
      </c>
      <c r="EV8">
        <v>0.51695230000000003</v>
      </c>
      <c r="EW8">
        <v>1567475</v>
      </c>
      <c r="EX8">
        <v>0.13020180000000001</v>
      </c>
      <c r="EY8">
        <v>1567475</v>
      </c>
      <c r="EZ8">
        <v>0.22550220000000001</v>
      </c>
      <c r="FA8">
        <v>1567475</v>
      </c>
      <c r="FB8">
        <v>0.27057340000000002</v>
      </c>
      <c r="FC8">
        <v>1567475</v>
      </c>
      <c r="FD8">
        <v>0.37372270000000002</v>
      </c>
      <c r="FE8">
        <v>4068558</v>
      </c>
      <c r="FF8">
        <v>0.13897329999999999</v>
      </c>
      <c r="FG8">
        <v>565421</v>
      </c>
      <c r="FH8">
        <v>0.42545290000000002</v>
      </c>
      <c r="FI8">
        <v>240560</v>
      </c>
      <c r="FJ8">
        <v>0.1041445</v>
      </c>
      <c r="FK8">
        <v>240560</v>
      </c>
      <c r="FL8">
        <v>0.29323660000000001</v>
      </c>
      <c r="FM8">
        <v>240560</v>
      </c>
      <c r="FN8">
        <v>0.60261889999999996</v>
      </c>
      <c r="FO8">
        <v>240560</v>
      </c>
      <c r="FP8">
        <v>0.46758810000000001</v>
      </c>
      <c r="FQ8">
        <v>240560</v>
      </c>
      <c r="FR8">
        <v>0.53241190000000005</v>
      </c>
      <c r="FS8">
        <v>112483</v>
      </c>
      <c r="FT8">
        <v>0.61318600000000001</v>
      </c>
      <c r="FU8">
        <v>112483</v>
      </c>
      <c r="FV8">
        <v>0.38681399999999999</v>
      </c>
      <c r="FW8">
        <v>565421</v>
      </c>
      <c r="FX8">
        <v>0.57454709999999998</v>
      </c>
      <c r="FY8">
        <v>324861</v>
      </c>
      <c r="FZ8">
        <v>6.5464900000000006E-2</v>
      </c>
      <c r="GA8">
        <v>324861</v>
      </c>
      <c r="GB8">
        <v>0.28719670000000003</v>
      </c>
      <c r="GC8">
        <v>324861</v>
      </c>
      <c r="GD8">
        <v>0.64733839999999998</v>
      </c>
      <c r="GE8">
        <v>324861</v>
      </c>
      <c r="GF8">
        <v>0.39983869999999999</v>
      </c>
      <c r="GG8">
        <v>324861</v>
      </c>
      <c r="GH8">
        <v>0.60016130000000001</v>
      </c>
      <c r="GI8">
        <v>129892</v>
      </c>
      <c r="GJ8">
        <v>0.63106269999999998</v>
      </c>
      <c r="GK8">
        <v>129892</v>
      </c>
      <c r="GL8">
        <v>0.36893730000000002</v>
      </c>
      <c r="GM8">
        <v>4068558</v>
      </c>
      <c r="GN8">
        <v>0.86102670000000003</v>
      </c>
      <c r="GO8">
        <v>3503137</v>
      </c>
      <c r="GP8">
        <v>0.4868788</v>
      </c>
      <c r="GQ8">
        <v>1705603</v>
      </c>
      <c r="GR8">
        <v>0.53520129999999999</v>
      </c>
      <c r="GS8">
        <v>1705603</v>
      </c>
      <c r="GT8">
        <v>0.23736119999999999</v>
      </c>
      <c r="GU8">
        <v>1705603</v>
      </c>
      <c r="GV8">
        <v>0.22743749999999999</v>
      </c>
      <c r="GW8">
        <v>1702907</v>
      </c>
      <c r="GX8">
        <v>0.77534179999999997</v>
      </c>
      <c r="GY8">
        <v>1702907</v>
      </c>
      <c r="GZ8">
        <v>0.2246582</v>
      </c>
      <c r="HA8">
        <v>1320335</v>
      </c>
      <c r="HB8">
        <v>0.88999079999999997</v>
      </c>
      <c r="HC8">
        <v>1320335</v>
      </c>
      <c r="HD8">
        <v>0.1100092</v>
      </c>
      <c r="HE8">
        <v>3503137</v>
      </c>
      <c r="HF8">
        <v>0.51312120000000006</v>
      </c>
      <c r="HG8">
        <v>1797534</v>
      </c>
      <c r="HH8">
        <v>0.41937730000000001</v>
      </c>
      <c r="HI8">
        <v>1797534</v>
      </c>
      <c r="HJ8">
        <v>0.2545888</v>
      </c>
      <c r="HK8">
        <v>1797534</v>
      </c>
      <c r="HL8">
        <v>0.32603389999999999</v>
      </c>
      <c r="HM8">
        <v>1797118</v>
      </c>
      <c r="HN8">
        <v>0.66335770000000005</v>
      </c>
      <c r="HO8">
        <v>1797118</v>
      </c>
      <c r="HP8">
        <v>0.33664230000000001</v>
      </c>
      <c r="HQ8">
        <v>1192132</v>
      </c>
      <c r="HR8">
        <v>0.91646810000000001</v>
      </c>
      <c r="HS8">
        <v>1192132</v>
      </c>
      <c r="HT8">
        <v>8.3531900000000006E-2</v>
      </c>
      <c r="HU8">
        <v>1185225</v>
      </c>
      <c r="HV8">
        <v>0.17636650000000001</v>
      </c>
      <c r="HW8">
        <v>209034</v>
      </c>
      <c r="HX8">
        <v>0.36664849999999999</v>
      </c>
      <c r="HY8">
        <v>76642</v>
      </c>
      <c r="HZ8">
        <v>0.71592599999999995</v>
      </c>
      <c r="IA8">
        <v>76642</v>
      </c>
      <c r="IB8">
        <v>0.71592599999999995</v>
      </c>
      <c r="IC8">
        <v>76642</v>
      </c>
      <c r="ID8">
        <v>0.71592599999999995</v>
      </c>
      <c r="IE8">
        <v>76642</v>
      </c>
      <c r="IF8">
        <v>0.71592599999999995</v>
      </c>
      <c r="IG8">
        <v>76642</v>
      </c>
      <c r="IH8">
        <v>0.28407399999999999</v>
      </c>
      <c r="II8">
        <v>209034</v>
      </c>
      <c r="IJ8">
        <v>0.63335149999999996</v>
      </c>
      <c r="IK8">
        <v>132392</v>
      </c>
      <c r="IL8">
        <v>0.17630970000000001</v>
      </c>
      <c r="IM8">
        <v>23342</v>
      </c>
      <c r="IN8">
        <v>0.72834379999999999</v>
      </c>
      <c r="IO8">
        <v>17001</v>
      </c>
      <c r="IP8">
        <v>0.22092819999999999</v>
      </c>
      <c r="IQ8">
        <v>17001</v>
      </c>
      <c r="IR8">
        <v>0.3402153</v>
      </c>
      <c r="IS8">
        <v>17001</v>
      </c>
      <c r="IT8">
        <v>0.43885649999999998</v>
      </c>
      <c r="IU8">
        <v>23342</v>
      </c>
      <c r="IV8">
        <v>0.27165620000000001</v>
      </c>
      <c r="IW8">
        <v>132392</v>
      </c>
      <c r="IX8">
        <v>0.82369020000000004</v>
      </c>
      <c r="IY8">
        <v>109050</v>
      </c>
      <c r="IZ8">
        <v>0.83159099999999997</v>
      </c>
      <c r="JA8">
        <v>90685</v>
      </c>
      <c r="JB8">
        <v>0.13685839999999999</v>
      </c>
      <c r="JC8">
        <v>90685</v>
      </c>
      <c r="JD8">
        <v>0.28966199999999998</v>
      </c>
      <c r="JE8">
        <v>90685</v>
      </c>
      <c r="JF8">
        <v>0.57347970000000004</v>
      </c>
      <c r="JG8">
        <v>109050</v>
      </c>
      <c r="JH8">
        <v>0.168409</v>
      </c>
      <c r="JI8">
        <v>1185225</v>
      </c>
      <c r="JJ8">
        <v>3.3672100000000003E-2</v>
      </c>
      <c r="JK8">
        <v>39909</v>
      </c>
      <c r="JL8">
        <v>0.53975300000000004</v>
      </c>
      <c r="JM8">
        <v>21541</v>
      </c>
      <c r="JN8">
        <v>0.7423054</v>
      </c>
      <c r="JO8">
        <v>21541</v>
      </c>
      <c r="JP8">
        <v>0.7423054</v>
      </c>
      <c r="JQ8">
        <v>21541</v>
      </c>
      <c r="JR8">
        <v>0.7423054</v>
      </c>
      <c r="JS8">
        <v>21541</v>
      </c>
      <c r="JT8">
        <v>0.7423054</v>
      </c>
      <c r="JU8">
        <v>21541</v>
      </c>
      <c r="JV8">
        <v>0.2576946</v>
      </c>
      <c r="JW8">
        <v>39909</v>
      </c>
      <c r="JX8">
        <v>0.46024710000000002</v>
      </c>
      <c r="JY8">
        <v>18368</v>
      </c>
      <c r="JZ8">
        <v>0.20900479999999999</v>
      </c>
      <c r="KA8">
        <v>3839</v>
      </c>
      <c r="KB8">
        <v>0.56499089999999996</v>
      </c>
      <c r="KC8">
        <v>2169</v>
      </c>
      <c r="KD8">
        <v>0.17796219999999999</v>
      </c>
      <c r="KE8">
        <v>2169</v>
      </c>
      <c r="KF8">
        <v>0.17565700000000001</v>
      </c>
      <c r="KG8">
        <v>2169</v>
      </c>
      <c r="KH8">
        <v>0.64638079999999998</v>
      </c>
      <c r="KI8">
        <v>3839</v>
      </c>
      <c r="KJ8">
        <v>0.43500909999999998</v>
      </c>
      <c r="KK8">
        <v>18368</v>
      </c>
      <c r="KL8">
        <v>0.79099520000000001</v>
      </c>
      <c r="KM8">
        <v>14529</v>
      </c>
      <c r="KN8">
        <v>0.8039094</v>
      </c>
      <c r="KO8">
        <v>11680</v>
      </c>
      <c r="KP8">
        <v>0.153339</v>
      </c>
      <c r="KQ8">
        <v>11680</v>
      </c>
      <c r="KR8">
        <v>0.26010270000000002</v>
      </c>
      <c r="KS8">
        <v>11680</v>
      </c>
      <c r="KT8">
        <v>0.58655820000000003</v>
      </c>
      <c r="KU8">
        <v>14529</v>
      </c>
      <c r="KV8">
        <v>0.1960906</v>
      </c>
      <c r="KW8">
        <v>1185225</v>
      </c>
      <c r="KX8">
        <v>5.6314999999999997E-2</v>
      </c>
      <c r="KY8">
        <v>66746</v>
      </c>
      <c r="KZ8">
        <v>0.56172659999999996</v>
      </c>
      <c r="LA8">
        <v>37493</v>
      </c>
      <c r="LB8">
        <v>0.63134449999999998</v>
      </c>
      <c r="LC8">
        <v>37493</v>
      </c>
      <c r="LD8">
        <v>0.63134449999999998</v>
      </c>
      <c r="LE8">
        <v>37493</v>
      </c>
      <c r="LF8">
        <v>0.63134449999999998</v>
      </c>
      <c r="LG8">
        <v>37493</v>
      </c>
      <c r="LH8">
        <v>0.63134449999999998</v>
      </c>
      <c r="LI8">
        <v>37493</v>
      </c>
      <c r="LJ8">
        <v>0.36865550000000002</v>
      </c>
      <c r="LK8">
        <v>66746</v>
      </c>
      <c r="LL8">
        <v>0.43827349999999998</v>
      </c>
      <c r="LM8">
        <v>29253</v>
      </c>
      <c r="LN8">
        <v>0.193963</v>
      </c>
      <c r="LO8">
        <v>5674</v>
      </c>
      <c r="LP8">
        <v>0.68699330000000003</v>
      </c>
      <c r="LQ8">
        <v>3898</v>
      </c>
      <c r="LR8">
        <v>0.16110830000000001</v>
      </c>
      <c r="LS8">
        <v>3898</v>
      </c>
      <c r="LT8">
        <v>0.21549509999999999</v>
      </c>
      <c r="LU8">
        <v>3898</v>
      </c>
      <c r="LV8">
        <v>0.62339659999999997</v>
      </c>
      <c r="LW8">
        <v>5674</v>
      </c>
      <c r="LX8">
        <v>0.31300670000000003</v>
      </c>
      <c r="LY8">
        <v>29253</v>
      </c>
      <c r="LZ8">
        <v>0.806037</v>
      </c>
      <c r="MA8">
        <v>23579</v>
      </c>
      <c r="MB8">
        <v>0.68862120000000004</v>
      </c>
      <c r="MC8">
        <v>16237</v>
      </c>
      <c r="MD8">
        <v>0.18630289999999999</v>
      </c>
      <c r="ME8">
        <v>16237</v>
      </c>
      <c r="MF8">
        <v>0.2331712</v>
      </c>
      <c r="MG8">
        <v>16237</v>
      </c>
      <c r="MH8">
        <v>0.58052590000000004</v>
      </c>
      <c r="MI8">
        <v>23579</v>
      </c>
      <c r="MJ8">
        <v>0.31137880000000001</v>
      </c>
      <c r="MK8">
        <v>1185225</v>
      </c>
      <c r="ML8">
        <v>0.73364629999999997</v>
      </c>
      <c r="MM8">
        <v>869536</v>
      </c>
      <c r="MN8">
        <v>0.76382119999999998</v>
      </c>
      <c r="MO8">
        <v>664170</v>
      </c>
      <c r="MP8">
        <v>0.4394267</v>
      </c>
      <c r="MQ8">
        <v>664170</v>
      </c>
      <c r="MR8">
        <v>0.4394267</v>
      </c>
      <c r="MS8">
        <v>664170</v>
      </c>
      <c r="MT8">
        <v>0.4394267</v>
      </c>
      <c r="MU8">
        <v>664170</v>
      </c>
      <c r="MV8">
        <v>0.4394267</v>
      </c>
      <c r="MW8">
        <v>664170</v>
      </c>
      <c r="MX8">
        <v>0.56057330000000005</v>
      </c>
      <c r="MY8">
        <v>869536</v>
      </c>
      <c r="MZ8">
        <v>0.23617879999999999</v>
      </c>
      <c r="NA8">
        <v>205366</v>
      </c>
      <c r="NB8">
        <v>0.29384120000000002</v>
      </c>
      <c r="NC8">
        <v>60345</v>
      </c>
      <c r="ND8">
        <v>0.39749770000000001</v>
      </c>
      <c r="NE8">
        <v>23987</v>
      </c>
      <c r="NF8">
        <v>0.25876519999999997</v>
      </c>
      <c r="NG8">
        <v>23987</v>
      </c>
      <c r="NH8">
        <v>0.1209822</v>
      </c>
      <c r="NI8">
        <v>23987</v>
      </c>
      <c r="NJ8">
        <v>0.62025260000000004</v>
      </c>
      <c r="NK8">
        <v>60345</v>
      </c>
      <c r="NL8">
        <v>0.60250230000000005</v>
      </c>
      <c r="NM8">
        <v>205366</v>
      </c>
      <c r="NN8">
        <v>0.70615879999999998</v>
      </c>
      <c r="NO8">
        <v>145021</v>
      </c>
      <c r="NP8">
        <v>0.48380580000000001</v>
      </c>
      <c r="NQ8">
        <v>70162</v>
      </c>
      <c r="NR8">
        <v>0.14768680000000001</v>
      </c>
      <c r="NS8">
        <v>70162</v>
      </c>
      <c r="NT8">
        <v>0.1083635</v>
      </c>
      <c r="NU8">
        <v>70162</v>
      </c>
      <c r="NV8">
        <v>0.74394970000000005</v>
      </c>
      <c r="NW8">
        <v>145021</v>
      </c>
      <c r="NX8">
        <v>0.51619420000000005</v>
      </c>
    </row>
    <row r="9" spans="1:388" x14ac:dyDescent="0.25">
      <c r="A9" t="s">
        <v>135</v>
      </c>
      <c r="B9">
        <v>2009</v>
      </c>
      <c r="C9">
        <v>1</v>
      </c>
      <c r="D9" t="s">
        <v>542</v>
      </c>
      <c r="E9">
        <v>59459</v>
      </c>
      <c r="F9">
        <v>0.44637480000000002</v>
      </c>
      <c r="G9">
        <v>26541</v>
      </c>
      <c r="H9">
        <v>0.1489771</v>
      </c>
      <c r="I9">
        <v>26541</v>
      </c>
      <c r="J9">
        <v>2.5733800000000001E-2</v>
      </c>
      <c r="K9">
        <v>26541</v>
      </c>
      <c r="L9">
        <v>8.6696099999999998E-2</v>
      </c>
      <c r="M9">
        <v>26541</v>
      </c>
      <c r="N9">
        <v>6.4843100000000001E-2</v>
      </c>
      <c r="O9">
        <v>26541</v>
      </c>
      <c r="P9">
        <v>2.1475999999999999E-3</v>
      </c>
      <c r="Q9">
        <v>26541</v>
      </c>
      <c r="R9">
        <v>3.3307000000000003E-2</v>
      </c>
      <c r="S9">
        <v>26541</v>
      </c>
      <c r="T9">
        <v>0.1790437</v>
      </c>
      <c r="U9">
        <v>26541</v>
      </c>
      <c r="V9">
        <v>0.13989679999999999</v>
      </c>
      <c r="W9">
        <v>26541</v>
      </c>
      <c r="X9">
        <v>0.13545080000000001</v>
      </c>
      <c r="Y9">
        <v>26541</v>
      </c>
      <c r="Z9">
        <v>7.6071E-2</v>
      </c>
      <c r="AA9">
        <v>26541</v>
      </c>
      <c r="AB9">
        <v>4.6682500000000002E-2</v>
      </c>
      <c r="AC9">
        <v>26541</v>
      </c>
      <c r="AD9">
        <v>2.4904900000000001E-2</v>
      </c>
      <c r="AE9">
        <v>26541</v>
      </c>
      <c r="AF9">
        <v>3.6245800000000002E-2</v>
      </c>
      <c r="AG9">
        <v>59459</v>
      </c>
      <c r="AH9">
        <v>0.55362520000000004</v>
      </c>
      <c r="AI9">
        <v>32918</v>
      </c>
      <c r="AJ9">
        <v>8.6457300000000001E-2</v>
      </c>
      <c r="AK9">
        <v>32918</v>
      </c>
      <c r="AL9">
        <v>3.2292399999999999E-2</v>
      </c>
      <c r="AM9">
        <v>32918</v>
      </c>
      <c r="AN9">
        <v>0.12798470000000001</v>
      </c>
      <c r="AO9">
        <v>32918</v>
      </c>
      <c r="AP9">
        <v>3.3264500000000002E-2</v>
      </c>
      <c r="AQ9">
        <v>32918</v>
      </c>
      <c r="AR9">
        <v>8.2021999999999998E-3</v>
      </c>
      <c r="AS9">
        <v>32918</v>
      </c>
      <c r="AT9">
        <v>4.5598199999999998E-2</v>
      </c>
      <c r="AU9">
        <v>32918</v>
      </c>
      <c r="AV9">
        <v>0.1482472</v>
      </c>
      <c r="AW9">
        <v>32918</v>
      </c>
      <c r="AX9">
        <v>0.1503129</v>
      </c>
      <c r="AY9">
        <v>32918</v>
      </c>
      <c r="AZ9">
        <v>0.15280389999999999</v>
      </c>
      <c r="BA9">
        <v>32918</v>
      </c>
      <c r="BB9">
        <v>8.9768500000000001E-2</v>
      </c>
      <c r="BC9">
        <v>32918</v>
      </c>
      <c r="BD9">
        <v>4.4474100000000003E-2</v>
      </c>
      <c r="BE9">
        <v>32918</v>
      </c>
      <c r="BF9">
        <v>2.5700199999999999E-2</v>
      </c>
      <c r="BG9">
        <v>32918</v>
      </c>
      <c r="BH9">
        <v>5.4893999999999998E-2</v>
      </c>
      <c r="BI9">
        <v>854705</v>
      </c>
      <c r="BJ9">
        <v>0.50094240000000001</v>
      </c>
      <c r="BK9">
        <v>428158</v>
      </c>
      <c r="BL9">
        <v>6.0811700000000003E-2</v>
      </c>
      <c r="BM9">
        <v>428158</v>
      </c>
      <c r="BN9">
        <v>1.29462E-2</v>
      </c>
      <c r="BO9">
        <v>428158</v>
      </c>
      <c r="BP9">
        <v>8.6022000000000001E-2</v>
      </c>
      <c r="BQ9">
        <v>428158</v>
      </c>
      <c r="BR9">
        <v>4.3068200000000001E-2</v>
      </c>
      <c r="BS9">
        <v>428158</v>
      </c>
      <c r="BT9">
        <v>1.69844E-2</v>
      </c>
      <c r="BU9">
        <v>428158</v>
      </c>
      <c r="BV9">
        <v>2.8701999999999998E-2</v>
      </c>
      <c r="BW9">
        <v>428158</v>
      </c>
      <c r="BX9">
        <v>8.7122000000000005E-2</v>
      </c>
      <c r="BY9">
        <v>428158</v>
      </c>
      <c r="BZ9">
        <v>0.12860669999999999</v>
      </c>
      <c r="CA9">
        <v>428158</v>
      </c>
      <c r="CB9">
        <v>0.1503651</v>
      </c>
      <c r="CC9">
        <v>428158</v>
      </c>
      <c r="CD9">
        <v>0.1689283</v>
      </c>
      <c r="CE9">
        <v>428158</v>
      </c>
      <c r="CF9">
        <v>0.1187482</v>
      </c>
      <c r="CG9">
        <v>428158</v>
      </c>
      <c r="CH9">
        <v>6.0447300000000002E-2</v>
      </c>
      <c r="CI9">
        <v>428158</v>
      </c>
      <c r="CJ9">
        <v>3.72479E-2</v>
      </c>
      <c r="CK9">
        <v>854705</v>
      </c>
      <c r="CL9">
        <v>0.49905759999999999</v>
      </c>
      <c r="CM9">
        <v>426547</v>
      </c>
      <c r="CN9">
        <v>6.1430499999999999E-2</v>
      </c>
      <c r="CO9">
        <v>426547</v>
      </c>
      <c r="CP9">
        <v>1.3093499999999999E-2</v>
      </c>
      <c r="CQ9">
        <v>426547</v>
      </c>
      <c r="CR9">
        <v>7.4864E-2</v>
      </c>
      <c r="CS9">
        <v>426547</v>
      </c>
      <c r="CT9">
        <v>4.5092300000000002E-2</v>
      </c>
      <c r="CU9">
        <v>426547</v>
      </c>
      <c r="CV9">
        <v>1.6521000000000001E-2</v>
      </c>
      <c r="CW9">
        <v>426547</v>
      </c>
      <c r="CX9">
        <v>2.7502200000000001E-2</v>
      </c>
      <c r="CY9">
        <v>426547</v>
      </c>
      <c r="CZ9">
        <v>7.7684299999999998E-2</v>
      </c>
      <c r="DA9">
        <v>426547</v>
      </c>
      <c r="DB9">
        <v>0.11576450000000001</v>
      </c>
      <c r="DC9">
        <v>426547</v>
      </c>
      <c r="DD9">
        <v>0.14291509999999999</v>
      </c>
      <c r="DE9">
        <v>426547</v>
      </c>
      <c r="DF9">
        <v>0.17488580000000001</v>
      </c>
      <c r="DG9">
        <v>426547</v>
      </c>
      <c r="DH9">
        <v>0.1251023</v>
      </c>
      <c r="DI9">
        <v>426547</v>
      </c>
      <c r="DJ9">
        <v>6.5765299999999999E-2</v>
      </c>
      <c r="DK9">
        <v>426547</v>
      </c>
      <c r="DL9">
        <v>5.93792E-2</v>
      </c>
      <c r="DM9">
        <v>605361</v>
      </c>
      <c r="DN9">
        <v>4.8300099999999999E-2</v>
      </c>
      <c r="DO9">
        <v>29239</v>
      </c>
      <c r="DP9">
        <v>0.41687469999999999</v>
      </c>
      <c r="DQ9">
        <v>12189</v>
      </c>
      <c r="DR9">
        <v>0.2115842</v>
      </c>
      <c r="DS9">
        <v>12189</v>
      </c>
      <c r="DT9">
        <v>0.25719910000000001</v>
      </c>
      <c r="DU9">
        <v>12189</v>
      </c>
      <c r="DV9">
        <v>0.30937730000000002</v>
      </c>
      <c r="DW9">
        <v>12189</v>
      </c>
      <c r="DX9">
        <v>0.22183939999999999</v>
      </c>
      <c r="DY9">
        <v>29239</v>
      </c>
      <c r="DZ9">
        <v>0.58312529999999996</v>
      </c>
      <c r="EA9">
        <v>17050</v>
      </c>
      <c r="EB9">
        <v>0.27659820000000002</v>
      </c>
      <c r="EC9">
        <v>17050</v>
      </c>
      <c r="ED9">
        <v>0.25395889999999999</v>
      </c>
      <c r="EE9">
        <v>17050</v>
      </c>
      <c r="EF9">
        <v>0.30093839999999999</v>
      </c>
      <c r="EG9">
        <v>17050</v>
      </c>
      <c r="EH9">
        <v>0.1685044</v>
      </c>
      <c r="EI9">
        <v>605361</v>
      </c>
      <c r="EJ9">
        <v>0.95169990000000004</v>
      </c>
      <c r="EK9">
        <v>576122</v>
      </c>
      <c r="EL9">
        <v>0.49372179999999999</v>
      </c>
      <c r="EM9">
        <v>284444</v>
      </c>
      <c r="EN9">
        <v>8.0648600000000001E-2</v>
      </c>
      <c r="EO9">
        <v>284444</v>
      </c>
      <c r="EP9">
        <v>0.17847450000000001</v>
      </c>
      <c r="EQ9">
        <v>284444</v>
      </c>
      <c r="ER9">
        <v>0.2569188</v>
      </c>
      <c r="ES9">
        <v>284444</v>
      </c>
      <c r="ET9">
        <v>0.48395820000000001</v>
      </c>
      <c r="EU9">
        <v>576122</v>
      </c>
      <c r="EV9">
        <v>0.50627820000000001</v>
      </c>
      <c r="EW9">
        <v>291678</v>
      </c>
      <c r="EX9">
        <v>6.40569E-2</v>
      </c>
      <c r="EY9">
        <v>291678</v>
      </c>
      <c r="EZ9">
        <v>0.19604840000000001</v>
      </c>
      <c r="FA9">
        <v>291678</v>
      </c>
      <c r="FB9">
        <v>0.2846186</v>
      </c>
      <c r="FC9">
        <v>291678</v>
      </c>
      <c r="FD9">
        <v>0.45527600000000001</v>
      </c>
      <c r="FE9">
        <v>711836</v>
      </c>
      <c r="FF9">
        <v>5.79572E-2</v>
      </c>
      <c r="FG9">
        <v>41256</v>
      </c>
      <c r="FH9">
        <v>0.43205840000000001</v>
      </c>
      <c r="FI9">
        <v>17825</v>
      </c>
      <c r="FJ9">
        <v>8.1570799999999999E-2</v>
      </c>
      <c r="FK9">
        <v>17825</v>
      </c>
      <c r="FL9">
        <v>0.52785409999999999</v>
      </c>
      <c r="FM9">
        <v>17825</v>
      </c>
      <c r="FN9">
        <v>0.39057500000000001</v>
      </c>
      <c r="FO9">
        <v>17825</v>
      </c>
      <c r="FP9">
        <v>0.65699859999999999</v>
      </c>
      <c r="FQ9">
        <v>17825</v>
      </c>
      <c r="FR9">
        <v>0.34300140000000001</v>
      </c>
      <c r="FS9">
        <v>11711</v>
      </c>
      <c r="FT9">
        <v>0.58679870000000001</v>
      </c>
      <c r="FU9">
        <v>11711</v>
      </c>
      <c r="FV9">
        <v>0.41320129999999999</v>
      </c>
      <c r="FW9">
        <v>41256</v>
      </c>
      <c r="FX9">
        <v>0.56794160000000005</v>
      </c>
      <c r="FY9">
        <v>23431</v>
      </c>
      <c r="FZ9">
        <v>8.1601300000000002E-2</v>
      </c>
      <c r="GA9">
        <v>23431</v>
      </c>
      <c r="GB9">
        <v>0.39469080000000001</v>
      </c>
      <c r="GC9">
        <v>23431</v>
      </c>
      <c r="GD9">
        <v>0.5237079</v>
      </c>
      <c r="GE9">
        <v>23431</v>
      </c>
      <c r="GF9">
        <v>0.52255560000000001</v>
      </c>
      <c r="GG9">
        <v>23431</v>
      </c>
      <c r="GH9">
        <v>0.47744439999999999</v>
      </c>
      <c r="GI9">
        <v>12244</v>
      </c>
      <c r="GJ9">
        <v>0.63884350000000001</v>
      </c>
      <c r="GK9">
        <v>12244</v>
      </c>
      <c r="GL9">
        <v>0.36115649999999999</v>
      </c>
      <c r="GM9">
        <v>711836</v>
      </c>
      <c r="GN9">
        <v>0.94204279999999996</v>
      </c>
      <c r="GO9">
        <v>670580</v>
      </c>
      <c r="GP9">
        <v>0.49812849999999997</v>
      </c>
      <c r="GQ9">
        <v>334035</v>
      </c>
      <c r="GR9">
        <v>0.56862310000000005</v>
      </c>
      <c r="GS9">
        <v>334035</v>
      </c>
      <c r="GT9">
        <v>0.26093670000000002</v>
      </c>
      <c r="GU9">
        <v>334035</v>
      </c>
      <c r="GV9">
        <v>0.17044019999999999</v>
      </c>
      <c r="GW9">
        <v>333515</v>
      </c>
      <c r="GX9">
        <v>0.80937590000000004</v>
      </c>
      <c r="GY9">
        <v>333515</v>
      </c>
      <c r="GZ9">
        <v>0.19062409999999999</v>
      </c>
      <c r="HA9">
        <v>269939</v>
      </c>
      <c r="HB9">
        <v>0.90809770000000001</v>
      </c>
      <c r="HC9">
        <v>269939</v>
      </c>
      <c r="HD9">
        <v>9.1902200000000003E-2</v>
      </c>
      <c r="HE9">
        <v>670580</v>
      </c>
      <c r="HF9">
        <v>0.50187150000000003</v>
      </c>
      <c r="HG9">
        <v>336545</v>
      </c>
      <c r="HH9">
        <v>0.38733899999999999</v>
      </c>
      <c r="HI9">
        <v>336545</v>
      </c>
      <c r="HJ9">
        <v>0.30267270000000002</v>
      </c>
      <c r="HK9">
        <v>336545</v>
      </c>
      <c r="HL9">
        <v>0.30998829999999999</v>
      </c>
      <c r="HM9">
        <v>336207</v>
      </c>
      <c r="HN9">
        <v>0.66786239999999997</v>
      </c>
      <c r="HO9">
        <v>336207</v>
      </c>
      <c r="HP9">
        <v>0.33213759999999998</v>
      </c>
      <c r="HQ9">
        <v>224540</v>
      </c>
      <c r="HR9">
        <v>0.92624030000000002</v>
      </c>
      <c r="HS9">
        <v>224540</v>
      </c>
      <c r="HT9">
        <v>7.3759699999999997E-2</v>
      </c>
      <c r="HU9">
        <v>239255</v>
      </c>
      <c r="HV9">
        <v>6.9010000000000002E-2</v>
      </c>
      <c r="HW9">
        <v>16511</v>
      </c>
      <c r="HX9">
        <v>0.42626130000000001</v>
      </c>
      <c r="HY9">
        <v>7038</v>
      </c>
      <c r="HZ9">
        <v>0.66183570000000003</v>
      </c>
      <c r="IA9">
        <v>7038</v>
      </c>
      <c r="IB9">
        <v>0.66183570000000003</v>
      </c>
      <c r="IC9">
        <v>7038</v>
      </c>
      <c r="ID9">
        <v>0.66183570000000003</v>
      </c>
      <c r="IE9">
        <v>7038</v>
      </c>
      <c r="IF9">
        <v>0.66183570000000003</v>
      </c>
      <c r="IG9">
        <v>7038</v>
      </c>
      <c r="IH9">
        <v>0.33816420000000003</v>
      </c>
      <c r="II9">
        <v>16511</v>
      </c>
      <c r="IJ9">
        <v>0.57373870000000005</v>
      </c>
      <c r="IK9">
        <v>9473</v>
      </c>
      <c r="IL9">
        <v>0.20479259999999999</v>
      </c>
      <c r="IM9">
        <v>1940</v>
      </c>
      <c r="IN9">
        <v>0.79432990000000003</v>
      </c>
      <c r="IO9">
        <v>1541</v>
      </c>
      <c r="IP9">
        <v>0.38416610000000001</v>
      </c>
      <c r="IQ9">
        <v>1541</v>
      </c>
      <c r="IR9">
        <v>0.22323170000000001</v>
      </c>
      <c r="IS9">
        <v>1541</v>
      </c>
      <c r="IT9">
        <v>0.39260220000000001</v>
      </c>
      <c r="IU9">
        <v>1940</v>
      </c>
      <c r="IV9">
        <v>0.20567009999999999</v>
      </c>
      <c r="IW9">
        <v>9473</v>
      </c>
      <c r="IX9">
        <v>0.79520740000000001</v>
      </c>
      <c r="IY9">
        <v>7533</v>
      </c>
      <c r="IZ9">
        <v>0.8245055</v>
      </c>
      <c r="JA9">
        <v>6211</v>
      </c>
      <c r="JB9">
        <v>0.16036059999999999</v>
      </c>
      <c r="JC9">
        <v>6211</v>
      </c>
      <c r="JD9">
        <v>0.3703108</v>
      </c>
      <c r="JE9">
        <v>6211</v>
      </c>
      <c r="JF9">
        <v>0.46932859999999998</v>
      </c>
      <c r="JG9">
        <v>7533</v>
      </c>
      <c r="JH9">
        <v>0.1754945</v>
      </c>
      <c r="JI9">
        <v>239255</v>
      </c>
      <c r="JJ9">
        <v>2.1036099999999999E-2</v>
      </c>
      <c r="JK9">
        <v>5033</v>
      </c>
      <c r="JL9">
        <v>0.56050069999999996</v>
      </c>
      <c r="JM9">
        <v>2821</v>
      </c>
      <c r="JN9">
        <v>0.72456569999999998</v>
      </c>
      <c r="JO9">
        <v>2821</v>
      </c>
      <c r="JP9">
        <v>0.72456569999999998</v>
      </c>
      <c r="JQ9">
        <v>2821</v>
      </c>
      <c r="JR9">
        <v>0.72456569999999998</v>
      </c>
      <c r="JS9">
        <v>2821</v>
      </c>
      <c r="JT9">
        <v>0.72456569999999998</v>
      </c>
      <c r="JU9">
        <v>2821</v>
      </c>
      <c r="JV9">
        <v>0.27543430000000002</v>
      </c>
      <c r="JW9">
        <v>5033</v>
      </c>
      <c r="JX9">
        <v>0.43949929999999998</v>
      </c>
      <c r="JY9">
        <v>2212</v>
      </c>
      <c r="JZ9">
        <v>0.4217902</v>
      </c>
      <c r="KA9">
        <v>933</v>
      </c>
      <c r="KB9">
        <v>1</v>
      </c>
      <c r="KC9">
        <v>933</v>
      </c>
      <c r="KD9">
        <v>0.23472670000000001</v>
      </c>
      <c r="KE9">
        <v>933</v>
      </c>
      <c r="KF9">
        <v>0.33440520000000001</v>
      </c>
      <c r="KG9">
        <v>933</v>
      </c>
      <c r="KH9">
        <v>0.43086819999999998</v>
      </c>
      <c r="KI9">
        <v>933</v>
      </c>
      <c r="KJ9">
        <v>0</v>
      </c>
      <c r="KK9">
        <v>2212</v>
      </c>
      <c r="KL9">
        <v>0.5782098</v>
      </c>
      <c r="KM9">
        <v>1279</v>
      </c>
      <c r="KN9">
        <v>0.61845190000000005</v>
      </c>
      <c r="KO9">
        <v>791</v>
      </c>
      <c r="KP9">
        <v>8.3438700000000005E-2</v>
      </c>
      <c r="KQ9">
        <v>791</v>
      </c>
      <c r="KR9">
        <v>0.34639700000000001</v>
      </c>
      <c r="KS9">
        <v>791</v>
      </c>
      <c r="KT9">
        <v>0.57016429999999996</v>
      </c>
      <c r="KU9">
        <v>1279</v>
      </c>
      <c r="KV9">
        <v>0.3815481</v>
      </c>
      <c r="KW9">
        <v>239255</v>
      </c>
      <c r="KX9">
        <v>3.7892599999999999E-2</v>
      </c>
      <c r="KY9">
        <v>9066</v>
      </c>
      <c r="KZ9">
        <v>0.70405910000000005</v>
      </c>
      <c r="LA9">
        <v>6383</v>
      </c>
      <c r="LB9">
        <v>0.64311450000000003</v>
      </c>
      <c r="LC9">
        <v>6383</v>
      </c>
      <c r="LD9">
        <v>0.64311450000000003</v>
      </c>
      <c r="LE9">
        <v>6383</v>
      </c>
      <c r="LF9">
        <v>0.64311450000000003</v>
      </c>
      <c r="LG9">
        <v>6383</v>
      </c>
      <c r="LH9">
        <v>0.64311450000000003</v>
      </c>
      <c r="LI9">
        <v>6383</v>
      </c>
      <c r="LJ9">
        <v>0.35688550000000002</v>
      </c>
      <c r="LK9">
        <v>9066</v>
      </c>
      <c r="LL9">
        <v>0.29594090000000001</v>
      </c>
      <c r="LM9">
        <v>2683</v>
      </c>
      <c r="LN9">
        <v>0.21990309999999999</v>
      </c>
      <c r="LO9">
        <v>590</v>
      </c>
      <c r="LP9">
        <v>0.83559320000000004</v>
      </c>
      <c r="LQ9">
        <v>493</v>
      </c>
      <c r="LR9">
        <v>0.45030429999999999</v>
      </c>
      <c r="LS9">
        <v>493</v>
      </c>
      <c r="LT9">
        <v>0.1196755</v>
      </c>
      <c r="LU9">
        <v>493</v>
      </c>
      <c r="LV9">
        <v>0.43002030000000002</v>
      </c>
      <c r="LW9">
        <v>590</v>
      </c>
      <c r="LX9">
        <v>0.16440679999999999</v>
      </c>
      <c r="LY9">
        <v>2683</v>
      </c>
      <c r="LZ9">
        <v>0.78009689999999998</v>
      </c>
      <c r="MA9">
        <v>2093</v>
      </c>
      <c r="MB9">
        <v>0.71571899999999999</v>
      </c>
      <c r="MC9">
        <v>1498</v>
      </c>
      <c r="MD9">
        <v>1.6021400000000002E-2</v>
      </c>
      <c r="ME9">
        <v>1498</v>
      </c>
      <c r="MF9">
        <v>0.2176235</v>
      </c>
      <c r="MG9">
        <v>1498</v>
      </c>
      <c r="MH9">
        <v>0.76635520000000001</v>
      </c>
      <c r="MI9">
        <v>2093</v>
      </c>
      <c r="MJ9">
        <v>0.2842809</v>
      </c>
      <c r="MK9">
        <v>239255</v>
      </c>
      <c r="ML9">
        <v>0.87206119999999998</v>
      </c>
      <c r="MM9">
        <v>208645</v>
      </c>
      <c r="MN9">
        <v>0.86413759999999995</v>
      </c>
      <c r="MO9">
        <v>180298</v>
      </c>
      <c r="MP9">
        <v>0.45201279999999999</v>
      </c>
      <c r="MQ9">
        <v>180298</v>
      </c>
      <c r="MR9">
        <v>0.45201279999999999</v>
      </c>
      <c r="MS9">
        <v>180298</v>
      </c>
      <c r="MT9">
        <v>0.45201279999999999</v>
      </c>
      <c r="MU9">
        <v>180298</v>
      </c>
      <c r="MV9">
        <v>0.45201279999999999</v>
      </c>
      <c r="MW9">
        <v>180298</v>
      </c>
      <c r="MX9">
        <v>0.54798720000000001</v>
      </c>
      <c r="MY9">
        <v>208645</v>
      </c>
      <c r="MZ9">
        <v>0.13586239999999999</v>
      </c>
      <c r="NA9">
        <v>28347</v>
      </c>
      <c r="NB9">
        <v>0.32412600000000003</v>
      </c>
      <c r="NC9">
        <v>9188</v>
      </c>
      <c r="ND9">
        <v>0.42697000000000002</v>
      </c>
      <c r="NE9">
        <v>3923</v>
      </c>
      <c r="NF9">
        <v>0.26051489999999999</v>
      </c>
      <c r="NG9">
        <v>3923</v>
      </c>
      <c r="NH9">
        <v>6.1432599999999997E-2</v>
      </c>
      <c r="NI9">
        <v>3923</v>
      </c>
      <c r="NJ9">
        <v>0.67805249999999995</v>
      </c>
      <c r="NK9">
        <v>9188</v>
      </c>
      <c r="NL9">
        <v>0.57303009999999999</v>
      </c>
      <c r="NM9">
        <v>28347</v>
      </c>
      <c r="NN9">
        <v>0.67587399999999997</v>
      </c>
      <c r="NO9">
        <v>19159</v>
      </c>
      <c r="NP9">
        <v>0.50508900000000001</v>
      </c>
      <c r="NQ9">
        <v>9677</v>
      </c>
      <c r="NR9">
        <v>0.1329958</v>
      </c>
      <c r="NS9">
        <v>9677</v>
      </c>
      <c r="NT9">
        <v>7.5643299999999997E-2</v>
      </c>
      <c r="NU9">
        <v>9677</v>
      </c>
      <c r="NV9">
        <v>0.79136099999999998</v>
      </c>
      <c r="NW9">
        <v>19159</v>
      </c>
      <c r="NX9">
        <v>0.49491099999999999</v>
      </c>
    </row>
    <row r="10" spans="1:388" x14ac:dyDescent="0.25">
      <c r="A10" t="s">
        <v>134</v>
      </c>
      <c r="B10">
        <v>2009</v>
      </c>
      <c r="C10">
        <v>1</v>
      </c>
      <c r="D10" t="s">
        <v>543</v>
      </c>
      <c r="E10">
        <v>47423</v>
      </c>
      <c r="F10">
        <v>0.43253269999999999</v>
      </c>
      <c r="G10">
        <v>20512</v>
      </c>
      <c r="H10">
        <v>0.14596329999999999</v>
      </c>
      <c r="I10">
        <v>20512</v>
      </c>
      <c r="J10">
        <v>2.5107299999999999E-2</v>
      </c>
      <c r="K10">
        <v>20512</v>
      </c>
      <c r="L10">
        <v>0.1593214</v>
      </c>
      <c r="M10">
        <v>20512</v>
      </c>
      <c r="N10">
        <v>4.8166899999999999E-2</v>
      </c>
      <c r="O10">
        <v>20512</v>
      </c>
      <c r="P10">
        <v>2.0622100000000001E-2</v>
      </c>
      <c r="Q10">
        <v>20512</v>
      </c>
      <c r="R10">
        <v>3.7392700000000001E-2</v>
      </c>
      <c r="S10">
        <v>20512</v>
      </c>
      <c r="T10">
        <v>0.1223674</v>
      </c>
      <c r="U10">
        <v>20512</v>
      </c>
      <c r="V10">
        <v>6.9715299999999994E-2</v>
      </c>
      <c r="W10">
        <v>20512</v>
      </c>
      <c r="X10">
        <v>0.15215480000000001</v>
      </c>
      <c r="Y10">
        <v>20512</v>
      </c>
      <c r="Z10">
        <v>0.1502048</v>
      </c>
      <c r="AA10">
        <v>20512</v>
      </c>
      <c r="AB10">
        <v>4.6363099999999997E-2</v>
      </c>
      <c r="AC10">
        <v>20512</v>
      </c>
      <c r="AD10">
        <v>1.38456E-2</v>
      </c>
      <c r="AE10">
        <v>20512</v>
      </c>
      <c r="AF10">
        <v>8.7753999999999992E-3</v>
      </c>
      <c r="AG10">
        <v>47423</v>
      </c>
      <c r="AH10">
        <v>0.56746730000000001</v>
      </c>
      <c r="AI10">
        <v>26911</v>
      </c>
      <c r="AJ10">
        <v>8.5949999999999999E-2</v>
      </c>
      <c r="AK10">
        <v>26911</v>
      </c>
      <c r="AL10">
        <v>3.8980300000000002E-2</v>
      </c>
      <c r="AM10">
        <v>26911</v>
      </c>
      <c r="AN10">
        <v>0.15060760000000001</v>
      </c>
      <c r="AO10">
        <v>26911</v>
      </c>
      <c r="AP10">
        <v>6.7816100000000004E-2</v>
      </c>
      <c r="AQ10">
        <v>26911</v>
      </c>
      <c r="AR10">
        <v>3.5933300000000001E-2</v>
      </c>
      <c r="AS10">
        <v>26911</v>
      </c>
      <c r="AT10">
        <v>4.33652E-2</v>
      </c>
      <c r="AU10">
        <v>26911</v>
      </c>
      <c r="AV10">
        <v>9.5760100000000001E-2</v>
      </c>
      <c r="AW10">
        <v>26911</v>
      </c>
      <c r="AX10">
        <v>0.1207313</v>
      </c>
      <c r="AY10">
        <v>26911</v>
      </c>
      <c r="AZ10">
        <v>0.14681730000000001</v>
      </c>
      <c r="BA10">
        <v>26911</v>
      </c>
      <c r="BB10">
        <v>9.2155600000000004E-2</v>
      </c>
      <c r="BC10">
        <v>26911</v>
      </c>
      <c r="BD10">
        <v>3.66393E-2</v>
      </c>
      <c r="BE10">
        <v>26911</v>
      </c>
      <c r="BF10">
        <v>6.5698000000000006E-2</v>
      </c>
      <c r="BG10">
        <v>26911</v>
      </c>
      <c r="BH10">
        <v>1.9545900000000001E-2</v>
      </c>
      <c r="BI10">
        <v>461005</v>
      </c>
      <c r="BJ10">
        <v>0.51419619999999999</v>
      </c>
      <c r="BK10">
        <v>237047</v>
      </c>
      <c r="BL10">
        <v>8.0971299999999996E-2</v>
      </c>
      <c r="BM10">
        <v>237047</v>
      </c>
      <c r="BN10">
        <v>1.6283700000000002E-2</v>
      </c>
      <c r="BO10">
        <v>237047</v>
      </c>
      <c r="BP10">
        <v>9.6512500000000001E-2</v>
      </c>
      <c r="BQ10">
        <v>237047</v>
      </c>
      <c r="BR10">
        <v>4.829E-2</v>
      </c>
      <c r="BS10">
        <v>237047</v>
      </c>
      <c r="BT10">
        <v>1.5975699999999999E-2</v>
      </c>
      <c r="BU10">
        <v>237047</v>
      </c>
      <c r="BV10">
        <v>2.83319E-2</v>
      </c>
      <c r="BW10">
        <v>237047</v>
      </c>
      <c r="BX10">
        <v>8.8066900000000004E-2</v>
      </c>
      <c r="BY10">
        <v>237047</v>
      </c>
      <c r="BZ10">
        <v>0.13519680000000001</v>
      </c>
      <c r="CA10">
        <v>237047</v>
      </c>
      <c r="CB10">
        <v>0.15491440000000001</v>
      </c>
      <c r="CC10">
        <v>237047</v>
      </c>
      <c r="CD10">
        <v>0.14729149999999999</v>
      </c>
      <c r="CE10">
        <v>237047</v>
      </c>
      <c r="CF10">
        <v>0.1069493</v>
      </c>
      <c r="CG10">
        <v>237047</v>
      </c>
      <c r="CH10">
        <v>5.4233999999999997E-2</v>
      </c>
      <c r="CI10">
        <v>237047</v>
      </c>
      <c r="CJ10">
        <v>2.6981999999999999E-2</v>
      </c>
      <c r="CK10">
        <v>461005</v>
      </c>
      <c r="CL10">
        <v>0.48580380000000001</v>
      </c>
      <c r="CM10">
        <v>223958</v>
      </c>
      <c r="CN10">
        <v>8.4578399999999998E-2</v>
      </c>
      <c r="CO10">
        <v>223958</v>
      </c>
      <c r="CP10">
        <v>1.09262E-2</v>
      </c>
      <c r="CQ10">
        <v>223958</v>
      </c>
      <c r="CR10">
        <v>9.1289400000000007E-2</v>
      </c>
      <c r="CS10">
        <v>223958</v>
      </c>
      <c r="CT10">
        <v>4.5463900000000002E-2</v>
      </c>
      <c r="CU10">
        <v>223958</v>
      </c>
      <c r="CV10">
        <v>8.8856000000000004E-3</v>
      </c>
      <c r="CW10">
        <v>223958</v>
      </c>
      <c r="CX10">
        <v>3.5037800000000001E-2</v>
      </c>
      <c r="CY10">
        <v>223958</v>
      </c>
      <c r="CZ10">
        <v>8.5181099999999996E-2</v>
      </c>
      <c r="DA10">
        <v>223958</v>
      </c>
      <c r="DB10">
        <v>0.12255870000000001</v>
      </c>
      <c r="DC10">
        <v>223958</v>
      </c>
      <c r="DD10">
        <v>0.14663909999999999</v>
      </c>
      <c r="DE10">
        <v>223958</v>
      </c>
      <c r="DF10">
        <v>0.1531314</v>
      </c>
      <c r="DG10">
        <v>223958</v>
      </c>
      <c r="DH10">
        <v>0.1128738</v>
      </c>
      <c r="DI10">
        <v>223958</v>
      </c>
      <c r="DJ10">
        <v>5.91852E-2</v>
      </c>
      <c r="DK10">
        <v>223958</v>
      </c>
      <c r="DL10">
        <v>4.4249400000000001E-2</v>
      </c>
      <c r="DM10">
        <v>313324</v>
      </c>
      <c r="DN10">
        <v>7.02372E-2</v>
      </c>
      <c r="DO10">
        <v>22007</v>
      </c>
      <c r="DP10">
        <v>0.41109649999999998</v>
      </c>
      <c r="DQ10">
        <v>9047</v>
      </c>
      <c r="DR10">
        <v>0.42345529999999998</v>
      </c>
      <c r="DS10">
        <v>9047</v>
      </c>
      <c r="DT10">
        <v>0.31026860000000001</v>
      </c>
      <c r="DU10">
        <v>9047</v>
      </c>
      <c r="DV10">
        <v>0.18989719999999999</v>
      </c>
      <c r="DW10">
        <v>9047</v>
      </c>
      <c r="DX10">
        <v>7.63789E-2</v>
      </c>
      <c r="DY10">
        <v>22007</v>
      </c>
      <c r="DZ10">
        <v>0.58890350000000002</v>
      </c>
      <c r="EA10">
        <v>12960</v>
      </c>
      <c r="EB10">
        <v>0.4897377</v>
      </c>
      <c r="EC10">
        <v>12960</v>
      </c>
      <c r="ED10">
        <v>0.29459879999999999</v>
      </c>
      <c r="EE10">
        <v>12960</v>
      </c>
      <c r="EF10">
        <v>0.15316360000000001</v>
      </c>
      <c r="EG10">
        <v>12960</v>
      </c>
      <c r="EH10">
        <v>6.25E-2</v>
      </c>
      <c r="EI10">
        <v>313324</v>
      </c>
      <c r="EJ10">
        <v>0.9297628</v>
      </c>
      <c r="EK10">
        <v>291317</v>
      </c>
      <c r="EL10">
        <v>0.50902970000000003</v>
      </c>
      <c r="EM10">
        <v>148289</v>
      </c>
      <c r="EN10">
        <v>0.16954730000000001</v>
      </c>
      <c r="EO10">
        <v>148289</v>
      </c>
      <c r="EP10">
        <v>0.2229633</v>
      </c>
      <c r="EQ10">
        <v>148289</v>
      </c>
      <c r="ER10">
        <v>0.26343149999999999</v>
      </c>
      <c r="ES10">
        <v>148289</v>
      </c>
      <c r="ET10">
        <v>0.34405790000000003</v>
      </c>
      <c r="EU10">
        <v>291317</v>
      </c>
      <c r="EV10">
        <v>0.49097030000000003</v>
      </c>
      <c r="EW10">
        <v>143028</v>
      </c>
      <c r="EX10">
        <v>0.12954109999999999</v>
      </c>
      <c r="EY10">
        <v>143028</v>
      </c>
      <c r="EZ10">
        <v>0.2490841</v>
      </c>
      <c r="FA10">
        <v>143028</v>
      </c>
      <c r="FB10">
        <v>0.2886917</v>
      </c>
      <c r="FC10">
        <v>143028</v>
      </c>
      <c r="FD10">
        <v>0.33268310000000001</v>
      </c>
      <c r="FE10">
        <v>374861</v>
      </c>
      <c r="FF10">
        <v>7.7436699999999997E-2</v>
      </c>
      <c r="FG10">
        <v>29028</v>
      </c>
      <c r="FH10">
        <v>0.42455559999999998</v>
      </c>
      <c r="FI10">
        <v>12324</v>
      </c>
      <c r="FJ10">
        <v>0.13680619999999999</v>
      </c>
      <c r="FK10">
        <v>12324</v>
      </c>
      <c r="FL10">
        <v>0.37690679999999999</v>
      </c>
      <c r="FM10">
        <v>12324</v>
      </c>
      <c r="FN10">
        <v>0.48628690000000002</v>
      </c>
      <c r="FO10">
        <v>12324</v>
      </c>
      <c r="FP10">
        <v>0.60102239999999996</v>
      </c>
      <c r="FQ10">
        <v>12324</v>
      </c>
      <c r="FR10">
        <v>0.39897759999999999</v>
      </c>
      <c r="FS10">
        <v>7407</v>
      </c>
      <c r="FT10">
        <v>0.67382200000000003</v>
      </c>
      <c r="FU10">
        <v>7407</v>
      </c>
      <c r="FV10">
        <v>0.32617800000000002</v>
      </c>
      <c r="FW10">
        <v>29028</v>
      </c>
      <c r="FX10">
        <v>0.57544439999999997</v>
      </c>
      <c r="FY10">
        <v>16704</v>
      </c>
      <c r="FZ10">
        <v>5.1664300000000003E-2</v>
      </c>
      <c r="GA10">
        <v>16704</v>
      </c>
      <c r="GB10">
        <v>0.35686059999999997</v>
      </c>
      <c r="GC10">
        <v>16704</v>
      </c>
      <c r="GD10">
        <v>0.59147510000000003</v>
      </c>
      <c r="GE10">
        <v>16704</v>
      </c>
      <c r="GF10">
        <v>0.42438940000000003</v>
      </c>
      <c r="GG10">
        <v>16704</v>
      </c>
      <c r="GH10">
        <v>0.57561059999999997</v>
      </c>
      <c r="GI10">
        <v>7089</v>
      </c>
      <c r="GJ10">
        <v>0.749471</v>
      </c>
      <c r="GK10">
        <v>7089</v>
      </c>
      <c r="GL10">
        <v>0.250529</v>
      </c>
      <c r="GM10">
        <v>374861</v>
      </c>
      <c r="GN10">
        <v>0.92256329999999998</v>
      </c>
      <c r="GO10">
        <v>345833</v>
      </c>
      <c r="GP10">
        <v>0.50857200000000002</v>
      </c>
      <c r="GQ10">
        <v>175881</v>
      </c>
      <c r="GR10">
        <v>0.57054479999999996</v>
      </c>
      <c r="GS10">
        <v>175881</v>
      </c>
      <c r="GT10">
        <v>0.25354080000000001</v>
      </c>
      <c r="GU10">
        <v>175881</v>
      </c>
      <c r="GV10">
        <v>0.1759144</v>
      </c>
      <c r="GW10">
        <v>175701</v>
      </c>
      <c r="GX10">
        <v>0.8197335</v>
      </c>
      <c r="GY10">
        <v>175701</v>
      </c>
      <c r="GZ10">
        <v>0.1802665</v>
      </c>
      <c r="HA10">
        <v>144028</v>
      </c>
      <c r="HB10">
        <v>0.89583970000000002</v>
      </c>
      <c r="HC10">
        <v>144028</v>
      </c>
      <c r="HD10">
        <v>0.1041603</v>
      </c>
      <c r="HE10">
        <v>345833</v>
      </c>
      <c r="HF10">
        <v>0.49142799999999998</v>
      </c>
      <c r="HG10">
        <v>169952</v>
      </c>
      <c r="HH10">
        <v>0.39272849999999998</v>
      </c>
      <c r="HI10">
        <v>169952</v>
      </c>
      <c r="HJ10">
        <v>0.29864309999999999</v>
      </c>
      <c r="HK10">
        <v>169952</v>
      </c>
      <c r="HL10">
        <v>0.30862830000000002</v>
      </c>
      <c r="HM10">
        <v>169952</v>
      </c>
      <c r="HN10">
        <v>0.66482889999999994</v>
      </c>
      <c r="HO10">
        <v>169952</v>
      </c>
      <c r="HP10">
        <v>0.3351711</v>
      </c>
      <c r="HQ10">
        <v>112989</v>
      </c>
      <c r="HR10">
        <v>0.93488749999999998</v>
      </c>
      <c r="HS10">
        <v>112989</v>
      </c>
      <c r="HT10">
        <v>6.5112500000000004E-2</v>
      </c>
      <c r="HU10">
        <v>120318</v>
      </c>
      <c r="HV10">
        <v>0.1038332</v>
      </c>
      <c r="HW10">
        <v>12493</v>
      </c>
      <c r="HX10">
        <v>0.43472339999999998</v>
      </c>
      <c r="HY10">
        <v>5431</v>
      </c>
      <c r="HZ10">
        <v>0.72896340000000004</v>
      </c>
      <c r="IA10">
        <v>5431</v>
      </c>
      <c r="IB10">
        <v>0.72896340000000004</v>
      </c>
      <c r="IC10">
        <v>5431</v>
      </c>
      <c r="ID10">
        <v>0.72896340000000004</v>
      </c>
      <c r="IE10">
        <v>5431</v>
      </c>
      <c r="IF10">
        <v>0.72896340000000004</v>
      </c>
      <c r="IG10">
        <v>5431</v>
      </c>
      <c r="IH10">
        <v>0.27103670000000002</v>
      </c>
      <c r="II10">
        <v>12493</v>
      </c>
      <c r="IJ10">
        <v>0.56527660000000002</v>
      </c>
      <c r="IK10">
        <v>7062</v>
      </c>
      <c r="IL10">
        <v>0.21721889999999999</v>
      </c>
      <c r="IM10">
        <v>1534</v>
      </c>
      <c r="IN10">
        <v>0.75228159999999999</v>
      </c>
      <c r="IO10">
        <v>1154</v>
      </c>
      <c r="IP10">
        <v>0.1620451</v>
      </c>
      <c r="IQ10">
        <v>1154</v>
      </c>
      <c r="IR10">
        <v>0.1343154</v>
      </c>
      <c r="IS10">
        <v>1154</v>
      </c>
      <c r="IT10">
        <v>0.70363949999999997</v>
      </c>
      <c r="IU10">
        <v>1534</v>
      </c>
      <c r="IV10">
        <v>0.24771840000000001</v>
      </c>
      <c r="IW10">
        <v>7062</v>
      </c>
      <c r="IX10">
        <v>0.78278110000000001</v>
      </c>
      <c r="IY10">
        <v>5528</v>
      </c>
      <c r="IZ10">
        <v>0.83556439999999998</v>
      </c>
      <c r="JA10">
        <v>4619</v>
      </c>
      <c r="JB10">
        <v>0.16626969999999999</v>
      </c>
      <c r="JC10">
        <v>4619</v>
      </c>
      <c r="JD10">
        <v>0.3925092</v>
      </c>
      <c r="JE10">
        <v>4619</v>
      </c>
      <c r="JF10">
        <v>0.44122109999999998</v>
      </c>
      <c r="JG10">
        <v>5528</v>
      </c>
      <c r="JH10">
        <v>0.16443559999999999</v>
      </c>
      <c r="JI10">
        <v>120318</v>
      </c>
      <c r="JJ10">
        <v>1.91576E-2</v>
      </c>
      <c r="JK10">
        <v>2305</v>
      </c>
      <c r="JL10">
        <v>0.56789590000000001</v>
      </c>
      <c r="JM10">
        <v>1309</v>
      </c>
      <c r="JN10">
        <v>0.91520239999999997</v>
      </c>
      <c r="JO10">
        <v>1309</v>
      </c>
      <c r="JP10">
        <v>0.91520239999999997</v>
      </c>
      <c r="JQ10">
        <v>1309</v>
      </c>
      <c r="JR10">
        <v>0.91520239999999997</v>
      </c>
      <c r="JS10">
        <v>1309</v>
      </c>
      <c r="JT10">
        <v>0.91520239999999997</v>
      </c>
      <c r="JU10">
        <v>1309</v>
      </c>
      <c r="JV10">
        <v>8.4797600000000001E-2</v>
      </c>
      <c r="JW10">
        <v>2305</v>
      </c>
      <c r="JX10">
        <v>0.43210409999999999</v>
      </c>
      <c r="JY10">
        <v>996</v>
      </c>
      <c r="JZ10">
        <v>0.1024096</v>
      </c>
      <c r="KA10">
        <v>102</v>
      </c>
      <c r="KB10">
        <v>1</v>
      </c>
      <c r="KC10">
        <v>102</v>
      </c>
      <c r="KD10">
        <v>1</v>
      </c>
      <c r="KE10">
        <v>102</v>
      </c>
      <c r="KF10">
        <v>0</v>
      </c>
      <c r="KG10">
        <v>102</v>
      </c>
      <c r="KH10">
        <v>0</v>
      </c>
      <c r="KI10">
        <v>102</v>
      </c>
      <c r="KJ10">
        <v>0</v>
      </c>
      <c r="KK10">
        <v>996</v>
      </c>
      <c r="KL10">
        <v>0.89759029999999995</v>
      </c>
      <c r="KM10">
        <v>894</v>
      </c>
      <c r="KN10">
        <v>0.81208060000000004</v>
      </c>
      <c r="KO10">
        <v>726</v>
      </c>
      <c r="KP10">
        <v>0</v>
      </c>
      <c r="KQ10">
        <v>726</v>
      </c>
      <c r="KR10">
        <v>0.21074380000000001</v>
      </c>
      <c r="KS10">
        <v>726</v>
      </c>
      <c r="KT10">
        <v>0.78925619999999996</v>
      </c>
      <c r="KU10">
        <v>894</v>
      </c>
      <c r="KV10">
        <v>0.18791949999999999</v>
      </c>
      <c r="KW10">
        <v>120318</v>
      </c>
      <c r="KX10">
        <v>4.9967600000000001E-2</v>
      </c>
      <c r="KY10">
        <v>6012</v>
      </c>
      <c r="KZ10">
        <v>0.75948099999999996</v>
      </c>
      <c r="LA10">
        <v>4566</v>
      </c>
      <c r="LB10">
        <v>0.81822159999999999</v>
      </c>
      <c r="LC10">
        <v>4566</v>
      </c>
      <c r="LD10">
        <v>0.81822159999999999</v>
      </c>
      <c r="LE10">
        <v>4566</v>
      </c>
      <c r="LF10">
        <v>0.81822159999999999</v>
      </c>
      <c r="LG10">
        <v>4566</v>
      </c>
      <c r="LH10">
        <v>0.81822159999999999</v>
      </c>
      <c r="LI10">
        <v>4566</v>
      </c>
      <c r="LJ10">
        <v>0.18177840000000001</v>
      </c>
      <c r="LK10">
        <v>6012</v>
      </c>
      <c r="LL10">
        <v>0.24051900000000001</v>
      </c>
      <c r="LM10">
        <v>1446</v>
      </c>
      <c r="LN10">
        <v>0.52143850000000003</v>
      </c>
      <c r="LO10">
        <v>754</v>
      </c>
      <c r="LP10">
        <v>0.8885942</v>
      </c>
      <c r="LQ10">
        <v>670</v>
      </c>
      <c r="LR10">
        <v>0.55522389999999999</v>
      </c>
      <c r="LS10">
        <v>670</v>
      </c>
      <c r="LT10">
        <v>0.3686567</v>
      </c>
      <c r="LU10">
        <v>670</v>
      </c>
      <c r="LV10">
        <v>7.6119400000000004E-2</v>
      </c>
      <c r="LW10">
        <v>754</v>
      </c>
      <c r="LX10">
        <v>0.1114058</v>
      </c>
      <c r="LY10">
        <v>1446</v>
      </c>
      <c r="LZ10">
        <v>0.47856159999999998</v>
      </c>
      <c r="MA10">
        <v>692</v>
      </c>
      <c r="MB10">
        <v>0.79046240000000001</v>
      </c>
      <c r="MC10">
        <v>547</v>
      </c>
      <c r="MD10">
        <v>8.4095100000000006E-2</v>
      </c>
      <c r="ME10">
        <v>547</v>
      </c>
      <c r="MF10">
        <v>0</v>
      </c>
      <c r="MG10">
        <v>547</v>
      </c>
      <c r="MH10">
        <v>0.91590490000000002</v>
      </c>
      <c r="MI10">
        <v>692</v>
      </c>
      <c r="MJ10">
        <v>0.20953759999999999</v>
      </c>
      <c r="MK10">
        <v>120318</v>
      </c>
      <c r="ML10">
        <v>0.82704169999999999</v>
      </c>
      <c r="MM10">
        <v>99508</v>
      </c>
      <c r="MN10">
        <v>0.83189290000000005</v>
      </c>
      <c r="MO10">
        <v>82780</v>
      </c>
      <c r="MP10">
        <v>0.49240149999999999</v>
      </c>
      <c r="MQ10">
        <v>82780</v>
      </c>
      <c r="MR10">
        <v>0.49240149999999999</v>
      </c>
      <c r="MS10">
        <v>82780</v>
      </c>
      <c r="MT10">
        <v>0.49240149999999999</v>
      </c>
      <c r="MU10">
        <v>82780</v>
      </c>
      <c r="MV10">
        <v>0.49240149999999999</v>
      </c>
      <c r="MW10">
        <v>82780</v>
      </c>
      <c r="MX10">
        <v>0.50759849999999995</v>
      </c>
      <c r="MY10">
        <v>99508</v>
      </c>
      <c r="MZ10">
        <v>0.16810710000000001</v>
      </c>
      <c r="NA10">
        <v>16728</v>
      </c>
      <c r="NB10">
        <v>0.36561450000000001</v>
      </c>
      <c r="NC10">
        <v>6116</v>
      </c>
      <c r="ND10">
        <v>0.54986919999999995</v>
      </c>
      <c r="NE10">
        <v>3363</v>
      </c>
      <c r="NF10">
        <v>0.22063630000000001</v>
      </c>
      <c r="NG10">
        <v>3363</v>
      </c>
      <c r="NH10">
        <v>9.6639900000000001E-2</v>
      </c>
      <c r="NI10">
        <v>3363</v>
      </c>
      <c r="NJ10">
        <v>0.68272379999999999</v>
      </c>
      <c r="NK10">
        <v>6116</v>
      </c>
      <c r="NL10">
        <v>0.4501308</v>
      </c>
      <c r="NM10">
        <v>16728</v>
      </c>
      <c r="NN10">
        <v>0.63438550000000005</v>
      </c>
      <c r="NO10">
        <v>10612</v>
      </c>
      <c r="NP10">
        <v>0.45118730000000001</v>
      </c>
      <c r="NQ10">
        <v>4788</v>
      </c>
      <c r="NR10">
        <v>0.19172929999999999</v>
      </c>
      <c r="NS10">
        <v>4788</v>
      </c>
      <c r="NT10">
        <v>0.25501249999999998</v>
      </c>
      <c r="NU10">
        <v>4788</v>
      </c>
      <c r="NV10">
        <v>0.55325809999999997</v>
      </c>
      <c r="NW10">
        <v>10612</v>
      </c>
      <c r="NX10">
        <v>0.54881270000000004</v>
      </c>
    </row>
    <row r="11" spans="1:388" x14ac:dyDescent="0.25">
      <c r="A11" t="s">
        <v>133</v>
      </c>
      <c r="B11">
        <v>2009</v>
      </c>
      <c r="C11">
        <v>1</v>
      </c>
      <c r="D11" t="s">
        <v>544</v>
      </c>
      <c r="E11">
        <v>50475</v>
      </c>
      <c r="F11">
        <v>0.4457256</v>
      </c>
      <c r="G11">
        <v>22498</v>
      </c>
      <c r="H11">
        <v>0.12601119999999999</v>
      </c>
      <c r="I11">
        <v>22498</v>
      </c>
      <c r="J11">
        <v>1.84461E-2</v>
      </c>
      <c r="K11">
        <v>22498</v>
      </c>
      <c r="L11">
        <v>0.19712859999999999</v>
      </c>
      <c r="M11">
        <v>22498</v>
      </c>
      <c r="N11">
        <v>7.0984099999999994E-2</v>
      </c>
      <c r="O11">
        <v>22498</v>
      </c>
      <c r="P11">
        <v>1.73349E-2</v>
      </c>
      <c r="Q11">
        <v>22498</v>
      </c>
      <c r="R11">
        <v>3.3914100000000003E-2</v>
      </c>
      <c r="S11">
        <v>22498</v>
      </c>
      <c r="T11">
        <v>0.1254778</v>
      </c>
      <c r="U11">
        <v>22498</v>
      </c>
      <c r="V11">
        <v>9.5786300000000005E-2</v>
      </c>
      <c r="W11">
        <v>22498</v>
      </c>
      <c r="X11">
        <v>9.6808599999999995E-2</v>
      </c>
      <c r="Y11">
        <v>22498</v>
      </c>
      <c r="Z11">
        <v>0.11632149999999999</v>
      </c>
      <c r="AA11">
        <v>22498</v>
      </c>
      <c r="AB11">
        <v>5.7071700000000003E-2</v>
      </c>
      <c r="AC11">
        <v>22498</v>
      </c>
      <c r="AD11">
        <v>2.5202200000000001E-2</v>
      </c>
      <c r="AE11">
        <v>22498</v>
      </c>
      <c r="AF11">
        <v>1.95128E-2</v>
      </c>
      <c r="AG11">
        <v>50475</v>
      </c>
      <c r="AH11">
        <v>0.55427439999999994</v>
      </c>
      <c r="AI11">
        <v>27977</v>
      </c>
      <c r="AJ11">
        <v>9.17182E-2</v>
      </c>
      <c r="AK11">
        <v>27977</v>
      </c>
      <c r="AL11">
        <v>2.7915800000000001E-2</v>
      </c>
      <c r="AM11">
        <v>27977</v>
      </c>
      <c r="AN11">
        <v>0.1144869</v>
      </c>
      <c r="AO11">
        <v>27977</v>
      </c>
      <c r="AP11">
        <v>3.53862E-2</v>
      </c>
      <c r="AQ11">
        <v>27977</v>
      </c>
      <c r="AR11">
        <v>5.0219800000000002E-2</v>
      </c>
      <c r="AS11">
        <v>27977</v>
      </c>
      <c r="AT11">
        <v>2.54852E-2</v>
      </c>
      <c r="AU11">
        <v>27977</v>
      </c>
      <c r="AV11">
        <v>0.1214927</v>
      </c>
      <c r="AW11">
        <v>27977</v>
      </c>
      <c r="AX11">
        <v>0.1280337</v>
      </c>
      <c r="AY11">
        <v>27977</v>
      </c>
      <c r="AZ11">
        <v>0.151696</v>
      </c>
      <c r="BA11">
        <v>27977</v>
      </c>
      <c r="BB11">
        <v>6.9199700000000003E-2</v>
      </c>
      <c r="BC11">
        <v>27977</v>
      </c>
      <c r="BD11">
        <v>8.8822999999999999E-2</v>
      </c>
      <c r="BE11">
        <v>27977</v>
      </c>
      <c r="BF11">
        <v>4.6073599999999999E-2</v>
      </c>
      <c r="BG11">
        <v>27977</v>
      </c>
      <c r="BH11">
        <v>4.9469199999999998E-2</v>
      </c>
      <c r="BI11">
        <v>647567</v>
      </c>
      <c r="BJ11">
        <v>0.50518169999999996</v>
      </c>
      <c r="BK11">
        <v>327139</v>
      </c>
      <c r="BL11">
        <v>6.8004700000000001E-2</v>
      </c>
      <c r="BM11">
        <v>327139</v>
      </c>
      <c r="BN11">
        <v>1.12643E-2</v>
      </c>
      <c r="BO11">
        <v>327139</v>
      </c>
      <c r="BP11">
        <v>9.4910700000000001E-2</v>
      </c>
      <c r="BQ11">
        <v>327139</v>
      </c>
      <c r="BR11">
        <v>4.6671299999999999E-2</v>
      </c>
      <c r="BS11">
        <v>327139</v>
      </c>
      <c r="BT11">
        <v>1.5663099999999999E-2</v>
      </c>
      <c r="BU11">
        <v>327139</v>
      </c>
      <c r="BV11">
        <v>3.4331E-2</v>
      </c>
      <c r="BW11">
        <v>327139</v>
      </c>
      <c r="BX11">
        <v>9.7591499999999998E-2</v>
      </c>
      <c r="BY11">
        <v>327139</v>
      </c>
      <c r="BZ11">
        <v>0.1052916</v>
      </c>
      <c r="CA11">
        <v>327139</v>
      </c>
      <c r="CB11">
        <v>0.1520669</v>
      </c>
      <c r="CC11">
        <v>327139</v>
      </c>
      <c r="CD11">
        <v>0.16717969999999999</v>
      </c>
      <c r="CE11">
        <v>327139</v>
      </c>
      <c r="CF11">
        <v>0.1133127</v>
      </c>
      <c r="CG11">
        <v>327139</v>
      </c>
      <c r="CH11">
        <v>5.8715099999999999E-2</v>
      </c>
      <c r="CI11">
        <v>327139</v>
      </c>
      <c r="CJ11">
        <v>3.4997399999999998E-2</v>
      </c>
      <c r="CK11">
        <v>647567</v>
      </c>
      <c r="CL11">
        <v>0.49481829999999999</v>
      </c>
      <c r="CM11">
        <v>320428</v>
      </c>
      <c r="CN11">
        <v>6.9244899999999998E-2</v>
      </c>
      <c r="CO11">
        <v>320428</v>
      </c>
      <c r="CP11">
        <v>1.5853800000000001E-2</v>
      </c>
      <c r="CQ11">
        <v>320428</v>
      </c>
      <c r="CR11">
        <v>9.2566800000000005E-2</v>
      </c>
      <c r="CS11">
        <v>320428</v>
      </c>
      <c r="CT11">
        <v>4.5092800000000002E-2</v>
      </c>
      <c r="CU11">
        <v>320428</v>
      </c>
      <c r="CV11">
        <v>1.8181900000000001E-2</v>
      </c>
      <c r="CW11">
        <v>320428</v>
      </c>
      <c r="CX11">
        <v>2.5987099999999999E-2</v>
      </c>
      <c r="CY11">
        <v>320428</v>
      </c>
      <c r="CZ11">
        <v>8.5663500000000004E-2</v>
      </c>
      <c r="DA11">
        <v>320428</v>
      </c>
      <c r="DB11">
        <v>0.1021634</v>
      </c>
      <c r="DC11">
        <v>320428</v>
      </c>
      <c r="DD11">
        <v>0.14721870000000001</v>
      </c>
      <c r="DE11">
        <v>320428</v>
      </c>
      <c r="DF11">
        <v>0.1734742</v>
      </c>
      <c r="DG11">
        <v>320428</v>
      </c>
      <c r="DH11">
        <v>0.11387890000000001</v>
      </c>
      <c r="DI11">
        <v>320428</v>
      </c>
      <c r="DJ11">
        <v>5.7235899999999999E-2</v>
      </c>
      <c r="DK11">
        <v>320428</v>
      </c>
      <c r="DL11">
        <v>5.3437900000000003E-2</v>
      </c>
      <c r="DM11">
        <v>438217</v>
      </c>
      <c r="DN11">
        <v>5.5132500000000001E-2</v>
      </c>
      <c r="DO11">
        <v>24160</v>
      </c>
      <c r="DP11">
        <v>0.38245030000000002</v>
      </c>
      <c r="DQ11">
        <v>9240</v>
      </c>
      <c r="DR11">
        <v>0.35119050000000002</v>
      </c>
      <c r="DS11">
        <v>9240</v>
      </c>
      <c r="DT11">
        <v>0.24805189999999999</v>
      </c>
      <c r="DU11">
        <v>9240</v>
      </c>
      <c r="DV11">
        <v>0.19837659999999999</v>
      </c>
      <c r="DW11">
        <v>9240</v>
      </c>
      <c r="DX11">
        <v>0.20238100000000001</v>
      </c>
      <c r="DY11">
        <v>24160</v>
      </c>
      <c r="DZ11">
        <v>0.61754969999999998</v>
      </c>
      <c r="EA11">
        <v>14920</v>
      </c>
      <c r="EB11">
        <v>0.31561660000000002</v>
      </c>
      <c r="EC11">
        <v>14920</v>
      </c>
      <c r="ED11">
        <v>0.28867290000000001</v>
      </c>
      <c r="EE11">
        <v>14920</v>
      </c>
      <c r="EF11">
        <v>0.22888739999999999</v>
      </c>
      <c r="EG11">
        <v>14920</v>
      </c>
      <c r="EH11">
        <v>0.1668231</v>
      </c>
      <c r="EI11">
        <v>438217</v>
      </c>
      <c r="EJ11">
        <v>0.94486749999999997</v>
      </c>
      <c r="EK11">
        <v>414057</v>
      </c>
      <c r="EL11">
        <v>0.49898680000000001</v>
      </c>
      <c r="EM11">
        <v>206609</v>
      </c>
      <c r="EN11">
        <v>0.1092014</v>
      </c>
      <c r="EO11">
        <v>206609</v>
      </c>
      <c r="EP11">
        <v>0.1998461</v>
      </c>
      <c r="EQ11">
        <v>206609</v>
      </c>
      <c r="ER11">
        <v>0.25425799999999998</v>
      </c>
      <c r="ES11">
        <v>206609</v>
      </c>
      <c r="ET11">
        <v>0.43669439999999998</v>
      </c>
      <c r="EU11">
        <v>414057</v>
      </c>
      <c r="EV11">
        <v>0.50101320000000005</v>
      </c>
      <c r="EW11">
        <v>207448</v>
      </c>
      <c r="EX11">
        <v>9.2297799999999999E-2</v>
      </c>
      <c r="EY11">
        <v>207448</v>
      </c>
      <c r="EZ11">
        <v>0.2161795</v>
      </c>
      <c r="FA11">
        <v>207448</v>
      </c>
      <c r="FB11">
        <v>0.2830974</v>
      </c>
      <c r="FC11">
        <v>207448</v>
      </c>
      <c r="FD11">
        <v>0.40842519999999999</v>
      </c>
      <c r="FE11">
        <v>524848</v>
      </c>
      <c r="FF11">
        <v>6.0699500000000003E-2</v>
      </c>
      <c r="FG11">
        <v>31858</v>
      </c>
      <c r="FH11">
        <v>0.40259899999999998</v>
      </c>
      <c r="FI11">
        <v>12826</v>
      </c>
      <c r="FJ11">
        <v>0.10728210000000001</v>
      </c>
      <c r="FK11">
        <v>12826</v>
      </c>
      <c r="FL11">
        <v>0.43825039999999998</v>
      </c>
      <c r="FM11">
        <v>12826</v>
      </c>
      <c r="FN11">
        <v>0.45446750000000002</v>
      </c>
      <c r="FO11">
        <v>12826</v>
      </c>
      <c r="FP11">
        <v>0.56276320000000002</v>
      </c>
      <c r="FQ11">
        <v>12826</v>
      </c>
      <c r="FR11">
        <v>0.43723689999999998</v>
      </c>
      <c r="FS11">
        <v>7218</v>
      </c>
      <c r="FT11">
        <v>0.74854529999999997</v>
      </c>
      <c r="FU11">
        <v>7218</v>
      </c>
      <c r="FV11">
        <v>0.25145469999999998</v>
      </c>
      <c r="FW11">
        <v>31858</v>
      </c>
      <c r="FX11">
        <v>0.59740099999999996</v>
      </c>
      <c r="FY11">
        <v>19032</v>
      </c>
      <c r="FZ11">
        <v>4.4188699999999997E-2</v>
      </c>
      <c r="GA11">
        <v>19032</v>
      </c>
      <c r="GB11">
        <v>0.37363390000000002</v>
      </c>
      <c r="GC11">
        <v>19032</v>
      </c>
      <c r="GD11">
        <v>0.58217739999999996</v>
      </c>
      <c r="GE11">
        <v>19032</v>
      </c>
      <c r="GF11">
        <v>0.45933170000000001</v>
      </c>
      <c r="GG11">
        <v>19032</v>
      </c>
      <c r="GH11">
        <v>0.54066840000000005</v>
      </c>
      <c r="GI11">
        <v>8742</v>
      </c>
      <c r="GJ11">
        <v>0.68188059999999995</v>
      </c>
      <c r="GK11">
        <v>8742</v>
      </c>
      <c r="GL11">
        <v>0.3181194</v>
      </c>
      <c r="GM11">
        <v>524848</v>
      </c>
      <c r="GN11">
        <v>0.93930049999999998</v>
      </c>
      <c r="GO11">
        <v>492990</v>
      </c>
      <c r="GP11">
        <v>0.50663499999999995</v>
      </c>
      <c r="GQ11">
        <v>249766</v>
      </c>
      <c r="GR11">
        <v>0.55705740000000004</v>
      </c>
      <c r="GS11">
        <v>249766</v>
      </c>
      <c r="GT11">
        <v>0.26182509999999998</v>
      </c>
      <c r="GU11">
        <v>249766</v>
      </c>
      <c r="GV11">
        <v>0.18111749999999999</v>
      </c>
      <c r="GW11">
        <v>247262</v>
      </c>
      <c r="GX11">
        <v>0.80037369999999997</v>
      </c>
      <c r="GY11">
        <v>247262</v>
      </c>
      <c r="GZ11">
        <v>0.19962630000000001</v>
      </c>
      <c r="HA11">
        <v>197902</v>
      </c>
      <c r="HB11">
        <v>0.91082450000000004</v>
      </c>
      <c r="HC11">
        <v>197902</v>
      </c>
      <c r="HD11">
        <v>8.9175400000000002E-2</v>
      </c>
      <c r="HE11">
        <v>492990</v>
      </c>
      <c r="HF11">
        <v>0.493365</v>
      </c>
      <c r="HG11">
        <v>243224</v>
      </c>
      <c r="HH11">
        <v>0.3806409</v>
      </c>
      <c r="HI11">
        <v>243224</v>
      </c>
      <c r="HJ11">
        <v>0.29655789999999999</v>
      </c>
      <c r="HK11">
        <v>243224</v>
      </c>
      <c r="HL11">
        <v>0.32280120000000001</v>
      </c>
      <c r="HM11">
        <v>242794</v>
      </c>
      <c r="HN11">
        <v>0.65161820000000004</v>
      </c>
      <c r="HO11">
        <v>242794</v>
      </c>
      <c r="HP11">
        <v>0.34838180000000002</v>
      </c>
      <c r="HQ11">
        <v>158209</v>
      </c>
      <c r="HR11">
        <v>0.9314325</v>
      </c>
      <c r="HS11">
        <v>158209</v>
      </c>
      <c r="HT11">
        <v>6.8567500000000003E-2</v>
      </c>
      <c r="HU11">
        <v>172366</v>
      </c>
      <c r="HV11">
        <v>7.9122300000000007E-2</v>
      </c>
      <c r="HW11">
        <v>13638</v>
      </c>
      <c r="HX11">
        <v>0.44214700000000001</v>
      </c>
      <c r="HY11">
        <v>6030</v>
      </c>
      <c r="HZ11">
        <v>0.83681589999999995</v>
      </c>
      <c r="IA11">
        <v>6030</v>
      </c>
      <c r="IB11">
        <v>0.83681589999999995</v>
      </c>
      <c r="IC11">
        <v>6030</v>
      </c>
      <c r="ID11">
        <v>0.83681589999999995</v>
      </c>
      <c r="IE11">
        <v>6030</v>
      </c>
      <c r="IF11">
        <v>0.83681589999999995</v>
      </c>
      <c r="IG11">
        <v>6030</v>
      </c>
      <c r="IH11">
        <v>0.1631841</v>
      </c>
      <c r="II11">
        <v>13638</v>
      </c>
      <c r="IJ11">
        <v>0.55785300000000004</v>
      </c>
      <c r="IK11">
        <v>7608</v>
      </c>
      <c r="IL11">
        <v>0.15141959999999999</v>
      </c>
      <c r="IM11">
        <v>1152</v>
      </c>
      <c r="IN11">
        <v>0.84027779999999996</v>
      </c>
      <c r="IO11">
        <v>968</v>
      </c>
      <c r="IP11">
        <v>9.6074400000000004E-2</v>
      </c>
      <c r="IQ11">
        <v>968</v>
      </c>
      <c r="IR11">
        <v>0.2716942</v>
      </c>
      <c r="IS11">
        <v>968</v>
      </c>
      <c r="IT11">
        <v>0.6322314</v>
      </c>
      <c r="IU11">
        <v>1152</v>
      </c>
      <c r="IV11">
        <v>0.15972220000000001</v>
      </c>
      <c r="IW11">
        <v>7608</v>
      </c>
      <c r="IX11">
        <v>0.84858040000000001</v>
      </c>
      <c r="IY11">
        <v>6456</v>
      </c>
      <c r="IZ11">
        <v>0.83705079999999998</v>
      </c>
      <c r="JA11">
        <v>5404</v>
      </c>
      <c r="JB11">
        <v>0.1387861</v>
      </c>
      <c r="JC11">
        <v>5404</v>
      </c>
      <c r="JD11">
        <v>0.38619540000000002</v>
      </c>
      <c r="JE11">
        <v>5404</v>
      </c>
      <c r="JF11">
        <v>0.47501850000000001</v>
      </c>
      <c r="JG11">
        <v>6456</v>
      </c>
      <c r="JH11">
        <v>0.16294919999999999</v>
      </c>
      <c r="JI11">
        <v>172366</v>
      </c>
      <c r="JJ11">
        <v>1.7259799999999999E-2</v>
      </c>
      <c r="JK11">
        <v>2975</v>
      </c>
      <c r="JL11">
        <v>0.67798320000000001</v>
      </c>
      <c r="JM11">
        <v>2017</v>
      </c>
      <c r="JN11">
        <v>0.85820529999999995</v>
      </c>
      <c r="JO11">
        <v>2017</v>
      </c>
      <c r="JP11">
        <v>0.85820529999999995</v>
      </c>
      <c r="JQ11">
        <v>2017</v>
      </c>
      <c r="JR11">
        <v>0.85820529999999995</v>
      </c>
      <c r="JS11">
        <v>2017</v>
      </c>
      <c r="JT11">
        <v>0.85820529999999995</v>
      </c>
      <c r="JU11">
        <v>2017</v>
      </c>
      <c r="JV11">
        <v>0.1417947</v>
      </c>
      <c r="JW11">
        <v>2975</v>
      </c>
      <c r="JX11">
        <v>0.32201679999999999</v>
      </c>
      <c r="JY11">
        <v>958</v>
      </c>
      <c r="JZ11">
        <v>0.3590814</v>
      </c>
      <c r="KA11">
        <v>344</v>
      </c>
      <c r="KB11">
        <v>1</v>
      </c>
      <c r="KC11">
        <v>344</v>
      </c>
      <c r="KD11">
        <v>0.75872090000000003</v>
      </c>
      <c r="KE11">
        <v>344</v>
      </c>
      <c r="KF11">
        <v>0</v>
      </c>
      <c r="KG11">
        <v>344</v>
      </c>
      <c r="KH11">
        <v>0.2412791</v>
      </c>
      <c r="KI11">
        <v>344</v>
      </c>
      <c r="KJ11">
        <v>0</v>
      </c>
      <c r="KK11">
        <v>958</v>
      </c>
      <c r="KL11">
        <v>0.6409186</v>
      </c>
      <c r="KM11">
        <v>614</v>
      </c>
      <c r="KN11">
        <v>0.40390880000000001</v>
      </c>
      <c r="KO11">
        <v>248</v>
      </c>
      <c r="KP11">
        <v>0.21774189999999999</v>
      </c>
      <c r="KQ11">
        <v>248</v>
      </c>
      <c r="KR11">
        <v>0</v>
      </c>
      <c r="KS11">
        <v>248</v>
      </c>
      <c r="KT11">
        <v>0.78225809999999996</v>
      </c>
      <c r="KU11">
        <v>614</v>
      </c>
      <c r="KV11">
        <v>0.59609120000000004</v>
      </c>
      <c r="KW11">
        <v>172366</v>
      </c>
      <c r="KX11">
        <v>3.8952000000000001E-2</v>
      </c>
      <c r="KY11">
        <v>6714</v>
      </c>
      <c r="KZ11">
        <v>0.74188259999999995</v>
      </c>
      <c r="LA11">
        <v>4981</v>
      </c>
      <c r="LB11">
        <v>0.77815699999999999</v>
      </c>
      <c r="LC11">
        <v>4981</v>
      </c>
      <c r="LD11">
        <v>0.77815699999999999</v>
      </c>
      <c r="LE11">
        <v>4981</v>
      </c>
      <c r="LF11">
        <v>0.77815699999999999</v>
      </c>
      <c r="LG11">
        <v>4981</v>
      </c>
      <c r="LH11">
        <v>0.77815699999999999</v>
      </c>
      <c r="LI11">
        <v>4981</v>
      </c>
      <c r="LJ11">
        <v>0.22184300000000001</v>
      </c>
      <c r="LK11">
        <v>6714</v>
      </c>
      <c r="LL11">
        <v>0.2581174</v>
      </c>
      <c r="LM11">
        <v>1733</v>
      </c>
      <c r="LN11">
        <v>0.43162149999999999</v>
      </c>
      <c r="LO11">
        <v>748</v>
      </c>
      <c r="LP11">
        <v>0.53074869999999996</v>
      </c>
      <c r="LQ11">
        <v>397</v>
      </c>
      <c r="LR11">
        <v>0.42821160000000003</v>
      </c>
      <c r="LS11">
        <v>397</v>
      </c>
      <c r="LT11">
        <v>0.17884130000000001</v>
      </c>
      <c r="LU11">
        <v>397</v>
      </c>
      <c r="LV11">
        <v>0.39294709999999999</v>
      </c>
      <c r="LW11">
        <v>748</v>
      </c>
      <c r="LX11">
        <v>0.46925129999999998</v>
      </c>
      <c r="LY11">
        <v>1733</v>
      </c>
      <c r="LZ11">
        <v>0.56837850000000001</v>
      </c>
      <c r="MA11">
        <v>985</v>
      </c>
      <c r="MB11">
        <v>0.66294410000000004</v>
      </c>
      <c r="MC11">
        <v>653</v>
      </c>
      <c r="MD11">
        <v>0.14241960000000001</v>
      </c>
      <c r="ME11">
        <v>653</v>
      </c>
      <c r="MF11">
        <v>0.48238900000000001</v>
      </c>
      <c r="MG11">
        <v>653</v>
      </c>
      <c r="MH11">
        <v>0.37519140000000001</v>
      </c>
      <c r="MI11">
        <v>985</v>
      </c>
      <c r="MJ11">
        <v>0.33705580000000002</v>
      </c>
      <c r="MK11">
        <v>172366</v>
      </c>
      <c r="ML11">
        <v>0.86466589999999999</v>
      </c>
      <c r="MM11">
        <v>149039</v>
      </c>
      <c r="MN11">
        <v>0.85040159999999998</v>
      </c>
      <c r="MO11">
        <v>126743</v>
      </c>
      <c r="MP11">
        <v>0.50499039999999995</v>
      </c>
      <c r="MQ11">
        <v>126743</v>
      </c>
      <c r="MR11">
        <v>0.50499039999999995</v>
      </c>
      <c r="MS11">
        <v>126743</v>
      </c>
      <c r="MT11">
        <v>0.50499039999999995</v>
      </c>
      <c r="MU11">
        <v>126743</v>
      </c>
      <c r="MV11">
        <v>0.50499039999999995</v>
      </c>
      <c r="MW11">
        <v>126743</v>
      </c>
      <c r="MX11">
        <v>0.49500959999999999</v>
      </c>
      <c r="MY11">
        <v>149039</v>
      </c>
      <c r="MZ11">
        <v>0.14959839999999999</v>
      </c>
      <c r="NA11">
        <v>22296</v>
      </c>
      <c r="NB11">
        <v>0.36688199999999999</v>
      </c>
      <c r="NC11">
        <v>8180</v>
      </c>
      <c r="ND11">
        <v>0.52322740000000001</v>
      </c>
      <c r="NE11">
        <v>4280</v>
      </c>
      <c r="NF11">
        <v>0.31495329999999999</v>
      </c>
      <c r="NG11">
        <v>4280</v>
      </c>
      <c r="NH11">
        <v>0.1135514</v>
      </c>
      <c r="NI11">
        <v>4280</v>
      </c>
      <c r="NJ11">
        <v>0.57149539999999999</v>
      </c>
      <c r="NK11">
        <v>8180</v>
      </c>
      <c r="NL11">
        <v>0.47677259999999999</v>
      </c>
      <c r="NM11">
        <v>22296</v>
      </c>
      <c r="NN11">
        <v>0.63311799999999996</v>
      </c>
      <c r="NO11">
        <v>14116</v>
      </c>
      <c r="NP11">
        <v>0.57509209999999999</v>
      </c>
      <c r="NQ11">
        <v>8118</v>
      </c>
      <c r="NR11">
        <v>0.14400099999999999</v>
      </c>
      <c r="NS11">
        <v>8118</v>
      </c>
      <c r="NT11">
        <v>7.9945799999999997E-2</v>
      </c>
      <c r="NU11">
        <v>8118</v>
      </c>
      <c r="NV11">
        <v>0.7760532</v>
      </c>
      <c r="NW11">
        <v>14116</v>
      </c>
      <c r="NX11">
        <v>0.42490790000000001</v>
      </c>
    </row>
    <row r="12" spans="1:388" x14ac:dyDescent="0.25">
      <c r="A12" t="s">
        <v>132</v>
      </c>
      <c r="B12">
        <v>2009</v>
      </c>
      <c r="C12">
        <v>1</v>
      </c>
      <c r="D12" t="s">
        <v>545</v>
      </c>
      <c r="E12">
        <v>22265</v>
      </c>
      <c r="F12">
        <v>0.437413</v>
      </c>
      <c r="G12">
        <v>9739</v>
      </c>
      <c r="H12">
        <v>0.13481879999999999</v>
      </c>
      <c r="I12">
        <v>9739</v>
      </c>
      <c r="J12">
        <v>4.9286E-3</v>
      </c>
      <c r="K12">
        <v>9739</v>
      </c>
      <c r="L12">
        <v>0.17075679999999999</v>
      </c>
      <c r="M12">
        <v>9739</v>
      </c>
      <c r="N12">
        <v>3.10093E-2</v>
      </c>
      <c r="O12">
        <v>9739</v>
      </c>
      <c r="P12">
        <v>1.9714499999999999E-2</v>
      </c>
      <c r="Q12">
        <v>9739</v>
      </c>
      <c r="R12">
        <v>7.8139399999999998E-2</v>
      </c>
      <c r="S12">
        <v>9739</v>
      </c>
      <c r="T12">
        <v>9.1282500000000003E-2</v>
      </c>
      <c r="U12">
        <v>9739</v>
      </c>
      <c r="V12">
        <v>9.3438800000000002E-2</v>
      </c>
      <c r="W12">
        <v>9739</v>
      </c>
      <c r="X12">
        <v>9.2514600000000002E-2</v>
      </c>
      <c r="Y12">
        <v>9739</v>
      </c>
      <c r="Z12">
        <v>0.19016330000000001</v>
      </c>
      <c r="AA12">
        <v>9739</v>
      </c>
      <c r="AB12">
        <v>4.7746200000000003E-2</v>
      </c>
      <c r="AC12">
        <v>9739</v>
      </c>
      <c r="AD12">
        <v>3.4705800000000002E-2</v>
      </c>
      <c r="AE12">
        <v>9739</v>
      </c>
      <c r="AF12">
        <v>1.07814E-2</v>
      </c>
      <c r="AG12">
        <v>22265</v>
      </c>
      <c r="AH12">
        <v>0.56258699999999995</v>
      </c>
      <c r="AI12">
        <v>12526</v>
      </c>
      <c r="AJ12">
        <v>0.13779340000000001</v>
      </c>
      <c r="AK12">
        <v>12526</v>
      </c>
      <c r="AL12">
        <v>0</v>
      </c>
      <c r="AM12">
        <v>12526</v>
      </c>
      <c r="AN12">
        <v>0.1124062</v>
      </c>
      <c r="AO12">
        <v>12526</v>
      </c>
      <c r="AP12">
        <v>6.6182299999999999E-2</v>
      </c>
      <c r="AQ12">
        <v>12526</v>
      </c>
      <c r="AR12">
        <v>3.5127000000000001E-3</v>
      </c>
      <c r="AS12">
        <v>12526</v>
      </c>
      <c r="AT12">
        <v>3.3210900000000002E-2</v>
      </c>
      <c r="AU12">
        <v>12526</v>
      </c>
      <c r="AV12">
        <v>0.12621750000000001</v>
      </c>
      <c r="AW12">
        <v>12526</v>
      </c>
      <c r="AX12">
        <v>6.88169E-2</v>
      </c>
      <c r="AY12">
        <v>12526</v>
      </c>
      <c r="AZ12">
        <v>0.1530417</v>
      </c>
      <c r="BA12">
        <v>12526</v>
      </c>
      <c r="BB12">
        <v>0.150008</v>
      </c>
      <c r="BC12">
        <v>12526</v>
      </c>
      <c r="BD12">
        <v>5.3408900000000002E-2</v>
      </c>
      <c r="BE12">
        <v>12526</v>
      </c>
      <c r="BF12">
        <v>5.11736E-2</v>
      </c>
      <c r="BG12">
        <v>12526</v>
      </c>
      <c r="BH12">
        <v>4.4228000000000003E-2</v>
      </c>
      <c r="BI12">
        <v>296943</v>
      </c>
      <c r="BJ12">
        <v>0.50798980000000005</v>
      </c>
      <c r="BK12">
        <v>150844</v>
      </c>
      <c r="BL12">
        <v>6.3953499999999996E-2</v>
      </c>
      <c r="BM12">
        <v>150844</v>
      </c>
      <c r="BN12">
        <v>1.0607E-2</v>
      </c>
      <c r="BO12">
        <v>150844</v>
      </c>
      <c r="BP12">
        <v>0.1031397</v>
      </c>
      <c r="BQ12">
        <v>150844</v>
      </c>
      <c r="BR12">
        <v>3.98955E-2</v>
      </c>
      <c r="BS12">
        <v>150844</v>
      </c>
      <c r="BT12">
        <v>1.6288400000000001E-2</v>
      </c>
      <c r="BU12">
        <v>150844</v>
      </c>
      <c r="BV12">
        <v>2.7571499999999999E-2</v>
      </c>
      <c r="BW12">
        <v>150844</v>
      </c>
      <c r="BX12">
        <v>8.6606000000000002E-2</v>
      </c>
      <c r="BY12">
        <v>150844</v>
      </c>
      <c r="BZ12">
        <v>0.12101240000000001</v>
      </c>
      <c r="CA12">
        <v>150844</v>
      </c>
      <c r="CB12">
        <v>0.15542549999999999</v>
      </c>
      <c r="CC12">
        <v>150844</v>
      </c>
      <c r="CD12">
        <v>0.1676832</v>
      </c>
      <c r="CE12">
        <v>150844</v>
      </c>
      <c r="CF12">
        <v>0.1116186</v>
      </c>
      <c r="CG12">
        <v>150844</v>
      </c>
      <c r="CH12">
        <v>6.0439899999999998E-2</v>
      </c>
      <c r="CI12">
        <v>150844</v>
      </c>
      <c r="CJ12">
        <v>3.57588E-2</v>
      </c>
      <c r="CK12">
        <v>296943</v>
      </c>
      <c r="CL12">
        <v>0.49201030000000001</v>
      </c>
      <c r="CM12">
        <v>146099</v>
      </c>
      <c r="CN12">
        <v>6.0999699999999997E-2</v>
      </c>
      <c r="CO12">
        <v>146099</v>
      </c>
      <c r="CP12">
        <v>1.32855E-2</v>
      </c>
      <c r="CQ12">
        <v>146099</v>
      </c>
      <c r="CR12">
        <v>8.1882800000000006E-2</v>
      </c>
      <c r="CS12">
        <v>146099</v>
      </c>
      <c r="CT12">
        <v>5.3990799999999999E-2</v>
      </c>
      <c r="CU12">
        <v>146099</v>
      </c>
      <c r="CV12">
        <v>1.7898799999999999E-2</v>
      </c>
      <c r="CW12">
        <v>146099</v>
      </c>
      <c r="CX12">
        <v>2.9514200000000001E-2</v>
      </c>
      <c r="CY12">
        <v>146099</v>
      </c>
      <c r="CZ12">
        <v>7.69957E-2</v>
      </c>
      <c r="DA12">
        <v>146099</v>
      </c>
      <c r="DB12">
        <v>0.11131489999999999</v>
      </c>
      <c r="DC12">
        <v>146099</v>
      </c>
      <c r="DD12">
        <v>0.15529200000000001</v>
      </c>
      <c r="DE12">
        <v>146099</v>
      </c>
      <c r="DF12">
        <v>0.1671127</v>
      </c>
      <c r="DG12">
        <v>146099</v>
      </c>
      <c r="DH12">
        <v>0.1160651</v>
      </c>
      <c r="DI12">
        <v>146099</v>
      </c>
      <c r="DJ12">
        <v>6.4189399999999994E-2</v>
      </c>
      <c r="DK12">
        <v>146099</v>
      </c>
      <c r="DL12">
        <v>5.1458299999999998E-2</v>
      </c>
      <c r="DM12">
        <v>206653</v>
      </c>
      <c r="DN12">
        <v>5.3679400000000002E-2</v>
      </c>
      <c r="DO12">
        <v>11093</v>
      </c>
      <c r="DP12">
        <v>0.41206169999999998</v>
      </c>
      <c r="DQ12">
        <v>4571</v>
      </c>
      <c r="DR12">
        <v>0.1450448</v>
      </c>
      <c r="DS12">
        <v>4571</v>
      </c>
      <c r="DT12">
        <v>0.35922120000000002</v>
      </c>
      <c r="DU12">
        <v>4571</v>
      </c>
      <c r="DV12">
        <v>0.36753449999999999</v>
      </c>
      <c r="DW12">
        <v>4571</v>
      </c>
      <c r="DX12">
        <v>0.12819949999999999</v>
      </c>
      <c r="DY12">
        <v>11093</v>
      </c>
      <c r="DZ12">
        <v>0.58793839999999997</v>
      </c>
      <c r="EA12">
        <v>6522</v>
      </c>
      <c r="EB12">
        <v>0.15976689999999999</v>
      </c>
      <c r="EC12">
        <v>6522</v>
      </c>
      <c r="ED12">
        <v>0.39159769999999999</v>
      </c>
      <c r="EE12">
        <v>6522</v>
      </c>
      <c r="EF12">
        <v>0.31708059999999999</v>
      </c>
      <c r="EG12">
        <v>6522</v>
      </c>
      <c r="EH12">
        <v>0.1315547</v>
      </c>
      <c r="EI12">
        <v>206653</v>
      </c>
      <c r="EJ12">
        <v>0.94632070000000001</v>
      </c>
      <c r="EK12">
        <v>195560</v>
      </c>
      <c r="EL12">
        <v>0.50286869999999995</v>
      </c>
      <c r="EM12">
        <v>98341</v>
      </c>
      <c r="EN12">
        <v>8.3169800000000002E-2</v>
      </c>
      <c r="EO12">
        <v>98341</v>
      </c>
      <c r="EP12">
        <v>0.2759683</v>
      </c>
      <c r="EQ12">
        <v>98341</v>
      </c>
      <c r="ER12">
        <v>0.28962490000000002</v>
      </c>
      <c r="ES12">
        <v>98341</v>
      </c>
      <c r="ET12">
        <v>0.35123700000000002</v>
      </c>
      <c r="EU12">
        <v>195560</v>
      </c>
      <c r="EV12">
        <v>0.4971313</v>
      </c>
      <c r="EW12">
        <v>97219</v>
      </c>
      <c r="EX12">
        <v>7.2681300000000004E-2</v>
      </c>
      <c r="EY12">
        <v>97219</v>
      </c>
      <c r="EZ12">
        <v>0.28547919999999999</v>
      </c>
      <c r="FA12">
        <v>97219</v>
      </c>
      <c r="FB12">
        <v>0.31759219999999999</v>
      </c>
      <c r="FC12">
        <v>97219</v>
      </c>
      <c r="FD12">
        <v>0.32424730000000002</v>
      </c>
      <c r="FE12">
        <v>243084</v>
      </c>
      <c r="FF12">
        <v>6.0637499999999997E-2</v>
      </c>
      <c r="FG12">
        <v>14740</v>
      </c>
      <c r="FH12">
        <v>0.4220488</v>
      </c>
      <c r="FI12">
        <v>6221</v>
      </c>
      <c r="FJ12">
        <v>0.12988259999999999</v>
      </c>
      <c r="FK12">
        <v>6221</v>
      </c>
      <c r="FL12">
        <v>0.3329047</v>
      </c>
      <c r="FM12">
        <v>6221</v>
      </c>
      <c r="FN12">
        <v>0.53721269999999999</v>
      </c>
      <c r="FO12">
        <v>6221</v>
      </c>
      <c r="FP12">
        <v>0.60054649999999998</v>
      </c>
      <c r="FQ12">
        <v>6221</v>
      </c>
      <c r="FR12">
        <v>0.39945350000000002</v>
      </c>
      <c r="FS12">
        <v>3736</v>
      </c>
      <c r="FT12">
        <v>0.48768739999999999</v>
      </c>
      <c r="FU12">
        <v>3736</v>
      </c>
      <c r="FV12">
        <v>0.51231269999999995</v>
      </c>
      <c r="FW12">
        <v>14740</v>
      </c>
      <c r="FX12">
        <v>0.57795110000000005</v>
      </c>
      <c r="FY12">
        <v>8519</v>
      </c>
      <c r="FZ12">
        <v>5.9161900000000003E-2</v>
      </c>
      <c r="GA12">
        <v>8519</v>
      </c>
      <c r="GB12">
        <v>0.39394299999999999</v>
      </c>
      <c r="GC12">
        <v>8519</v>
      </c>
      <c r="GD12">
        <v>0.54689509999999997</v>
      </c>
      <c r="GE12">
        <v>8519</v>
      </c>
      <c r="GF12">
        <v>0.46977340000000001</v>
      </c>
      <c r="GG12">
        <v>8519</v>
      </c>
      <c r="GH12">
        <v>0.53022650000000004</v>
      </c>
      <c r="GI12">
        <v>4002</v>
      </c>
      <c r="GJ12">
        <v>0.7816092</v>
      </c>
      <c r="GK12">
        <v>4002</v>
      </c>
      <c r="GL12">
        <v>0.2183908</v>
      </c>
      <c r="GM12">
        <v>243084</v>
      </c>
      <c r="GN12">
        <v>0.93936249999999999</v>
      </c>
      <c r="GO12">
        <v>228344</v>
      </c>
      <c r="GP12">
        <v>0.50609610000000005</v>
      </c>
      <c r="GQ12">
        <v>115564</v>
      </c>
      <c r="GR12">
        <v>0.56585960000000002</v>
      </c>
      <c r="GS12">
        <v>115564</v>
      </c>
      <c r="GT12">
        <v>0.2487626</v>
      </c>
      <c r="GU12">
        <v>115564</v>
      </c>
      <c r="GV12">
        <v>0.18537780000000001</v>
      </c>
      <c r="GW12">
        <v>115415</v>
      </c>
      <c r="GX12">
        <v>0.79770390000000002</v>
      </c>
      <c r="GY12">
        <v>115415</v>
      </c>
      <c r="GZ12">
        <v>0.20229610000000001</v>
      </c>
      <c r="HA12">
        <v>92067</v>
      </c>
      <c r="HB12">
        <v>0.89769410000000005</v>
      </c>
      <c r="HC12">
        <v>92067</v>
      </c>
      <c r="HD12">
        <v>0.10230590000000001</v>
      </c>
      <c r="HE12">
        <v>228344</v>
      </c>
      <c r="HF12">
        <v>0.49390390000000001</v>
      </c>
      <c r="HG12">
        <v>112780</v>
      </c>
      <c r="HH12">
        <v>0.35579889999999997</v>
      </c>
      <c r="HI12">
        <v>112780</v>
      </c>
      <c r="HJ12">
        <v>0.32951760000000002</v>
      </c>
      <c r="HK12">
        <v>112780</v>
      </c>
      <c r="HL12">
        <v>0.3146835</v>
      </c>
      <c r="HM12">
        <v>112780</v>
      </c>
      <c r="HN12">
        <v>0.66437310000000005</v>
      </c>
      <c r="HO12">
        <v>112780</v>
      </c>
      <c r="HP12">
        <v>0.33562690000000001</v>
      </c>
      <c r="HQ12">
        <v>74928</v>
      </c>
      <c r="HR12">
        <v>0.92149800000000004</v>
      </c>
      <c r="HS12">
        <v>74928</v>
      </c>
      <c r="HT12">
        <v>7.8502000000000002E-2</v>
      </c>
      <c r="HU12">
        <v>82292</v>
      </c>
      <c r="HV12">
        <v>7.31541E-2</v>
      </c>
      <c r="HW12">
        <v>6020</v>
      </c>
      <c r="HX12">
        <v>0.44717610000000002</v>
      </c>
      <c r="HY12">
        <v>2692</v>
      </c>
      <c r="HZ12">
        <v>0.58766719999999995</v>
      </c>
      <c r="IA12">
        <v>2692</v>
      </c>
      <c r="IB12">
        <v>0.58766719999999995</v>
      </c>
      <c r="IC12">
        <v>2692</v>
      </c>
      <c r="ID12">
        <v>0.58766719999999995</v>
      </c>
      <c r="IE12">
        <v>2692</v>
      </c>
      <c r="IF12">
        <v>0.58766719999999995</v>
      </c>
      <c r="IG12">
        <v>2692</v>
      </c>
      <c r="IH12">
        <v>0.4123328</v>
      </c>
      <c r="II12">
        <v>6020</v>
      </c>
      <c r="IJ12">
        <v>0.55282390000000003</v>
      </c>
      <c r="IK12">
        <v>3328</v>
      </c>
      <c r="IL12">
        <v>0.17457929999999999</v>
      </c>
      <c r="IM12">
        <v>581</v>
      </c>
      <c r="IN12">
        <v>1</v>
      </c>
      <c r="IO12">
        <v>581</v>
      </c>
      <c r="IP12">
        <v>0.52495689999999995</v>
      </c>
      <c r="IQ12">
        <v>581</v>
      </c>
      <c r="IR12">
        <v>0</v>
      </c>
      <c r="IS12">
        <v>581</v>
      </c>
      <c r="IT12">
        <v>0.47504299999999999</v>
      </c>
      <c r="IU12">
        <v>581</v>
      </c>
      <c r="IV12">
        <v>0</v>
      </c>
      <c r="IW12">
        <v>3328</v>
      </c>
      <c r="IX12">
        <v>0.82542070000000001</v>
      </c>
      <c r="IY12">
        <v>2747</v>
      </c>
      <c r="IZ12">
        <v>0.86385149999999999</v>
      </c>
      <c r="JA12">
        <v>2373</v>
      </c>
      <c r="JB12">
        <v>0.2220818</v>
      </c>
      <c r="JC12">
        <v>2373</v>
      </c>
      <c r="JD12">
        <v>0.17909820000000001</v>
      </c>
      <c r="JE12">
        <v>2373</v>
      </c>
      <c r="JF12">
        <v>0.59882000000000002</v>
      </c>
      <c r="JG12">
        <v>2747</v>
      </c>
      <c r="JH12">
        <v>0.13614850000000001</v>
      </c>
      <c r="JI12">
        <v>82292</v>
      </c>
      <c r="JJ12">
        <v>1.9904700000000001E-2</v>
      </c>
      <c r="JK12">
        <v>1638</v>
      </c>
      <c r="JL12">
        <v>0.62515259999999995</v>
      </c>
      <c r="JM12">
        <v>1024</v>
      </c>
      <c r="JN12">
        <v>0.703125</v>
      </c>
      <c r="JO12">
        <v>1024</v>
      </c>
      <c r="JP12">
        <v>0.703125</v>
      </c>
      <c r="JQ12">
        <v>1024</v>
      </c>
      <c r="JR12">
        <v>0.703125</v>
      </c>
      <c r="JS12">
        <v>1024</v>
      </c>
      <c r="JT12">
        <v>0.703125</v>
      </c>
      <c r="JU12">
        <v>1024</v>
      </c>
      <c r="JV12">
        <v>0.296875</v>
      </c>
      <c r="JW12">
        <v>1638</v>
      </c>
      <c r="JX12">
        <v>0.3748474</v>
      </c>
      <c r="JY12">
        <v>614</v>
      </c>
      <c r="JZ12">
        <v>0.23452770000000001</v>
      </c>
      <c r="KA12">
        <v>144</v>
      </c>
      <c r="KB12">
        <v>1</v>
      </c>
      <c r="KC12">
        <v>144</v>
      </c>
      <c r="KD12">
        <v>0</v>
      </c>
      <c r="KE12">
        <v>144</v>
      </c>
      <c r="KF12">
        <v>1</v>
      </c>
      <c r="KG12">
        <v>144</v>
      </c>
      <c r="KH12">
        <v>0</v>
      </c>
      <c r="KI12">
        <v>144</v>
      </c>
      <c r="KJ12">
        <v>0</v>
      </c>
      <c r="KK12">
        <v>614</v>
      </c>
      <c r="KL12">
        <v>0.76547229999999999</v>
      </c>
      <c r="KM12">
        <v>470</v>
      </c>
      <c r="KN12">
        <v>0.5787234</v>
      </c>
      <c r="KO12">
        <v>272</v>
      </c>
      <c r="KP12">
        <v>0.41544120000000001</v>
      </c>
      <c r="KQ12">
        <v>272</v>
      </c>
      <c r="KR12">
        <v>0</v>
      </c>
      <c r="KS12">
        <v>272</v>
      </c>
      <c r="KT12">
        <v>0.58455880000000005</v>
      </c>
      <c r="KU12">
        <v>470</v>
      </c>
      <c r="KV12">
        <v>0.4212766</v>
      </c>
      <c r="KW12">
        <v>82292</v>
      </c>
      <c r="KX12">
        <v>3.5872300000000003E-2</v>
      </c>
      <c r="KY12">
        <v>2952</v>
      </c>
      <c r="KZ12">
        <v>0.65989160000000002</v>
      </c>
      <c r="LA12">
        <v>1948</v>
      </c>
      <c r="LB12">
        <v>0.62063650000000004</v>
      </c>
      <c r="LC12">
        <v>1948</v>
      </c>
      <c r="LD12">
        <v>0.62063650000000004</v>
      </c>
      <c r="LE12">
        <v>1948</v>
      </c>
      <c r="LF12">
        <v>0.62063650000000004</v>
      </c>
      <c r="LG12">
        <v>1948</v>
      </c>
      <c r="LH12">
        <v>0.62063650000000004</v>
      </c>
      <c r="LI12">
        <v>1948</v>
      </c>
      <c r="LJ12">
        <v>0.37936340000000002</v>
      </c>
      <c r="LK12">
        <v>2952</v>
      </c>
      <c r="LL12">
        <v>0.34010839999999998</v>
      </c>
      <c r="LM12">
        <v>1004</v>
      </c>
      <c r="LN12">
        <v>0.2071713</v>
      </c>
      <c r="LO12">
        <v>208</v>
      </c>
      <c r="LP12">
        <v>0</v>
      </c>
      <c r="LQ12">
        <v>0</v>
      </c>
      <c r="LR12"/>
      <c r="LS12">
        <v>0</v>
      </c>
      <c r="LT12"/>
      <c r="LU12">
        <v>0</v>
      </c>
      <c r="LV12"/>
      <c r="LW12">
        <v>208</v>
      </c>
      <c r="LX12">
        <v>1</v>
      </c>
      <c r="LY12">
        <v>1004</v>
      </c>
      <c r="LZ12">
        <v>0.79282870000000005</v>
      </c>
      <c r="MA12">
        <v>796</v>
      </c>
      <c r="MB12">
        <v>0.87437189999999998</v>
      </c>
      <c r="MC12">
        <v>696</v>
      </c>
      <c r="MD12">
        <v>7.6149400000000006E-2</v>
      </c>
      <c r="ME12">
        <v>696</v>
      </c>
      <c r="MF12">
        <v>0.28304600000000002</v>
      </c>
      <c r="MG12">
        <v>696</v>
      </c>
      <c r="MH12">
        <v>0.64080459999999995</v>
      </c>
      <c r="MI12">
        <v>796</v>
      </c>
      <c r="MJ12">
        <v>0.12562809999999999</v>
      </c>
      <c r="MK12">
        <v>82292</v>
      </c>
      <c r="ML12">
        <v>0.87106890000000003</v>
      </c>
      <c r="MM12">
        <v>71682</v>
      </c>
      <c r="MN12">
        <v>0.86572640000000001</v>
      </c>
      <c r="MO12">
        <v>62057</v>
      </c>
      <c r="MP12">
        <v>0.47680359999999999</v>
      </c>
      <c r="MQ12">
        <v>62057</v>
      </c>
      <c r="MR12">
        <v>0.47680359999999999</v>
      </c>
      <c r="MS12">
        <v>62057</v>
      </c>
      <c r="MT12">
        <v>0.47680359999999999</v>
      </c>
      <c r="MU12">
        <v>62057</v>
      </c>
      <c r="MV12">
        <v>0.47680359999999999</v>
      </c>
      <c r="MW12">
        <v>62057</v>
      </c>
      <c r="MX12">
        <v>0.52319640000000001</v>
      </c>
      <c r="MY12">
        <v>71682</v>
      </c>
      <c r="MZ12">
        <v>0.13427359999999999</v>
      </c>
      <c r="NA12">
        <v>9625</v>
      </c>
      <c r="NB12">
        <v>0.39896100000000001</v>
      </c>
      <c r="NC12">
        <v>3840</v>
      </c>
      <c r="ND12">
        <v>0.44244790000000001</v>
      </c>
      <c r="NE12">
        <v>1699</v>
      </c>
      <c r="NF12">
        <v>0.3466745</v>
      </c>
      <c r="NG12">
        <v>1699</v>
      </c>
      <c r="NH12">
        <v>7.8869900000000007E-2</v>
      </c>
      <c r="NI12">
        <v>1699</v>
      </c>
      <c r="NJ12">
        <v>0.57445559999999996</v>
      </c>
      <c r="NK12">
        <v>3840</v>
      </c>
      <c r="NL12">
        <v>0.55755209999999999</v>
      </c>
      <c r="NM12">
        <v>9625</v>
      </c>
      <c r="NN12">
        <v>0.60103890000000004</v>
      </c>
      <c r="NO12">
        <v>5785</v>
      </c>
      <c r="NP12">
        <v>0.48643039999999999</v>
      </c>
      <c r="NQ12">
        <v>2814</v>
      </c>
      <c r="NR12">
        <v>7.9957399999999998E-2</v>
      </c>
      <c r="NS12">
        <v>2814</v>
      </c>
      <c r="NT12">
        <v>0.1289979</v>
      </c>
      <c r="NU12">
        <v>2814</v>
      </c>
      <c r="NV12">
        <v>0.79104479999999999</v>
      </c>
      <c r="NW12">
        <v>5785</v>
      </c>
      <c r="NX12">
        <v>0.51356959999999996</v>
      </c>
    </row>
    <row r="13" spans="1:388" x14ac:dyDescent="0.25">
      <c r="A13" t="s">
        <v>131</v>
      </c>
      <c r="B13">
        <v>2009</v>
      </c>
      <c r="C13">
        <v>1</v>
      </c>
      <c r="D13" t="s">
        <v>546</v>
      </c>
      <c r="E13">
        <v>46445</v>
      </c>
      <c r="F13">
        <v>0.4266337</v>
      </c>
      <c r="G13">
        <v>19815</v>
      </c>
      <c r="H13">
        <v>0.1058794</v>
      </c>
      <c r="I13">
        <v>19815</v>
      </c>
      <c r="J13">
        <v>3.7395900000000003E-2</v>
      </c>
      <c r="K13">
        <v>19815</v>
      </c>
      <c r="L13">
        <v>0.1448902</v>
      </c>
      <c r="M13">
        <v>19815</v>
      </c>
      <c r="N13">
        <v>0.12662119999999999</v>
      </c>
      <c r="O13">
        <v>19815</v>
      </c>
      <c r="P13">
        <v>3.4266999999999999E-2</v>
      </c>
      <c r="Q13">
        <v>19815</v>
      </c>
      <c r="R13">
        <v>4.3098699999999997E-2</v>
      </c>
      <c r="S13">
        <v>19815</v>
      </c>
      <c r="T13">
        <v>0.1364118</v>
      </c>
      <c r="U13">
        <v>19815</v>
      </c>
      <c r="V13">
        <v>8.4784300000000007E-2</v>
      </c>
      <c r="W13">
        <v>19815</v>
      </c>
      <c r="X13">
        <v>0.1079485</v>
      </c>
      <c r="Y13">
        <v>19815</v>
      </c>
      <c r="Z13">
        <v>9.5230899999999993E-2</v>
      </c>
      <c r="AA13">
        <v>19815</v>
      </c>
      <c r="AB13">
        <v>5.9803200000000001E-2</v>
      </c>
      <c r="AC13">
        <v>19815</v>
      </c>
      <c r="AD13">
        <v>1.17083E-2</v>
      </c>
      <c r="AE13">
        <v>19815</v>
      </c>
      <c r="AF13">
        <v>1.19606E-2</v>
      </c>
      <c r="AG13">
        <v>46445</v>
      </c>
      <c r="AH13">
        <v>0.5733663</v>
      </c>
      <c r="AI13">
        <v>26630</v>
      </c>
      <c r="AJ13">
        <v>0.1075479</v>
      </c>
      <c r="AK13">
        <v>26630</v>
      </c>
      <c r="AL13">
        <v>1.8550500000000001E-2</v>
      </c>
      <c r="AM13">
        <v>26630</v>
      </c>
      <c r="AN13">
        <v>0.14292150000000001</v>
      </c>
      <c r="AO13">
        <v>26630</v>
      </c>
      <c r="AP13">
        <v>2.6849399999999999E-2</v>
      </c>
      <c r="AQ13">
        <v>26630</v>
      </c>
      <c r="AR13">
        <v>2.1254200000000001E-2</v>
      </c>
      <c r="AS13">
        <v>26630</v>
      </c>
      <c r="AT13">
        <v>6.0645900000000003E-2</v>
      </c>
      <c r="AU13">
        <v>26630</v>
      </c>
      <c r="AV13">
        <v>0.1168231</v>
      </c>
      <c r="AW13">
        <v>26630</v>
      </c>
      <c r="AX13">
        <v>0.15144569999999999</v>
      </c>
      <c r="AY13">
        <v>26630</v>
      </c>
      <c r="AZ13">
        <v>0.14881710000000001</v>
      </c>
      <c r="BA13">
        <v>26630</v>
      </c>
      <c r="BB13">
        <v>7.9459299999999997E-2</v>
      </c>
      <c r="BC13">
        <v>26630</v>
      </c>
      <c r="BD13">
        <v>5.46752E-2</v>
      </c>
      <c r="BE13">
        <v>26630</v>
      </c>
      <c r="BF13">
        <v>3.6387500000000003E-2</v>
      </c>
      <c r="BG13">
        <v>26630</v>
      </c>
      <c r="BH13">
        <v>3.4622600000000003E-2</v>
      </c>
      <c r="BI13">
        <v>630102</v>
      </c>
      <c r="BJ13">
        <v>0.50445799999999996</v>
      </c>
      <c r="BK13">
        <v>317860</v>
      </c>
      <c r="BL13">
        <v>7.5564699999999999E-2</v>
      </c>
      <c r="BM13">
        <v>317860</v>
      </c>
      <c r="BN13">
        <v>1.4519000000000001E-2</v>
      </c>
      <c r="BO13">
        <v>317860</v>
      </c>
      <c r="BP13">
        <v>9.8650399999999999E-2</v>
      </c>
      <c r="BQ13">
        <v>317860</v>
      </c>
      <c r="BR13">
        <v>4.4579399999999998E-2</v>
      </c>
      <c r="BS13">
        <v>317860</v>
      </c>
      <c r="BT13">
        <v>1.5695600000000001E-2</v>
      </c>
      <c r="BU13">
        <v>317860</v>
      </c>
      <c r="BV13">
        <v>3.4405100000000001E-2</v>
      </c>
      <c r="BW13">
        <v>317860</v>
      </c>
      <c r="BX13">
        <v>8.2662200000000005E-2</v>
      </c>
      <c r="BY13">
        <v>317860</v>
      </c>
      <c r="BZ13">
        <v>0.1313723</v>
      </c>
      <c r="CA13">
        <v>317860</v>
      </c>
      <c r="CB13">
        <v>0.1666803</v>
      </c>
      <c r="CC13">
        <v>317860</v>
      </c>
      <c r="CD13">
        <v>0.15543950000000001</v>
      </c>
      <c r="CE13">
        <v>317860</v>
      </c>
      <c r="CF13">
        <v>0.10111680000000001</v>
      </c>
      <c r="CG13">
        <v>317860</v>
      </c>
      <c r="CH13">
        <v>5.0534799999999998E-2</v>
      </c>
      <c r="CI13">
        <v>317860</v>
      </c>
      <c r="CJ13">
        <v>2.878E-2</v>
      </c>
      <c r="CK13">
        <v>630102</v>
      </c>
      <c r="CL13">
        <v>0.49554199999999998</v>
      </c>
      <c r="CM13">
        <v>312242</v>
      </c>
      <c r="CN13">
        <v>7.0352499999999998E-2</v>
      </c>
      <c r="CO13">
        <v>312242</v>
      </c>
      <c r="CP13">
        <v>1.49531E-2</v>
      </c>
      <c r="CQ13">
        <v>312242</v>
      </c>
      <c r="CR13">
        <v>9.9060999999999996E-2</v>
      </c>
      <c r="CS13">
        <v>312242</v>
      </c>
      <c r="CT13">
        <v>4.4734500000000003E-2</v>
      </c>
      <c r="CU13">
        <v>312242</v>
      </c>
      <c r="CV13">
        <v>1.4168500000000001E-2</v>
      </c>
      <c r="CW13">
        <v>312242</v>
      </c>
      <c r="CX13">
        <v>3.0492399999999999E-2</v>
      </c>
      <c r="CY13">
        <v>312242</v>
      </c>
      <c r="CZ13">
        <v>7.93711E-2</v>
      </c>
      <c r="DA13">
        <v>312242</v>
      </c>
      <c r="DB13">
        <v>0.1228374</v>
      </c>
      <c r="DC13">
        <v>312242</v>
      </c>
      <c r="DD13">
        <v>0.1614901</v>
      </c>
      <c r="DE13">
        <v>312242</v>
      </c>
      <c r="DF13">
        <v>0.1576854</v>
      </c>
      <c r="DG13">
        <v>312242</v>
      </c>
      <c r="DH13">
        <v>0.1045855</v>
      </c>
      <c r="DI13">
        <v>312242</v>
      </c>
      <c r="DJ13">
        <v>5.8381000000000002E-2</v>
      </c>
      <c r="DK13">
        <v>312242</v>
      </c>
      <c r="DL13">
        <v>4.1887399999999998E-2</v>
      </c>
      <c r="DM13">
        <v>424297</v>
      </c>
      <c r="DN13">
        <v>4.9067E-2</v>
      </c>
      <c r="DO13">
        <v>20819</v>
      </c>
      <c r="DP13">
        <v>0.35352319999999998</v>
      </c>
      <c r="DQ13">
        <v>7360</v>
      </c>
      <c r="DR13">
        <v>0.2407609</v>
      </c>
      <c r="DS13">
        <v>7360</v>
      </c>
      <c r="DT13">
        <v>0.33464670000000002</v>
      </c>
      <c r="DU13">
        <v>7360</v>
      </c>
      <c r="DV13">
        <v>0.3228261</v>
      </c>
      <c r="DW13">
        <v>7360</v>
      </c>
      <c r="DX13">
        <v>0.1017663</v>
      </c>
      <c r="DY13">
        <v>20819</v>
      </c>
      <c r="DZ13">
        <v>0.64647679999999996</v>
      </c>
      <c r="EA13">
        <v>13459</v>
      </c>
      <c r="EB13">
        <v>0.1837432</v>
      </c>
      <c r="EC13">
        <v>13459</v>
      </c>
      <c r="ED13">
        <v>0.45226240000000001</v>
      </c>
      <c r="EE13">
        <v>13459</v>
      </c>
      <c r="EF13">
        <v>0.26272380000000001</v>
      </c>
      <c r="EG13">
        <v>13459</v>
      </c>
      <c r="EH13">
        <v>0.1012705</v>
      </c>
      <c r="EI13">
        <v>424297</v>
      </c>
      <c r="EJ13">
        <v>0.95093300000000003</v>
      </c>
      <c r="EK13">
        <v>403478</v>
      </c>
      <c r="EL13">
        <v>0.49940519999999999</v>
      </c>
      <c r="EM13">
        <v>201499</v>
      </c>
      <c r="EN13">
        <v>0.10432809999999999</v>
      </c>
      <c r="EO13">
        <v>201499</v>
      </c>
      <c r="EP13">
        <v>0.27689960000000002</v>
      </c>
      <c r="EQ13">
        <v>201499</v>
      </c>
      <c r="ER13">
        <v>0.3035003</v>
      </c>
      <c r="ES13">
        <v>201499</v>
      </c>
      <c r="ET13">
        <v>0.315272</v>
      </c>
      <c r="EU13">
        <v>403478</v>
      </c>
      <c r="EV13">
        <v>0.50059489999999995</v>
      </c>
      <c r="EW13">
        <v>201979</v>
      </c>
      <c r="EX13">
        <v>8.6622900000000003E-2</v>
      </c>
      <c r="EY13">
        <v>201979</v>
      </c>
      <c r="EZ13">
        <v>0.26713170000000003</v>
      </c>
      <c r="FA13">
        <v>201979</v>
      </c>
      <c r="FB13">
        <v>0.32733109999999999</v>
      </c>
      <c r="FC13">
        <v>201979</v>
      </c>
      <c r="FD13">
        <v>0.31891439999999999</v>
      </c>
      <c r="FE13">
        <v>504095</v>
      </c>
      <c r="FF13">
        <v>5.7731200000000003E-2</v>
      </c>
      <c r="FG13">
        <v>29102</v>
      </c>
      <c r="FH13">
        <v>0.37512889999999999</v>
      </c>
      <c r="FI13">
        <v>10917</v>
      </c>
      <c r="FJ13">
        <v>0.16881930000000001</v>
      </c>
      <c r="FK13">
        <v>10917</v>
      </c>
      <c r="FL13">
        <v>0.46276450000000002</v>
      </c>
      <c r="FM13">
        <v>10917</v>
      </c>
      <c r="FN13">
        <v>0.36841620000000003</v>
      </c>
      <c r="FO13">
        <v>10917</v>
      </c>
      <c r="FP13">
        <v>0.69240639999999998</v>
      </c>
      <c r="FQ13">
        <v>10917</v>
      </c>
      <c r="FR13">
        <v>0.30759370000000003</v>
      </c>
      <c r="FS13">
        <v>7559</v>
      </c>
      <c r="FT13">
        <v>0.65762670000000001</v>
      </c>
      <c r="FU13">
        <v>7559</v>
      </c>
      <c r="FV13">
        <v>0.34237329999999999</v>
      </c>
      <c r="FW13">
        <v>29102</v>
      </c>
      <c r="FX13">
        <v>0.62487110000000001</v>
      </c>
      <c r="FY13">
        <v>18185</v>
      </c>
      <c r="FZ13">
        <v>0.1012373</v>
      </c>
      <c r="GA13">
        <v>18185</v>
      </c>
      <c r="GB13">
        <v>0.38031350000000003</v>
      </c>
      <c r="GC13">
        <v>18185</v>
      </c>
      <c r="GD13">
        <v>0.51844920000000005</v>
      </c>
      <c r="GE13">
        <v>18185</v>
      </c>
      <c r="GF13">
        <v>0.49733300000000003</v>
      </c>
      <c r="GG13">
        <v>18185</v>
      </c>
      <c r="GH13">
        <v>0.50266699999999997</v>
      </c>
      <c r="GI13">
        <v>9044</v>
      </c>
      <c r="GJ13">
        <v>0.72434770000000004</v>
      </c>
      <c r="GK13">
        <v>9044</v>
      </c>
      <c r="GL13">
        <v>0.27565240000000002</v>
      </c>
      <c r="GM13">
        <v>504095</v>
      </c>
      <c r="GN13">
        <v>0.94226880000000002</v>
      </c>
      <c r="GO13">
        <v>474993</v>
      </c>
      <c r="GP13">
        <v>0.50255479999999997</v>
      </c>
      <c r="GQ13">
        <v>238710</v>
      </c>
      <c r="GR13">
        <v>0.56691800000000003</v>
      </c>
      <c r="GS13">
        <v>238710</v>
      </c>
      <c r="GT13">
        <v>0.25320680000000001</v>
      </c>
      <c r="GU13">
        <v>238710</v>
      </c>
      <c r="GV13">
        <v>0.17987520000000001</v>
      </c>
      <c r="GW13">
        <v>238655</v>
      </c>
      <c r="GX13">
        <v>0.80950330000000004</v>
      </c>
      <c r="GY13">
        <v>238655</v>
      </c>
      <c r="GZ13">
        <v>0.19049669999999999</v>
      </c>
      <c r="HA13">
        <v>193192</v>
      </c>
      <c r="HB13">
        <v>0.89506810000000003</v>
      </c>
      <c r="HC13">
        <v>193192</v>
      </c>
      <c r="HD13">
        <v>0.10493189999999999</v>
      </c>
      <c r="HE13">
        <v>474993</v>
      </c>
      <c r="HF13">
        <v>0.49744519999999998</v>
      </c>
      <c r="HG13">
        <v>236283</v>
      </c>
      <c r="HH13">
        <v>0.38254549999999998</v>
      </c>
      <c r="HI13">
        <v>236283</v>
      </c>
      <c r="HJ13">
        <v>0.31195220000000001</v>
      </c>
      <c r="HK13">
        <v>236283</v>
      </c>
      <c r="HL13">
        <v>0.3055023</v>
      </c>
      <c r="HM13">
        <v>236180</v>
      </c>
      <c r="HN13">
        <v>0.67214830000000003</v>
      </c>
      <c r="HO13">
        <v>236180</v>
      </c>
      <c r="HP13">
        <v>0.32785170000000002</v>
      </c>
      <c r="HQ13">
        <v>158748</v>
      </c>
      <c r="HR13">
        <v>0.92634240000000001</v>
      </c>
      <c r="HS13">
        <v>158748</v>
      </c>
      <c r="HT13">
        <v>7.3657600000000004E-2</v>
      </c>
      <c r="HU13">
        <v>167067</v>
      </c>
      <c r="HV13">
        <v>7.4915999999999996E-2</v>
      </c>
      <c r="HW13">
        <v>12516</v>
      </c>
      <c r="HX13">
        <v>0.4635666</v>
      </c>
      <c r="HY13">
        <v>5802</v>
      </c>
      <c r="HZ13">
        <v>0.73578080000000001</v>
      </c>
      <c r="IA13">
        <v>5802</v>
      </c>
      <c r="IB13">
        <v>0.73578080000000001</v>
      </c>
      <c r="IC13">
        <v>5802</v>
      </c>
      <c r="ID13">
        <v>0.73578080000000001</v>
      </c>
      <c r="IE13">
        <v>5802</v>
      </c>
      <c r="IF13">
        <v>0.73578080000000001</v>
      </c>
      <c r="IG13">
        <v>5802</v>
      </c>
      <c r="IH13">
        <v>0.26421919999999999</v>
      </c>
      <c r="II13">
        <v>12516</v>
      </c>
      <c r="IJ13">
        <v>0.5364333</v>
      </c>
      <c r="IK13">
        <v>6714</v>
      </c>
      <c r="IL13">
        <v>7.7152200000000004E-2</v>
      </c>
      <c r="IM13">
        <v>518</v>
      </c>
      <c r="IN13">
        <v>1</v>
      </c>
      <c r="IO13">
        <v>518</v>
      </c>
      <c r="IP13">
        <v>0.16795370000000001</v>
      </c>
      <c r="IQ13">
        <v>518</v>
      </c>
      <c r="IR13">
        <v>0.30694979999999999</v>
      </c>
      <c r="IS13">
        <v>518</v>
      </c>
      <c r="IT13">
        <v>0.52509649999999997</v>
      </c>
      <c r="IU13">
        <v>518</v>
      </c>
      <c r="IV13">
        <v>0</v>
      </c>
      <c r="IW13">
        <v>6714</v>
      </c>
      <c r="IX13">
        <v>0.9228478</v>
      </c>
      <c r="IY13">
        <v>6196</v>
      </c>
      <c r="IZ13">
        <v>0.90154939999999995</v>
      </c>
      <c r="JA13">
        <v>5586</v>
      </c>
      <c r="JB13">
        <v>0.2692446</v>
      </c>
      <c r="JC13">
        <v>5586</v>
      </c>
      <c r="JD13">
        <v>0.16971</v>
      </c>
      <c r="JE13">
        <v>5586</v>
      </c>
      <c r="JF13">
        <v>0.56104549999999997</v>
      </c>
      <c r="JG13">
        <v>6196</v>
      </c>
      <c r="JH13">
        <v>9.8450599999999999E-2</v>
      </c>
      <c r="JI13">
        <v>167067</v>
      </c>
      <c r="JJ13">
        <v>1.9147999999999998E-2</v>
      </c>
      <c r="JK13">
        <v>3199</v>
      </c>
      <c r="JL13">
        <v>0.52172549999999995</v>
      </c>
      <c r="JM13">
        <v>1669</v>
      </c>
      <c r="JN13">
        <v>0.68484120000000004</v>
      </c>
      <c r="JO13">
        <v>1669</v>
      </c>
      <c r="JP13">
        <v>0.68484120000000004</v>
      </c>
      <c r="JQ13">
        <v>1669</v>
      </c>
      <c r="JR13">
        <v>0.68484120000000004</v>
      </c>
      <c r="JS13">
        <v>1669</v>
      </c>
      <c r="JT13">
        <v>0.68484120000000004</v>
      </c>
      <c r="JU13">
        <v>1669</v>
      </c>
      <c r="JV13">
        <v>0.31515880000000002</v>
      </c>
      <c r="JW13">
        <v>3199</v>
      </c>
      <c r="JX13">
        <v>0.47827449999999999</v>
      </c>
      <c r="JY13">
        <v>1530</v>
      </c>
      <c r="JZ13">
        <v>0.1359477</v>
      </c>
      <c r="KA13">
        <v>208</v>
      </c>
      <c r="KB13">
        <v>1</v>
      </c>
      <c r="KC13">
        <v>208</v>
      </c>
      <c r="KD13">
        <v>0.65865390000000001</v>
      </c>
      <c r="KE13">
        <v>208</v>
      </c>
      <c r="KF13">
        <v>0</v>
      </c>
      <c r="KG13">
        <v>208</v>
      </c>
      <c r="KH13">
        <v>0.34134609999999999</v>
      </c>
      <c r="KI13">
        <v>208</v>
      </c>
      <c r="KJ13">
        <v>0</v>
      </c>
      <c r="KK13">
        <v>1530</v>
      </c>
      <c r="KL13">
        <v>0.8640523</v>
      </c>
      <c r="KM13">
        <v>1322</v>
      </c>
      <c r="KN13">
        <v>0.85173980000000005</v>
      </c>
      <c r="KO13">
        <v>1126</v>
      </c>
      <c r="KP13">
        <v>9.2362299999999994E-2</v>
      </c>
      <c r="KQ13">
        <v>1126</v>
      </c>
      <c r="KR13">
        <v>0.33570159999999999</v>
      </c>
      <c r="KS13">
        <v>1126</v>
      </c>
      <c r="KT13">
        <v>0.57193609999999995</v>
      </c>
      <c r="KU13">
        <v>1322</v>
      </c>
      <c r="KV13">
        <v>0.14826020000000001</v>
      </c>
      <c r="KW13">
        <v>167067</v>
      </c>
      <c r="KX13">
        <v>3.8691099999999999E-2</v>
      </c>
      <c r="KY13">
        <v>6464</v>
      </c>
      <c r="KZ13">
        <v>0.56389230000000001</v>
      </c>
      <c r="LA13">
        <v>3645</v>
      </c>
      <c r="LB13">
        <v>0.63703699999999996</v>
      </c>
      <c r="LC13">
        <v>3645</v>
      </c>
      <c r="LD13">
        <v>0.63703699999999996</v>
      </c>
      <c r="LE13">
        <v>3645</v>
      </c>
      <c r="LF13">
        <v>0.63703699999999996</v>
      </c>
      <c r="LG13">
        <v>3645</v>
      </c>
      <c r="LH13">
        <v>0.63703699999999996</v>
      </c>
      <c r="LI13">
        <v>3645</v>
      </c>
      <c r="LJ13">
        <v>0.36296299999999998</v>
      </c>
      <c r="LK13">
        <v>6464</v>
      </c>
      <c r="LL13">
        <v>0.43610769999999999</v>
      </c>
      <c r="LM13">
        <v>2819</v>
      </c>
      <c r="LN13">
        <v>0.19545940000000001</v>
      </c>
      <c r="LO13">
        <v>551</v>
      </c>
      <c r="LP13">
        <v>0.71687840000000003</v>
      </c>
      <c r="LQ13">
        <v>395</v>
      </c>
      <c r="LR13">
        <v>0.18227850000000001</v>
      </c>
      <c r="LS13">
        <v>395</v>
      </c>
      <c r="LT13">
        <v>0.27341769999999999</v>
      </c>
      <c r="LU13">
        <v>395</v>
      </c>
      <c r="LV13">
        <v>0.5443038</v>
      </c>
      <c r="LW13">
        <v>551</v>
      </c>
      <c r="LX13">
        <v>0.28312159999999997</v>
      </c>
      <c r="LY13">
        <v>2819</v>
      </c>
      <c r="LZ13">
        <v>0.80454060000000005</v>
      </c>
      <c r="MA13">
        <v>2268</v>
      </c>
      <c r="MB13">
        <v>0.76278659999999998</v>
      </c>
      <c r="MC13">
        <v>1730</v>
      </c>
      <c r="MD13">
        <v>7.1098300000000003E-2</v>
      </c>
      <c r="ME13">
        <v>1730</v>
      </c>
      <c r="MF13">
        <v>0.1936416</v>
      </c>
      <c r="MG13">
        <v>1730</v>
      </c>
      <c r="MH13">
        <v>0.73526009999999997</v>
      </c>
      <c r="MI13">
        <v>2268</v>
      </c>
      <c r="MJ13">
        <v>0.23721339999999999</v>
      </c>
      <c r="MK13">
        <v>167067</v>
      </c>
      <c r="ML13">
        <v>0.86724489999999999</v>
      </c>
      <c r="MM13">
        <v>144888</v>
      </c>
      <c r="MN13">
        <v>0.85993319999999995</v>
      </c>
      <c r="MO13">
        <v>124594</v>
      </c>
      <c r="MP13">
        <v>0.49736740000000002</v>
      </c>
      <c r="MQ13">
        <v>124594</v>
      </c>
      <c r="MR13">
        <v>0.49736740000000002</v>
      </c>
      <c r="MS13">
        <v>124594</v>
      </c>
      <c r="MT13">
        <v>0.49736740000000002</v>
      </c>
      <c r="MU13">
        <v>124594</v>
      </c>
      <c r="MV13">
        <v>0.49736740000000002</v>
      </c>
      <c r="MW13">
        <v>124594</v>
      </c>
      <c r="MX13">
        <v>0.50263259999999998</v>
      </c>
      <c r="MY13">
        <v>144888</v>
      </c>
      <c r="MZ13">
        <v>0.14006679999999999</v>
      </c>
      <c r="NA13">
        <v>20294</v>
      </c>
      <c r="NB13">
        <v>0.35921950000000002</v>
      </c>
      <c r="NC13">
        <v>7290</v>
      </c>
      <c r="ND13">
        <v>0.47722910000000002</v>
      </c>
      <c r="NE13">
        <v>3479</v>
      </c>
      <c r="NF13">
        <v>0.24001149999999999</v>
      </c>
      <c r="NG13">
        <v>3479</v>
      </c>
      <c r="NH13">
        <v>0.1310721</v>
      </c>
      <c r="NI13">
        <v>3479</v>
      </c>
      <c r="NJ13">
        <v>0.62891640000000004</v>
      </c>
      <c r="NK13">
        <v>7290</v>
      </c>
      <c r="NL13">
        <v>0.52277090000000004</v>
      </c>
      <c r="NM13">
        <v>20294</v>
      </c>
      <c r="NN13">
        <v>0.64078049999999998</v>
      </c>
      <c r="NO13">
        <v>13004</v>
      </c>
      <c r="NP13">
        <v>0.60835130000000004</v>
      </c>
      <c r="NQ13">
        <v>7911</v>
      </c>
      <c r="NR13">
        <v>0.1329794</v>
      </c>
      <c r="NS13">
        <v>7911</v>
      </c>
      <c r="NT13">
        <v>9.4931100000000004E-2</v>
      </c>
      <c r="NU13">
        <v>7911</v>
      </c>
      <c r="NV13">
        <v>0.77208949999999998</v>
      </c>
      <c r="NW13">
        <v>13004</v>
      </c>
      <c r="NX13">
        <v>0.39164870000000002</v>
      </c>
    </row>
    <row r="14" spans="1:388" x14ac:dyDescent="0.25">
      <c r="A14" t="s">
        <v>136</v>
      </c>
      <c r="B14">
        <v>2010</v>
      </c>
      <c r="C14">
        <v>1</v>
      </c>
      <c r="D14" t="s">
        <v>547</v>
      </c>
      <c r="E14">
        <v>856360</v>
      </c>
      <c r="F14">
        <v>0.43836589999999998</v>
      </c>
      <c r="G14">
        <v>375399</v>
      </c>
      <c r="H14">
        <v>0.110906</v>
      </c>
      <c r="I14">
        <v>375399</v>
      </c>
      <c r="J14">
        <v>1.9246200000000002E-2</v>
      </c>
      <c r="K14">
        <v>375399</v>
      </c>
      <c r="L14">
        <v>0.12838340000000001</v>
      </c>
      <c r="M14">
        <v>375399</v>
      </c>
      <c r="N14">
        <v>6.9224999999999995E-2</v>
      </c>
      <c r="O14">
        <v>375399</v>
      </c>
      <c r="P14">
        <v>2.0788500000000001E-2</v>
      </c>
      <c r="Q14">
        <v>375399</v>
      </c>
      <c r="R14">
        <v>4.3050199999999997E-2</v>
      </c>
      <c r="S14">
        <v>375399</v>
      </c>
      <c r="T14">
        <v>0.1237856</v>
      </c>
      <c r="U14">
        <v>375399</v>
      </c>
      <c r="V14">
        <v>0.13448360000000001</v>
      </c>
      <c r="W14">
        <v>375399</v>
      </c>
      <c r="X14">
        <v>0.1148831</v>
      </c>
      <c r="Y14">
        <v>375399</v>
      </c>
      <c r="Z14">
        <v>0.1004371</v>
      </c>
      <c r="AA14">
        <v>375399</v>
      </c>
      <c r="AB14">
        <v>7.44142E-2</v>
      </c>
      <c r="AC14">
        <v>375399</v>
      </c>
      <c r="AD14">
        <v>3.0586100000000001E-2</v>
      </c>
      <c r="AE14">
        <v>375399</v>
      </c>
      <c r="AF14">
        <v>2.9810900000000001E-2</v>
      </c>
      <c r="AG14">
        <v>856360</v>
      </c>
      <c r="AH14">
        <v>0.56163410000000002</v>
      </c>
      <c r="AI14">
        <v>480961</v>
      </c>
      <c r="AJ14">
        <v>9.1955499999999996E-2</v>
      </c>
      <c r="AK14">
        <v>480961</v>
      </c>
      <c r="AL14">
        <v>2.0357199999999999E-2</v>
      </c>
      <c r="AM14">
        <v>480961</v>
      </c>
      <c r="AN14">
        <v>0.101713</v>
      </c>
      <c r="AO14">
        <v>480961</v>
      </c>
      <c r="AP14">
        <v>5.0305500000000003E-2</v>
      </c>
      <c r="AQ14">
        <v>480961</v>
      </c>
      <c r="AR14">
        <v>1.6843400000000001E-2</v>
      </c>
      <c r="AS14">
        <v>480961</v>
      </c>
      <c r="AT14">
        <v>3.5102599999999998E-2</v>
      </c>
      <c r="AU14">
        <v>480961</v>
      </c>
      <c r="AV14">
        <v>0.14487040000000001</v>
      </c>
      <c r="AW14">
        <v>480961</v>
      </c>
      <c r="AX14">
        <v>0.15624759999999999</v>
      </c>
      <c r="AY14">
        <v>480961</v>
      </c>
      <c r="AZ14">
        <v>0.1124956</v>
      </c>
      <c r="BA14">
        <v>480961</v>
      </c>
      <c r="BB14">
        <v>0.1012618</v>
      </c>
      <c r="BC14">
        <v>480961</v>
      </c>
      <c r="BD14">
        <v>7.3690000000000005E-2</v>
      </c>
      <c r="BE14">
        <v>480961</v>
      </c>
      <c r="BF14">
        <v>4.4984900000000001E-2</v>
      </c>
      <c r="BG14">
        <v>480961</v>
      </c>
      <c r="BH14">
        <v>5.0172500000000002E-2</v>
      </c>
      <c r="BI14">
        <v>4271764</v>
      </c>
      <c r="BJ14">
        <v>0.49264469999999999</v>
      </c>
      <c r="BK14">
        <v>2104462</v>
      </c>
      <c r="BL14">
        <v>6.1754499999999997E-2</v>
      </c>
      <c r="BM14">
        <v>2104462</v>
      </c>
      <c r="BN14">
        <v>1.08194E-2</v>
      </c>
      <c r="BO14">
        <v>2104462</v>
      </c>
      <c r="BP14">
        <v>7.3051000000000005E-2</v>
      </c>
      <c r="BQ14">
        <v>2104462</v>
      </c>
      <c r="BR14">
        <v>3.8508199999999999E-2</v>
      </c>
      <c r="BS14">
        <v>2104462</v>
      </c>
      <c r="BT14">
        <v>1.36534E-2</v>
      </c>
      <c r="BU14">
        <v>2104462</v>
      </c>
      <c r="BV14">
        <v>2.7315300000000001E-2</v>
      </c>
      <c r="BW14">
        <v>2104462</v>
      </c>
      <c r="BX14">
        <v>9.4322000000000003E-2</v>
      </c>
      <c r="BY14">
        <v>2104462</v>
      </c>
      <c r="BZ14">
        <v>0.17056089999999999</v>
      </c>
      <c r="CA14">
        <v>2104462</v>
      </c>
      <c r="CB14">
        <v>0.14490400000000001</v>
      </c>
      <c r="CC14">
        <v>2104462</v>
      </c>
      <c r="CD14">
        <v>0.14510600000000001</v>
      </c>
      <c r="CE14">
        <v>2104462</v>
      </c>
      <c r="CF14">
        <v>0.1132118</v>
      </c>
      <c r="CG14">
        <v>2104462</v>
      </c>
      <c r="CH14">
        <v>6.1658999999999999E-2</v>
      </c>
      <c r="CI14">
        <v>2104462</v>
      </c>
      <c r="CJ14">
        <v>4.5134599999999997E-2</v>
      </c>
      <c r="CK14">
        <v>4271764</v>
      </c>
      <c r="CL14">
        <v>0.50735529999999995</v>
      </c>
      <c r="CM14">
        <v>2167302</v>
      </c>
      <c r="CN14">
        <v>5.6378900000000003E-2</v>
      </c>
      <c r="CO14">
        <v>2167302</v>
      </c>
      <c r="CP14">
        <v>1.08088E-2</v>
      </c>
      <c r="CQ14">
        <v>2167302</v>
      </c>
      <c r="CR14">
        <v>6.6739699999999999E-2</v>
      </c>
      <c r="CS14">
        <v>2167302</v>
      </c>
      <c r="CT14">
        <v>3.4944799999999998E-2</v>
      </c>
      <c r="CU14">
        <v>2167302</v>
      </c>
      <c r="CV14">
        <v>1.2700599999999999E-2</v>
      </c>
      <c r="CW14">
        <v>2167302</v>
      </c>
      <c r="CX14">
        <v>2.4398099999999999E-2</v>
      </c>
      <c r="CY14">
        <v>2167302</v>
      </c>
      <c r="CZ14">
        <v>8.1553899999999999E-2</v>
      </c>
      <c r="DA14">
        <v>2167302</v>
      </c>
      <c r="DB14">
        <v>0.15925149999999999</v>
      </c>
      <c r="DC14">
        <v>2167302</v>
      </c>
      <c r="DD14">
        <v>0.13934050000000001</v>
      </c>
      <c r="DE14">
        <v>2167302</v>
      </c>
      <c r="DF14">
        <v>0.14754010000000001</v>
      </c>
      <c r="DG14">
        <v>2167302</v>
      </c>
      <c r="DH14">
        <v>0.1229427</v>
      </c>
      <c r="DI14">
        <v>2167302</v>
      </c>
      <c r="DJ14">
        <v>7.2988899999999995E-2</v>
      </c>
      <c r="DK14">
        <v>2167302</v>
      </c>
      <c r="DL14">
        <v>7.0411500000000002E-2</v>
      </c>
      <c r="DM14">
        <v>3417487</v>
      </c>
      <c r="DN14">
        <v>0.12906880000000001</v>
      </c>
      <c r="DO14">
        <v>441091</v>
      </c>
      <c r="DP14">
        <v>0.412441</v>
      </c>
      <c r="DQ14">
        <v>181924</v>
      </c>
      <c r="DR14">
        <v>0.33511249999999998</v>
      </c>
      <c r="DS14">
        <v>181924</v>
      </c>
      <c r="DT14">
        <v>0.32073829999999998</v>
      </c>
      <c r="DU14">
        <v>181924</v>
      </c>
      <c r="DV14">
        <v>0.21423229999999999</v>
      </c>
      <c r="DW14">
        <v>181924</v>
      </c>
      <c r="DX14">
        <v>0.1299169</v>
      </c>
      <c r="DY14">
        <v>441091</v>
      </c>
      <c r="DZ14">
        <v>0.58755900000000005</v>
      </c>
      <c r="EA14">
        <v>259167</v>
      </c>
      <c r="EB14">
        <v>0.29977199999999998</v>
      </c>
      <c r="EC14">
        <v>259167</v>
      </c>
      <c r="ED14">
        <v>0.29134880000000002</v>
      </c>
      <c r="EE14">
        <v>259167</v>
      </c>
      <c r="EF14">
        <v>0.26832509999999998</v>
      </c>
      <c r="EG14">
        <v>259167</v>
      </c>
      <c r="EH14">
        <v>0.14055419999999999</v>
      </c>
      <c r="EI14">
        <v>3417487</v>
      </c>
      <c r="EJ14">
        <v>0.87093120000000002</v>
      </c>
      <c r="EK14">
        <v>2976396</v>
      </c>
      <c r="EL14">
        <v>0.48120180000000001</v>
      </c>
      <c r="EM14">
        <v>1432247</v>
      </c>
      <c r="EN14">
        <v>0.1426444</v>
      </c>
      <c r="EO14">
        <v>1432247</v>
      </c>
      <c r="EP14">
        <v>0.24412900000000001</v>
      </c>
      <c r="EQ14">
        <v>1432247</v>
      </c>
      <c r="ER14">
        <v>0.24695739999999999</v>
      </c>
      <c r="ES14">
        <v>1432247</v>
      </c>
      <c r="ET14">
        <v>0.36626920000000002</v>
      </c>
      <c r="EU14">
        <v>2976396</v>
      </c>
      <c r="EV14">
        <v>0.51879819999999999</v>
      </c>
      <c r="EW14">
        <v>1544149</v>
      </c>
      <c r="EX14">
        <v>0.1283289</v>
      </c>
      <c r="EY14">
        <v>1544149</v>
      </c>
      <c r="EZ14">
        <v>0.22791839999999999</v>
      </c>
      <c r="FA14">
        <v>1544149</v>
      </c>
      <c r="FB14">
        <v>0.26684540000000001</v>
      </c>
      <c r="FC14">
        <v>1544149</v>
      </c>
      <c r="FD14">
        <v>0.3769073</v>
      </c>
      <c r="FE14">
        <v>4052288</v>
      </c>
      <c r="FF14">
        <v>0.14566609999999999</v>
      </c>
      <c r="FG14">
        <v>590281</v>
      </c>
      <c r="FH14">
        <v>0.41430099999999997</v>
      </c>
      <c r="FI14">
        <v>244554</v>
      </c>
      <c r="FJ14">
        <v>0.1046436</v>
      </c>
      <c r="FK14">
        <v>244554</v>
      </c>
      <c r="FL14">
        <v>0.31052449999999998</v>
      </c>
      <c r="FM14">
        <v>244554</v>
      </c>
      <c r="FN14">
        <v>0.58483200000000002</v>
      </c>
      <c r="FO14">
        <v>244499</v>
      </c>
      <c r="FP14">
        <v>0.51553990000000005</v>
      </c>
      <c r="FQ14">
        <v>244499</v>
      </c>
      <c r="FR14">
        <v>0.4844601</v>
      </c>
      <c r="FS14">
        <v>126049</v>
      </c>
      <c r="FT14">
        <v>0.59147629999999995</v>
      </c>
      <c r="FU14">
        <v>126049</v>
      </c>
      <c r="FV14">
        <v>0.40852369999999999</v>
      </c>
      <c r="FW14">
        <v>590281</v>
      </c>
      <c r="FX14">
        <v>0.58569899999999997</v>
      </c>
      <c r="FY14">
        <v>345727</v>
      </c>
      <c r="FZ14">
        <v>6.0255599999999999E-2</v>
      </c>
      <c r="GA14">
        <v>345727</v>
      </c>
      <c r="GB14">
        <v>0.29464289999999999</v>
      </c>
      <c r="GC14">
        <v>345727</v>
      </c>
      <c r="GD14">
        <v>0.64510149999999999</v>
      </c>
      <c r="GE14">
        <v>345727</v>
      </c>
      <c r="GF14">
        <v>0.42401369999999999</v>
      </c>
      <c r="GG14">
        <v>345727</v>
      </c>
      <c r="GH14">
        <v>0.57598629999999995</v>
      </c>
      <c r="GI14">
        <v>146593</v>
      </c>
      <c r="GJ14">
        <v>0.62179640000000003</v>
      </c>
      <c r="GK14">
        <v>146593</v>
      </c>
      <c r="GL14">
        <v>0.37820359999999997</v>
      </c>
      <c r="GM14">
        <v>4052288</v>
      </c>
      <c r="GN14">
        <v>0.85433389999999998</v>
      </c>
      <c r="GO14">
        <v>3462007</v>
      </c>
      <c r="GP14">
        <v>0.48764429999999998</v>
      </c>
      <c r="GQ14">
        <v>1688228</v>
      </c>
      <c r="GR14">
        <v>0.51842220000000006</v>
      </c>
      <c r="GS14">
        <v>1688228</v>
      </c>
      <c r="GT14">
        <v>0.2285296</v>
      </c>
      <c r="GU14">
        <v>1688228</v>
      </c>
      <c r="GV14">
        <v>0.2530482</v>
      </c>
      <c r="GW14">
        <v>1687459</v>
      </c>
      <c r="GX14">
        <v>0.76274330000000001</v>
      </c>
      <c r="GY14">
        <v>1687459</v>
      </c>
      <c r="GZ14">
        <v>0.23725669999999999</v>
      </c>
      <c r="HA14">
        <v>1287098</v>
      </c>
      <c r="HB14">
        <v>0.88896810000000004</v>
      </c>
      <c r="HC14">
        <v>1287098</v>
      </c>
      <c r="HD14">
        <v>0.1110319</v>
      </c>
      <c r="HE14">
        <v>3462007</v>
      </c>
      <c r="HF14">
        <v>0.51235569999999997</v>
      </c>
      <c r="HG14">
        <v>1773779</v>
      </c>
      <c r="HH14">
        <v>0.40237030000000001</v>
      </c>
      <c r="HI14">
        <v>1773779</v>
      </c>
      <c r="HJ14">
        <v>0.2478426</v>
      </c>
      <c r="HK14">
        <v>1773779</v>
      </c>
      <c r="HL14">
        <v>0.34978710000000002</v>
      </c>
      <c r="HM14">
        <v>1773594</v>
      </c>
      <c r="HN14">
        <v>0.65212780000000004</v>
      </c>
      <c r="HO14">
        <v>1773594</v>
      </c>
      <c r="HP14">
        <v>0.34787220000000002</v>
      </c>
      <c r="HQ14">
        <v>1156610</v>
      </c>
      <c r="HR14">
        <v>0.90808480000000003</v>
      </c>
      <c r="HS14">
        <v>1156610</v>
      </c>
      <c r="HT14">
        <v>9.1915200000000002E-2</v>
      </c>
      <c r="HU14">
        <v>1185270</v>
      </c>
      <c r="HV14">
        <v>0.17828260000000001</v>
      </c>
      <c r="HW14">
        <v>211313</v>
      </c>
      <c r="HX14">
        <v>0.37491780000000002</v>
      </c>
      <c r="HY14">
        <v>79225</v>
      </c>
      <c r="HZ14">
        <v>0.69744399999999995</v>
      </c>
      <c r="IA14">
        <v>79225</v>
      </c>
      <c r="IB14">
        <v>0.69744399999999995</v>
      </c>
      <c r="IC14">
        <v>79225</v>
      </c>
      <c r="ID14">
        <v>0.69744399999999995</v>
      </c>
      <c r="IE14">
        <v>79225</v>
      </c>
      <c r="IF14">
        <v>0.69744399999999995</v>
      </c>
      <c r="IG14">
        <v>79225</v>
      </c>
      <c r="IH14">
        <v>0.30255599999999999</v>
      </c>
      <c r="II14">
        <v>211313</v>
      </c>
      <c r="IJ14">
        <v>0.62508220000000003</v>
      </c>
      <c r="IK14">
        <v>132088</v>
      </c>
      <c r="IL14">
        <v>0.18157590000000001</v>
      </c>
      <c r="IM14">
        <v>23984</v>
      </c>
      <c r="IN14">
        <v>0.68099560000000003</v>
      </c>
      <c r="IO14">
        <v>16333</v>
      </c>
      <c r="IP14">
        <v>0.27514850000000002</v>
      </c>
      <c r="IQ14">
        <v>16333</v>
      </c>
      <c r="IR14">
        <v>0.27294429999999997</v>
      </c>
      <c r="IS14">
        <v>16333</v>
      </c>
      <c r="IT14">
        <v>0.45190720000000001</v>
      </c>
      <c r="IU14">
        <v>23984</v>
      </c>
      <c r="IV14">
        <v>0.31900430000000002</v>
      </c>
      <c r="IW14">
        <v>132088</v>
      </c>
      <c r="IX14">
        <v>0.81842409999999999</v>
      </c>
      <c r="IY14">
        <v>108104</v>
      </c>
      <c r="IZ14">
        <v>0.82915530000000004</v>
      </c>
      <c r="JA14">
        <v>89635</v>
      </c>
      <c r="JB14">
        <v>0.14527809999999999</v>
      </c>
      <c r="JC14">
        <v>89635</v>
      </c>
      <c r="JD14">
        <v>0.27990179999999998</v>
      </c>
      <c r="JE14">
        <v>89635</v>
      </c>
      <c r="JF14">
        <v>0.57482009999999994</v>
      </c>
      <c r="JG14">
        <v>108104</v>
      </c>
      <c r="JH14">
        <v>0.17084469999999999</v>
      </c>
      <c r="JI14">
        <v>1185270</v>
      </c>
      <c r="JJ14">
        <v>3.7819199999999997E-2</v>
      </c>
      <c r="JK14">
        <v>44826</v>
      </c>
      <c r="JL14">
        <v>0.49966539999999998</v>
      </c>
      <c r="JM14">
        <v>22398</v>
      </c>
      <c r="JN14">
        <v>0.66680059999999997</v>
      </c>
      <c r="JO14">
        <v>22398</v>
      </c>
      <c r="JP14">
        <v>0.66680059999999997</v>
      </c>
      <c r="JQ14">
        <v>22398</v>
      </c>
      <c r="JR14">
        <v>0.66680059999999997</v>
      </c>
      <c r="JS14">
        <v>22398</v>
      </c>
      <c r="JT14">
        <v>0.66680059999999997</v>
      </c>
      <c r="JU14">
        <v>22398</v>
      </c>
      <c r="JV14">
        <v>0.33319939999999998</v>
      </c>
      <c r="JW14">
        <v>44826</v>
      </c>
      <c r="JX14">
        <v>0.50033459999999996</v>
      </c>
      <c r="JY14">
        <v>22428</v>
      </c>
      <c r="JZ14">
        <v>0.2490637</v>
      </c>
      <c r="KA14">
        <v>5586</v>
      </c>
      <c r="KB14">
        <v>0.65914790000000001</v>
      </c>
      <c r="KC14">
        <v>3682</v>
      </c>
      <c r="KD14">
        <v>0.34057579999999998</v>
      </c>
      <c r="KE14">
        <v>3682</v>
      </c>
      <c r="KF14">
        <v>0.14068439999999999</v>
      </c>
      <c r="KG14">
        <v>3682</v>
      </c>
      <c r="KH14">
        <v>0.51873979999999997</v>
      </c>
      <c r="KI14">
        <v>5586</v>
      </c>
      <c r="KJ14">
        <v>0.34085209999999999</v>
      </c>
      <c r="KK14">
        <v>22428</v>
      </c>
      <c r="KL14">
        <v>0.7509363</v>
      </c>
      <c r="KM14">
        <v>16842</v>
      </c>
      <c r="KN14">
        <v>0.68928869999999998</v>
      </c>
      <c r="KO14">
        <v>11609</v>
      </c>
      <c r="KP14">
        <v>8.9844099999999996E-2</v>
      </c>
      <c r="KQ14">
        <v>11609</v>
      </c>
      <c r="KR14">
        <v>0.27599279999999998</v>
      </c>
      <c r="KS14">
        <v>11609</v>
      </c>
      <c r="KT14">
        <v>0.63416309999999998</v>
      </c>
      <c r="KU14">
        <v>16842</v>
      </c>
      <c r="KV14">
        <v>0.31071130000000002</v>
      </c>
      <c r="KW14">
        <v>1185270</v>
      </c>
      <c r="KX14">
        <v>5.9510500000000001E-2</v>
      </c>
      <c r="KY14">
        <v>70536</v>
      </c>
      <c r="KZ14">
        <v>0.56833389999999995</v>
      </c>
      <c r="LA14">
        <v>40088</v>
      </c>
      <c r="LB14">
        <v>0.61295149999999998</v>
      </c>
      <c r="LC14">
        <v>40088</v>
      </c>
      <c r="LD14">
        <v>0.61295149999999998</v>
      </c>
      <c r="LE14">
        <v>40088</v>
      </c>
      <c r="LF14">
        <v>0.61295149999999998</v>
      </c>
      <c r="LG14">
        <v>40088</v>
      </c>
      <c r="LH14">
        <v>0.61295149999999998</v>
      </c>
      <c r="LI14">
        <v>40088</v>
      </c>
      <c r="LJ14">
        <v>0.38704850000000002</v>
      </c>
      <c r="LK14">
        <v>70536</v>
      </c>
      <c r="LL14">
        <v>0.4316661</v>
      </c>
      <c r="LM14">
        <v>30448</v>
      </c>
      <c r="LN14">
        <v>0.23653440000000001</v>
      </c>
      <c r="LO14">
        <v>7202</v>
      </c>
      <c r="LP14">
        <v>0.58469870000000002</v>
      </c>
      <c r="LQ14">
        <v>4211</v>
      </c>
      <c r="LR14">
        <v>0.1116124</v>
      </c>
      <c r="LS14">
        <v>4211</v>
      </c>
      <c r="LT14">
        <v>0.2068392</v>
      </c>
      <c r="LU14">
        <v>4211</v>
      </c>
      <c r="LV14">
        <v>0.6815483</v>
      </c>
      <c r="LW14">
        <v>7202</v>
      </c>
      <c r="LX14">
        <v>0.41530129999999998</v>
      </c>
      <c r="LY14">
        <v>30448</v>
      </c>
      <c r="LZ14">
        <v>0.76346559999999997</v>
      </c>
      <c r="MA14">
        <v>23246</v>
      </c>
      <c r="MB14">
        <v>0.67826719999999996</v>
      </c>
      <c r="MC14">
        <v>15767</v>
      </c>
      <c r="MD14">
        <v>0.13775609999999999</v>
      </c>
      <c r="ME14">
        <v>15767</v>
      </c>
      <c r="MF14">
        <v>0.20758550000000001</v>
      </c>
      <c r="MG14">
        <v>15767</v>
      </c>
      <c r="MH14">
        <v>0.65465839999999997</v>
      </c>
      <c r="MI14">
        <v>23246</v>
      </c>
      <c r="MJ14">
        <v>0.32173279999999999</v>
      </c>
      <c r="MK14">
        <v>1185270</v>
      </c>
      <c r="ML14">
        <v>0.72438769999999997</v>
      </c>
      <c r="MM14">
        <v>858595</v>
      </c>
      <c r="MN14">
        <v>0.75797320000000001</v>
      </c>
      <c r="MO14">
        <v>650792</v>
      </c>
      <c r="MP14">
        <v>0.43110700000000002</v>
      </c>
      <c r="MQ14">
        <v>650792</v>
      </c>
      <c r="MR14">
        <v>0.43110700000000002</v>
      </c>
      <c r="MS14">
        <v>650792</v>
      </c>
      <c r="MT14">
        <v>0.43110700000000002</v>
      </c>
      <c r="MU14">
        <v>650792</v>
      </c>
      <c r="MV14">
        <v>0.43110700000000002</v>
      </c>
      <c r="MW14">
        <v>650792</v>
      </c>
      <c r="MX14">
        <v>0.56889299999999998</v>
      </c>
      <c r="MY14">
        <v>858595</v>
      </c>
      <c r="MZ14">
        <v>0.24202679999999999</v>
      </c>
      <c r="NA14">
        <v>207803</v>
      </c>
      <c r="NB14">
        <v>0.28451470000000001</v>
      </c>
      <c r="NC14">
        <v>59123</v>
      </c>
      <c r="ND14">
        <v>0.39657999999999999</v>
      </c>
      <c r="NE14">
        <v>23447</v>
      </c>
      <c r="NF14">
        <v>0.17524629999999999</v>
      </c>
      <c r="NG14">
        <v>23447</v>
      </c>
      <c r="NH14">
        <v>0.12982469999999999</v>
      </c>
      <c r="NI14">
        <v>23447</v>
      </c>
      <c r="NJ14">
        <v>0.69492900000000002</v>
      </c>
      <c r="NK14">
        <v>59123</v>
      </c>
      <c r="NL14">
        <v>0.60341999999999996</v>
      </c>
      <c r="NM14">
        <v>207803</v>
      </c>
      <c r="NN14">
        <v>0.71548529999999999</v>
      </c>
      <c r="NO14">
        <v>148680</v>
      </c>
      <c r="NP14">
        <v>0.4401197</v>
      </c>
      <c r="NQ14">
        <v>65437</v>
      </c>
      <c r="NR14">
        <v>0.14008889999999999</v>
      </c>
      <c r="NS14">
        <v>65437</v>
      </c>
      <c r="NT14">
        <v>0.1164326</v>
      </c>
      <c r="NU14">
        <v>65437</v>
      </c>
      <c r="NV14">
        <v>0.74347850000000004</v>
      </c>
      <c r="NW14">
        <v>148680</v>
      </c>
      <c r="NX14">
        <v>0.5598803</v>
      </c>
    </row>
    <row r="15" spans="1:388" x14ac:dyDescent="0.25">
      <c r="A15" t="s">
        <v>135</v>
      </c>
      <c r="B15">
        <v>2010</v>
      </c>
      <c r="C15">
        <v>1</v>
      </c>
      <c r="D15" t="s">
        <v>548</v>
      </c>
      <c r="E15">
        <v>59730</v>
      </c>
      <c r="F15">
        <v>0.43035329999999999</v>
      </c>
      <c r="G15">
        <v>25705</v>
      </c>
      <c r="H15">
        <v>0.10441549999999999</v>
      </c>
      <c r="I15">
        <v>25705</v>
      </c>
      <c r="J15">
        <v>2.1396600000000002E-2</v>
      </c>
      <c r="K15">
        <v>25705</v>
      </c>
      <c r="L15">
        <v>0.11608640000000001</v>
      </c>
      <c r="M15">
        <v>25705</v>
      </c>
      <c r="N15">
        <v>8.2318600000000006E-2</v>
      </c>
      <c r="O15">
        <v>25705</v>
      </c>
      <c r="P15">
        <v>1.5561200000000001E-2</v>
      </c>
      <c r="Q15">
        <v>25705</v>
      </c>
      <c r="R15">
        <v>3.7346799999999999E-2</v>
      </c>
      <c r="S15">
        <v>25705</v>
      </c>
      <c r="T15">
        <v>0.10441549999999999</v>
      </c>
      <c r="U15">
        <v>25705</v>
      </c>
      <c r="V15">
        <v>0.13631589999999999</v>
      </c>
      <c r="W15">
        <v>25705</v>
      </c>
      <c r="X15">
        <v>0.14716979999999999</v>
      </c>
      <c r="Y15">
        <v>25705</v>
      </c>
      <c r="Z15">
        <v>9.8657800000000004E-2</v>
      </c>
      <c r="AA15">
        <v>25705</v>
      </c>
      <c r="AB15">
        <v>5.5086599999999999E-2</v>
      </c>
      <c r="AC15">
        <v>25705</v>
      </c>
      <c r="AD15">
        <v>4.53608E-2</v>
      </c>
      <c r="AE15">
        <v>25705</v>
      </c>
      <c r="AF15">
        <v>3.5868499999999998E-2</v>
      </c>
      <c r="AG15">
        <v>59730</v>
      </c>
      <c r="AH15">
        <v>0.56964669999999995</v>
      </c>
      <c r="AI15">
        <v>34025</v>
      </c>
      <c r="AJ15">
        <v>8.3115400000000006E-2</v>
      </c>
      <c r="AK15">
        <v>34025</v>
      </c>
      <c r="AL15">
        <v>9.6693999999999999E-3</v>
      </c>
      <c r="AM15">
        <v>34025</v>
      </c>
      <c r="AN15">
        <v>6.8332100000000007E-2</v>
      </c>
      <c r="AO15">
        <v>34025</v>
      </c>
      <c r="AP15">
        <v>5.2520200000000003E-2</v>
      </c>
      <c r="AQ15">
        <v>34025</v>
      </c>
      <c r="AR15">
        <v>2.2659800000000001E-2</v>
      </c>
      <c r="AS15">
        <v>34025</v>
      </c>
      <c r="AT15">
        <v>2.1425400000000001E-2</v>
      </c>
      <c r="AU15">
        <v>34025</v>
      </c>
      <c r="AV15">
        <v>0.12684790000000001</v>
      </c>
      <c r="AW15">
        <v>34025</v>
      </c>
      <c r="AX15">
        <v>0.18016160000000001</v>
      </c>
      <c r="AY15">
        <v>34025</v>
      </c>
      <c r="AZ15">
        <v>0.1490081</v>
      </c>
      <c r="BA15">
        <v>34025</v>
      </c>
      <c r="BB15">
        <v>0.1004849</v>
      </c>
      <c r="BC15">
        <v>34025</v>
      </c>
      <c r="BD15">
        <v>8.8258600000000006E-2</v>
      </c>
      <c r="BE15">
        <v>34025</v>
      </c>
      <c r="BF15">
        <v>3.2182200000000001E-2</v>
      </c>
      <c r="BG15">
        <v>34025</v>
      </c>
      <c r="BH15">
        <v>6.5334299999999998E-2</v>
      </c>
      <c r="BI15">
        <v>844929</v>
      </c>
      <c r="BJ15">
        <v>0.49574109999999999</v>
      </c>
      <c r="BK15">
        <v>418866</v>
      </c>
      <c r="BL15">
        <v>6.2580899999999995E-2</v>
      </c>
      <c r="BM15">
        <v>418866</v>
      </c>
      <c r="BN15">
        <v>1.21041E-2</v>
      </c>
      <c r="BO15">
        <v>418866</v>
      </c>
      <c r="BP15">
        <v>8.9123999999999995E-2</v>
      </c>
      <c r="BQ15">
        <v>418866</v>
      </c>
      <c r="BR15">
        <v>4.1306799999999998E-2</v>
      </c>
      <c r="BS15">
        <v>418866</v>
      </c>
      <c r="BT15">
        <v>1.5625500000000001E-2</v>
      </c>
      <c r="BU15">
        <v>418866</v>
      </c>
      <c r="BV15">
        <v>3.3161000000000003E-2</v>
      </c>
      <c r="BW15">
        <v>418866</v>
      </c>
      <c r="BX15">
        <v>8.4958000000000006E-2</v>
      </c>
      <c r="BY15">
        <v>418866</v>
      </c>
      <c r="BZ15">
        <v>0.1312711</v>
      </c>
      <c r="CA15">
        <v>418866</v>
      </c>
      <c r="CB15">
        <v>0.138407</v>
      </c>
      <c r="CC15">
        <v>418866</v>
      </c>
      <c r="CD15">
        <v>0.1636753</v>
      </c>
      <c r="CE15">
        <v>418866</v>
      </c>
      <c r="CF15">
        <v>0.1296118</v>
      </c>
      <c r="CG15">
        <v>418866</v>
      </c>
      <c r="CH15">
        <v>6.0382100000000001E-2</v>
      </c>
      <c r="CI15">
        <v>418866</v>
      </c>
      <c r="CJ15">
        <v>3.77925E-2</v>
      </c>
      <c r="CK15">
        <v>844929</v>
      </c>
      <c r="CL15">
        <v>0.50425889999999995</v>
      </c>
      <c r="CM15">
        <v>426063</v>
      </c>
      <c r="CN15">
        <v>5.8564100000000001E-2</v>
      </c>
      <c r="CO15">
        <v>426063</v>
      </c>
      <c r="CP15">
        <v>1.38008E-2</v>
      </c>
      <c r="CQ15">
        <v>426063</v>
      </c>
      <c r="CR15">
        <v>7.4615699999999993E-2</v>
      </c>
      <c r="CS15">
        <v>426063</v>
      </c>
      <c r="CT15">
        <v>4.8337900000000003E-2</v>
      </c>
      <c r="CU15">
        <v>426063</v>
      </c>
      <c r="CV15">
        <v>1.64107E-2</v>
      </c>
      <c r="CW15">
        <v>426063</v>
      </c>
      <c r="CX15">
        <v>2.7585100000000001E-2</v>
      </c>
      <c r="CY15">
        <v>426063</v>
      </c>
      <c r="CZ15">
        <v>6.9670399999999993E-2</v>
      </c>
      <c r="DA15">
        <v>426063</v>
      </c>
      <c r="DB15">
        <v>0.1221392</v>
      </c>
      <c r="DC15">
        <v>426063</v>
      </c>
      <c r="DD15">
        <v>0.13868140000000001</v>
      </c>
      <c r="DE15">
        <v>426063</v>
      </c>
      <c r="DF15">
        <v>0.17239699999999999</v>
      </c>
      <c r="DG15">
        <v>426063</v>
      </c>
      <c r="DH15">
        <v>0.1310064</v>
      </c>
      <c r="DI15">
        <v>426063</v>
      </c>
      <c r="DJ15">
        <v>6.9276099999999993E-2</v>
      </c>
      <c r="DK15">
        <v>426063</v>
      </c>
      <c r="DL15">
        <v>5.7514999999999997E-2</v>
      </c>
      <c r="DM15">
        <v>605612</v>
      </c>
      <c r="DN15">
        <v>5.6582399999999998E-2</v>
      </c>
      <c r="DO15">
        <v>34267</v>
      </c>
      <c r="DP15">
        <v>0.3889165</v>
      </c>
      <c r="DQ15">
        <v>13327</v>
      </c>
      <c r="DR15">
        <v>0.1934419</v>
      </c>
      <c r="DS15">
        <v>13327</v>
      </c>
      <c r="DT15">
        <v>0.20769870000000001</v>
      </c>
      <c r="DU15">
        <v>13327</v>
      </c>
      <c r="DV15">
        <v>0.25174459999999999</v>
      </c>
      <c r="DW15">
        <v>13327</v>
      </c>
      <c r="DX15">
        <v>0.3471149</v>
      </c>
      <c r="DY15">
        <v>34267</v>
      </c>
      <c r="DZ15">
        <v>0.61108359999999995</v>
      </c>
      <c r="EA15">
        <v>20940</v>
      </c>
      <c r="EB15">
        <v>0.26155679999999998</v>
      </c>
      <c r="EC15">
        <v>20940</v>
      </c>
      <c r="ED15">
        <v>0.2531041</v>
      </c>
      <c r="EE15">
        <v>20940</v>
      </c>
      <c r="EF15">
        <v>0.2287488</v>
      </c>
      <c r="EG15">
        <v>20940</v>
      </c>
      <c r="EH15">
        <v>0.25659019999999999</v>
      </c>
      <c r="EI15">
        <v>605612</v>
      </c>
      <c r="EJ15">
        <v>0.94341750000000002</v>
      </c>
      <c r="EK15">
        <v>571345</v>
      </c>
      <c r="EL15">
        <v>0.48469659999999998</v>
      </c>
      <c r="EM15">
        <v>276929</v>
      </c>
      <c r="EN15">
        <v>7.4885599999999997E-2</v>
      </c>
      <c r="EO15">
        <v>276929</v>
      </c>
      <c r="EP15">
        <v>0.18113670000000001</v>
      </c>
      <c r="EQ15">
        <v>276929</v>
      </c>
      <c r="ER15">
        <v>0.25437209999999999</v>
      </c>
      <c r="ES15">
        <v>276929</v>
      </c>
      <c r="ET15">
        <v>0.48960559999999997</v>
      </c>
      <c r="EU15">
        <v>571345</v>
      </c>
      <c r="EV15">
        <v>0.51530339999999997</v>
      </c>
      <c r="EW15">
        <v>294416</v>
      </c>
      <c r="EX15">
        <v>6.9727899999999995E-2</v>
      </c>
      <c r="EY15">
        <v>294416</v>
      </c>
      <c r="EZ15">
        <v>0.20556630000000001</v>
      </c>
      <c r="FA15">
        <v>294416</v>
      </c>
      <c r="FB15">
        <v>0.27091599999999999</v>
      </c>
      <c r="FC15">
        <v>294416</v>
      </c>
      <c r="FD15">
        <v>0.45378990000000002</v>
      </c>
      <c r="FE15">
        <v>705214</v>
      </c>
      <c r="FF15">
        <v>6.0912000000000001E-2</v>
      </c>
      <c r="FG15">
        <v>42956</v>
      </c>
      <c r="FH15">
        <v>0.3950787</v>
      </c>
      <c r="FI15">
        <v>16971</v>
      </c>
      <c r="FJ15">
        <v>0.15626660000000001</v>
      </c>
      <c r="FK15">
        <v>16971</v>
      </c>
      <c r="FL15">
        <v>0.45412760000000002</v>
      </c>
      <c r="FM15">
        <v>16971</v>
      </c>
      <c r="FN15">
        <v>0.3896058</v>
      </c>
      <c r="FO15">
        <v>16971</v>
      </c>
      <c r="FP15">
        <v>0.6902952</v>
      </c>
      <c r="FQ15">
        <v>16971</v>
      </c>
      <c r="FR15">
        <v>0.3097048</v>
      </c>
      <c r="FS15">
        <v>11715</v>
      </c>
      <c r="FT15">
        <v>0.68425100000000005</v>
      </c>
      <c r="FU15">
        <v>11715</v>
      </c>
      <c r="FV15">
        <v>0.315749</v>
      </c>
      <c r="FW15">
        <v>42956</v>
      </c>
      <c r="FX15">
        <v>0.6049213</v>
      </c>
      <c r="FY15">
        <v>25985</v>
      </c>
      <c r="FZ15">
        <v>6.2228199999999997E-2</v>
      </c>
      <c r="GA15">
        <v>25985</v>
      </c>
      <c r="GB15">
        <v>0.41431590000000001</v>
      </c>
      <c r="GC15">
        <v>25985</v>
      </c>
      <c r="GD15">
        <v>0.52345589999999997</v>
      </c>
      <c r="GE15">
        <v>25985</v>
      </c>
      <c r="GF15">
        <v>0.5237252</v>
      </c>
      <c r="GG15">
        <v>25985</v>
      </c>
      <c r="GH15">
        <v>0.4762748</v>
      </c>
      <c r="GI15">
        <v>13609</v>
      </c>
      <c r="GJ15">
        <v>0.66529499999999997</v>
      </c>
      <c r="GK15">
        <v>13609</v>
      </c>
      <c r="GL15">
        <v>0.33470499999999997</v>
      </c>
      <c r="GM15">
        <v>705214</v>
      </c>
      <c r="GN15">
        <v>0.93908800000000003</v>
      </c>
      <c r="GO15">
        <v>662258</v>
      </c>
      <c r="GP15">
        <v>0.49286679999999999</v>
      </c>
      <c r="GQ15">
        <v>326405</v>
      </c>
      <c r="GR15">
        <v>0.56520890000000001</v>
      </c>
      <c r="GS15">
        <v>326405</v>
      </c>
      <c r="GT15">
        <v>0.2361637</v>
      </c>
      <c r="GU15">
        <v>326405</v>
      </c>
      <c r="GV15">
        <v>0.19862750000000001</v>
      </c>
      <c r="GW15">
        <v>326286</v>
      </c>
      <c r="GX15">
        <v>0.80488590000000004</v>
      </c>
      <c r="GY15">
        <v>326286</v>
      </c>
      <c r="GZ15">
        <v>0.19511410000000001</v>
      </c>
      <c r="HA15">
        <v>262623</v>
      </c>
      <c r="HB15">
        <v>0.91139769999999998</v>
      </c>
      <c r="HC15">
        <v>262623</v>
      </c>
      <c r="HD15">
        <v>8.8602299999999995E-2</v>
      </c>
      <c r="HE15">
        <v>662258</v>
      </c>
      <c r="HF15">
        <v>0.50713319999999995</v>
      </c>
      <c r="HG15">
        <v>335853</v>
      </c>
      <c r="HH15">
        <v>0.39580409999999999</v>
      </c>
      <c r="HI15">
        <v>335853</v>
      </c>
      <c r="HJ15">
        <v>0.27989330000000001</v>
      </c>
      <c r="HK15">
        <v>335853</v>
      </c>
      <c r="HL15">
        <v>0.3243026</v>
      </c>
      <c r="HM15">
        <v>335853</v>
      </c>
      <c r="HN15">
        <v>0.66543699999999995</v>
      </c>
      <c r="HO15">
        <v>335853</v>
      </c>
      <c r="HP15">
        <v>0.334563</v>
      </c>
      <c r="HQ15">
        <v>223489</v>
      </c>
      <c r="HR15">
        <v>0.92397390000000001</v>
      </c>
      <c r="HS15">
        <v>223489</v>
      </c>
      <c r="HT15">
        <v>7.6026099999999999E-2</v>
      </c>
      <c r="HU15">
        <v>235629</v>
      </c>
      <c r="HV15">
        <v>7.0568599999999995E-2</v>
      </c>
      <c r="HW15">
        <v>16628</v>
      </c>
      <c r="HX15">
        <v>0.55550880000000002</v>
      </c>
      <c r="HY15">
        <v>9237</v>
      </c>
      <c r="HZ15">
        <v>0.74937750000000003</v>
      </c>
      <c r="IA15">
        <v>9237</v>
      </c>
      <c r="IB15">
        <v>0.74937750000000003</v>
      </c>
      <c r="IC15">
        <v>9237</v>
      </c>
      <c r="ID15">
        <v>0.74937750000000003</v>
      </c>
      <c r="IE15">
        <v>9237</v>
      </c>
      <c r="IF15">
        <v>0.74937750000000003</v>
      </c>
      <c r="IG15">
        <v>9237</v>
      </c>
      <c r="IH15">
        <v>0.25062250000000003</v>
      </c>
      <c r="II15">
        <v>16628</v>
      </c>
      <c r="IJ15">
        <v>0.44449119999999998</v>
      </c>
      <c r="IK15">
        <v>7391</v>
      </c>
      <c r="IL15">
        <v>0.19401969999999999</v>
      </c>
      <c r="IM15">
        <v>1434</v>
      </c>
      <c r="IN15">
        <v>0.8305439</v>
      </c>
      <c r="IO15">
        <v>1191</v>
      </c>
      <c r="IP15">
        <v>0</v>
      </c>
      <c r="IQ15">
        <v>1191</v>
      </c>
      <c r="IR15">
        <v>0.41729640000000001</v>
      </c>
      <c r="IS15">
        <v>1191</v>
      </c>
      <c r="IT15">
        <v>0.58270359999999999</v>
      </c>
      <c r="IU15">
        <v>1434</v>
      </c>
      <c r="IV15">
        <v>0.1694561</v>
      </c>
      <c r="IW15">
        <v>7391</v>
      </c>
      <c r="IX15">
        <v>0.80598029999999998</v>
      </c>
      <c r="IY15">
        <v>5957</v>
      </c>
      <c r="IZ15">
        <v>0.8232332</v>
      </c>
      <c r="JA15">
        <v>4904</v>
      </c>
      <c r="JB15">
        <v>0.1871941</v>
      </c>
      <c r="JC15">
        <v>4904</v>
      </c>
      <c r="JD15">
        <v>0.37194129999999997</v>
      </c>
      <c r="JE15">
        <v>4904</v>
      </c>
      <c r="JF15">
        <v>0.4408646</v>
      </c>
      <c r="JG15">
        <v>5957</v>
      </c>
      <c r="JH15">
        <v>0.1767668</v>
      </c>
      <c r="JI15">
        <v>235629</v>
      </c>
      <c r="JJ15">
        <v>1.85291E-2</v>
      </c>
      <c r="JK15">
        <v>4366</v>
      </c>
      <c r="JL15">
        <v>0.46472740000000001</v>
      </c>
      <c r="JM15">
        <v>2029</v>
      </c>
      <c r="JN15">
        <v>0.57565299999999997</v>
      </c>
      <c r="JO15">
        <v>2029</v>
      </c>
      <c r="JP15">
        <v>0.57565299999999997</v>
      </c>
      <c r="JQ15">
        <v>2029</v>
      </c>
      <c r="JR15">
        <v>0.57565299999999997</v>
      </c>
      <c r="JS15">
        <v>2029</v>
      </c>
      <c r="JT15">
        <v>0.57565299999999997</v>
      </c>
      <c r="JU15">
        <v>2029</v>
      </c>
      <c r="JV15">
        <v>0.42434699999999997</v>
      </c>
      <c r="JW15">
        <v>4366</v>
      </c>
      <c r="JX15">
        <v>0.53527250000000004</v>
      </c>
      <c r="JY15">
        <v>2337</v>
      </c>
      <c r="JZ15">
        <v>0.1065469</v>
      </c>
      <c r="KA15">
        <v>249</v>
      </c>
      <c r="KB15">
        <v>0.25702809999999998</v>
      </c>
      <c r="KC15">
        <v>64</v>
      </c>
      <c r="KD15">
        <v>0</v>
      </c>
      <c r="KE15">
        <v>64</v>
      </c>
      <c r="KF15">
        <v>0</v>
      </c>
      <c r="KG15">
        <v>64</v>
      </c>
      <c r="KH15">
        <v>1</v>
      </c>
      <c r="KI15">
        <v>249</v>
      </c>
      <c r="KJ15">
        <v>0.74297190000000002</v>
      </c>
      <c r="KK15">
        <v>2337</v>
      </c>
      <c r="KL15">
        <v>0.8934531</v>
      </c>
      <c r="KM15">
        <v>2088</v>
      </c>
      <c r="KN15">
        <v>0.7547893</v>
      </c>
      <c r="KO15">
        <v>1576</v>
      </c>
      <c r="KP15">
        <v>9.6446699999999996E-2</v>
      </c>
      <c r="KQ15">
        <v>1576</v>
      </c>
      <c r="KR15">
        <v>8.3121799999999996E-2</v>
      </c>
      <c r="KS15">
        <v>1576</v>
      </c>
      <c r="KT15">
        <v>0.82043149999999998</v>
      </c>
      <c r="KU15">
        <v>2088</v>
      </c>
      <c r="KV15">
        <v>0.2452107</v>
      </c>
      <c r="KW15">
        <v>235629</v>
      </c>
      <c r="KX15">
        <v>3.81914E-2</v>
      </c>
      <c r="KY15">
        <v>8999</v>
      </c>
      <c r="KZ15">
        <v>0.62440269999999998</v>
      </c>
      <c r="LA15">
        <v>5619</v>
      </c>
      <c r="LB15">
        <v>0.63142909999999997</v>
      </c>
      <c r="LC15">
        <v>5619</v>
      </c>
      <c r="LD15">
        <v>0.63142909999999997</v>
      </c>
      <c r="LE15">
        <v>5619</v>
      </c>
      <c r="LF15">
        <v>0.63142909999999997</v>
      </c>
      <c r="LG15">
        <v>5619</v>
      </c>
      <c r="LH15">
        <v>0.63142909999999997</v>
      </c>
      <c r="LI15">
        <v>5619</v>
      </c>
      <c r="LJ15">
        <v>0.36857089999999998</v>
      </c>
      <c r="LK15">
        <v>8999</v>
      </c>
      <c r="LL15">
        <v>0.37559730000000002</v>
      </c>
      <c r="LM15">
        <v>3380</v>
      </c>
      <c r="LN15">
        <v>0.32662720000000001</v>
      </c>
      <c r="LO15">
        <v>1104</v>
      </c>
      <c r="LP15">
        <v>0.81521739999999998</v>
      </c>
      <c r="LQ15">
        <v>900</v>
      </c>
      <c r="LR15">
        <v>0.3333333</v>
      </c>
      <c r="LS15">
        <v>900</v>
      </c>
      <c r="LT15">
        <v>0.5388889</v>
      </c>
      <c r="LU15">
        <v>900</v>
      </c>
      <c r="LV15">
        <v>0.1277778</v>
      </c>
      <c r="LW15">
        <v>1104</v>
      </c>
      <c r="LX15">
        <v>0.18478259999999999</v>
      </c>
      <c r="LY15">
        <v>3380</v>
      </c>
      <c r="LZ15">
        <v>0.67337279999999999</v>
      </c>
      <c r="MA15">
        <v>2276</v>
      </c>
      <c r="MB15">
        <v>0.69024600000000003</v>
      </c>
      <c r="MC15">
        <v>1571</v>
      </c>
      <c r="MD15">
        <v>0.11075749999999999</v>
      </c>
      <c r="ME15">
        <v>1571</v>
      </c>
      <c r="MF15">
        <v>0.26543600000000001</v>
      </c>
      <c r="MG15">
        <v>1571</v>
      </c>
      <c r="MH15">
        <v>0.62380650000000004</v>
      </c>
      <c r="MI15">
        <v>2276</v>
      </c>
      <c r="MJ15">
        <v>0.30975399999999997</v>
      </c>
      <c r="MK15">
        <v>235629</v>
      </c>
      <c r="ML15">
        <v>0.87271089999999996</v>
      </c>
      <c r="MM15">
        <v>205636</v>
      </c>
      <c r="MN15">
        <v>0.84717659999999995</v>
      </c>
      <c r="MO15">
        <v>174210</v>
      </c>
      <c r="MP15">
        <v>0.47299239999999998</v>
      </c>
      <c r="MQ15">
        <v>174210</v>
      </c>
      <c r="MR15">
        <v>0.47299239999999998</v>
      </c>
      <c r="MS15">
        <v>174210</v>
      </c>
      <c r="MT15">
        <v>0.47299239999999998</v>
      </c>
      <c r="MU15">
        <v>174210</v>
      </c>
      <c r="MV15">
        <v>0.47299239999999998</v>
      </c>
      <c r="MW15">
        <v>174210</v>
      </c>
      <c r="MX15">
        <v>0.52700760000000002</v>
      </c>
      <c r="MY15">
        <v>205636</v>
      </c>
      <c r="MZ15">
        <v>0.1528234</v>
      </c>
      <c r="NA15">
        <v>31426</v>
      </c>
      <c r="NB15">
        <v>0.3101254</v>
      </c>
      <c r="NC15">
        <v>9746</v>
      </c>
      <c r="ND15">
        <v>0.47711880000000001</v>
      </c>
      <c r="NE15">
        <v>4650</v>
      </c>
      <c r="NF15">
        <v>0.20236560000000001</v>
      </c>
      <c r="NG15">
        <v>4650</v>
      </c>
      <c r="NH15">
        <v>0.12</v>
      </c>
      <c r="NI15">
        <v>4650</v>
      </c>
      <c r="NJ15">
        <v>0.67763439999999997</v>
      </c>
      <c r="NK15">
        <v>9746</v>
      </c>
      <c r="NL15">
        <v>0.52288120000000005</v>
      </c>
      <c r="NM15">
        <v>31426</v>
      </c>
      <c r="NN15">
        <v>0.6898746</v>
      </c>
      <c r="NO15">
        <v>21680</v>
      </c>
      <c r="NP15">
        <v>0.4730627</v>
      </c>
      <c r="NQ15">
        <v>10256</v>
      </c>
      <c r="NR15">
        <v>0.12812009999999999</v>
      </c>
      <c r="NS15">
        <v>10256</v>
      </c>
      <c r="NT15">
        <v>0.1075468</v>
      </c>
      <c r="NU15">
        <v>10256</v>
      </c>
      <c r="NV15">
        <v>0.76433309999999999</v>
      </c>
      <c r="NW15">
        <v>21680</v>
      </c>
      <c r="NX15">
        <v>0.52693719999999999</v>
      </c>
    </row>
    <row r="16" spans="1:388" x14ac:dyDescent="0.25">
      <c r="A16" t="s">
        <v>134</v>
      </c>
      <c r="B16">
        <v>2010</v>
      </c>
      <c r="C16">
        <v>1</v>
      </c>
      <c r="D16" t="s">
        <v>549</v>
      </c>
      <c r="E16">
        <v>56707</v>
      </c>
      <c r="F16">
        <v>0.4846492</v>
      </c>
      <c r="G16">
        <v>27483</v>
      </c>
      <c r="H16">
        <v>0.1237128</v>
      </c>
      <c r="I16">
        <v>27483</v>
      </c>
      <c r="J16">
        <v>3.1073799999999999E-2</v>
      </c>
      <c r="K16">
        <v>27483</v>
      </c>
      <c r="L16">
        <v>0.1958665</v>
      </c>
      <c r="M16">
        <v>27483</v>
      </c>
      <c r="N16">
        <v>7.1935399999999997E-2</v>
      </c>
      <c r="O16">
        <v>27483</v>
      </c>
      <c r="P16">
        <v>2.1249500000000001E-2</v>
      </c>
      <c r="Q16">
        <v>27483</v>
      </c>
      <c r="R16">
        <v>4.4500199999999997E-2</v>
      </c>
      <c r="S16">
        <v>27483</v>
      </c>
      <c r="T16">
        <v>9.7660399999999994E-2</v>
      </c>
      <c r="U16">
        <v>27483</v>
      </c>
      <c r="V16">
        <v>0.15817049999999999</v>
      </c>
      <c r="W16">
        <v>27483</v>
      </c>
      <c r="X16">
        <v>0.1067205</v>
      </c>
      <c r="Y16">
        <v>27483</v>
      </c>
      <c r="Z16">
        <v>9.7078200000000003E-2</v>
      </c>
      <c r="AA16">
        <v>27483</v>
      </c>
      <c r="AB16">
        <v>3.1728699999999999E-2</v>
      </c>
      <c r="AC16">
        <v>27483</v>
      </c>
      <c r="AD16">
        <v>4.9848999999999996E-3</v>
      </c>
      <c r="AE16">
        <v>27483</v>
      </c>
      <c r="AF16">
        <v>1.53186E-2</v>
      </c>
      <c r="AG16">
        <v>56707</v>
      </c>
      <c r="AH16">
        <v>0.5153508</v>
      </c>
      <c r="AI16">
        <v>29224</v>
      </c>
      <c r="AJ16">
        <v>0.1021421</v>
      </c>
      <c r="AK16">
        <v>29224</v>
      </c>
      <c r="AL16">
        <v>3.0317500000000001E-2</v>
      </c>
      <c r="AM16">
        <v>29224</v>
      </c>
      <c r="AN16">
        <v>0.1428962</v>
      </c>
      <c r="AO16">
        <v>29224</v>
      </c>
      <c r="AP16">
        <v>7.9523700000000003E-2</v>
      </c>
      <c r="AQ16">
        <v>29224</v>
      </c>
      <c r="AR16">
        <v>1.3242500000000001E-2</v>
      </c>
      <c r="AS16">
        <v>29224</v>
      </c>
      <c r="AT16">
        <v>3.7263900000000003E-2</v>
      </c>
      <c r="AU16">
        <v>29224</v>
      </c>
      <c r="AV16">
        <v>0.100089</v>
      </c>
      <c r="AW16">
        <v>29224</v>
      </c>
      <c r="AX16">
        <v>0.14761840000000001</v>
      </c>
      <c r="AY16">
        <v>29224</v>
      </c>
      <c r="AZ16">
        <v>0.13269909999999999</v>
      </c>
      <c r="BA16">
        <v>29224</v>
      </c>
      <c r="BB16">
        <v>6.2893500000000005E-2</v>
      </c>
      <c r="BC16">
        <v>29224</v>
      </c>
      <c r="BD16">
        <v>7.6615100000000005E-2</v>
      </c>
      <c r="BE16">
        <v>29224</v>
      </c>
      <c r="BF16">
        <v>2.4945200000000001E-2</v>
      </c>
      <c r="BG16">
        <v>29224</v>
      </c>
      <c r="BH16">
        <v>4.9753600000000002E-2</v>
      </c>
      <c r="BI16">
        <v>453696</v>
      </c>
      <c r="BJ16">
        <v>0.49952170000000001</v>
      </c>
      <c r="BK16">
        <v>226631</v>
      </c>
      <c r="BL16">
        <v>7.3233599999999996E-2</v>
      </c>
      <c r="BM16">
        <v>226631</v>
      </c>
      <c r="BN16">
        <v>1.1560600000000001E-2</v>
      </c>
      <c r="BO16">
        <v>226631</v>
      </c>
      <c r="BP16">
        <v>8.9696499999999998E-2</v>
      </c>
      <c r="BQ16">
        <v>226631</v>
      </c>
      <c r="BR16">
        <v>5.2644999999999997E-2</v>
      </c>
      <c r="BS16">
        <v>226631</v>
      </c>
      <c r="BT16">
        <v>1.4759700000000001E-2</v>
      </c>
      <c r="BU16">
        <v>226631</v>
      </c>
      <c r="BV16">
        <v>3.0494500000000001E-2</v>
      </c>
      <c r="BW16">
        <v>226631</v>
      </c>
      <c r="BX16">
        <v>8.44192E-2</v>
      </c>
      <c r="BY16">
        <v>226631</v>
      </c>
      <c r="BZ16">
        <v>0.1317516</v>
      </c>
      <c r="CA16">
        <v>226631</v>
      </c>
      <c r="CB16">
        <v>0.15530530000000001</v>
      </c>
      <c r="CC16">
        <v>226631</v>
      </c>
      <c r="CD16">
        <v>0.150584</v>
      </c>
      <c r="CE16">
        <v>226631</v>
      </c>
      <c r="CF16">
        <v>0.1120985</v>
      </c>
      <c r="CG16">
        <v>226631</v>
      </c>
      <c r="CH16">
        <v>5.9665299999999998E-2</v>
      </c>
      <c r="CI16">
        <v>226631</v>
      </c>
      <c r="CJ16">
        <v>3.3786200000000002E-2</v>
      </c>
      <c r="CK16">
        <v>453696</v>
      </c>
      <c r="CL16">
        <v>0.50047830000000004</v>
      </c>
      <c r="CM16">
        <v>227065</v>
      </c>
      <c r="CN16">
        <v>7.31068E-2</v>
      </c>
      <c r="CO16">
        <v>227065</v>
      </c>
      <c r="CP16">
        <v>1.38639E-2</v>
      </c>
      <c r="CQ16">
        <v>227065</v>
      </c>
      <c r="CR16">
        <v>8.8617799999999997E-2</v>
      </c>
      <c r="CS16">
        <v>227065</v>
      </c>
      <c r="CT16">
        <v>4.49431E-2</v>
      </c>
      <c r="CU16">
        <v>227065</v>
      </c>
      <c r="CV16">
        <v>1.28509E-2</v>
      </c>
      <c r="CW16">
        <v>227065</v>
      </c>
      <c r="CX16">
        <v>3.2972899999999999E-2</v>
      </c>
      <c r="CY16">
        <v>227065</v>
      </c>
      <c r="CZ16">
        <v>7.6577199999999998E-2</v>
      </c>
      <c r="DA16">
        <v>227065</v>
      </c>
      <c r="DB16">
        <v>0.1284786</v>
      </c>
      <c r="DC16">
        <v>227065</v>
      </c>
      <c r="DD16">
        <v>0.1509876</v>
      </c>
      <c r="DE16">
        <v>227065</v>
      </c>
      <c r="DF16">
        <v>0.1543699</v>
      </c>
      <c r="DG16">
        <v>227065</v>
      </c>
      <c r="DH16">
        <v>0.1098408</v>
      </c>
      <c r="DI16">
        <v>227065</v>
      </c>
      <c r="DJ16">
        <v>6.4285599999999998E-2</v>
      </c>
      <c r="DK16">
        <v>227065</v>
      </c>
      <c r="DL16">
        <v>4.91049E-2</v>
      </c>
      <c r="DM16">
        <v>320794</v>
      </c>
      <c r="DN16">
        <v>8.0518999999999993E-2</v>
      </c>
      <c r="DO16">
        <v>25830</v>
      </c>
      <c r="DP16">
        <v>0.44049559999999999</v>
      </c>
      <c r="DQ16">
        <v>11378</v>
      </c>
      <c r="DR16">
        <v>0.55053609999999997</v>
      </c>
      <c r="DS16">
        <v>11378</v>
      </c>
      <c r="DT16">
        <v>0.21963440000000001</v>
      </c>
      <c r="DU16">
        <v>11378</v>
      </c>
      <c r="DV16">
        <v>0.1984532</v>
      </c>
      <c r="DW16">
        <v>11378</v>
      </c>
      <c r="DX16">
        <v>3.1376300000000003E-2</v>
      </c>
      <c r="DY16">
        <v>25830</v>
      </c>
      <c r="DZ16">
        <v>0.55950440000000001</v>
      </c>
      <c r="EA16">
        <v>14452</v>
      </c>
      <c r="EB16">
        <v>0.43191249999999998</v>
      </c>
      <c r="EC16">
        <v>14452</v>
      </c>
      <c r="ED16">
        <v>0.27338780000000001</v>
      </c>
      <c r="EE16">
        <v>14452</v>
      </c>
      <c r="EF16">
        <v>0.22432879999999999</v>
      </c>
      <c r="EG16">
        <v>14452</v>
      </c>
      <c r="EH16">
        <v>7.03709E-2</v>
      </c>
      <c r="EI16">
        <v>320794</v>
      </c>
      <c r="EJ16">
        <v>0.91948099999999999</v>
      </c>
      <c r="EK16">
        <v>294964</v>
      </c>
      <c r="EL16">
        <v>0.49418570000000001</v>
      </c>
      <c r="EM16">
        <v>145767</v>
      </c>
      <c r="EN16">
        <v>0.1499791</v>
      </c>
      <c r="EO16">
        <v>145767</v>
      </c>
      <c r="EP16">
        <v>0.22963359999999999</v>
      </c>
      <c r="EQ16">
        <v>145767</v>
      </c>
      <c r="ER16">
        <v>0.2737039</v>
      </c>
      <c r="ES16">
        <v>145767</v>
      </c>
      <c r="ET16">
        <v>0.34668339999999997</v>
      </c>
      <c r="EU16">
        <v>294964</v>
      </c>
      <c r="EV16">
        <v>0.50581430000000005</v>
      </c>
      <c r="EW16">
        <v>149197</v>
      </c>
      <c r="EX16">
        <v>0.1209609</v>
      </c>
      <c r="EY16">
        <v>149197</v>
      </c>
      <c r="EZ16">
        <v>0.24657999999999999</v>
      </c>
      <c r="FA16">
        <v>149197</v>
      </c>
      <c r="FB16">
        <v>0.29780760000000001</v>
      </c>
      <c r="FC16">
        <v>149197</v>
      </c>
      <c r="FD16">
        <v>0.33465149999999999</v>
      </c>
      <c r="FE16">
        <v>379633</v>
      </c>
      <c r="FF16">
        <v>8.8904300000000006E-2</v>
      </c>
      <c r="FG16">
        <v>33751</v>
      </c>
      <c r="FH16">
        <v>0.45287549999999999</v>
      </c>
      <c r="FI16">
        <v>15285</v>
      </c>
      <c r="FJ16">
        <v>0.2356559</v>
      </c>
      <c r="FK16">
        <v>15285</v>
      </c>
      <c r="FL16">
        <v>0.36905460000000001</v>
      </c>
      <c r="FM16">
        <v>15285</v>
      </c>
      <c r="FN16">
        <v>0.39528950000000002</v>
      </c>
      <c r="FO16">
        <v>15285</v>
      </c>
      <c r="FP16">
        <v>0.6870134</v>
      </c>
      <c r="FQ16">
        <v>15285</v>
      </c>
      <c r="FR16">
        <v>0.3129866</v>
      </c>
      <c r="FS16">
        <v>10501</v>
      </c>
      <c r="FT16">
        <v>0.7516427</v>
      </c>
      <c r="FU16">
        <v>10501</v>
      </c>
      <c r="FV16">
        <v>0.2483573</v>
      </c>
      <c r="FW16">
        <v>33751</v>
      </c>
      <c r="FX16">
        <v>0.54712450000000001</v>
      </c>
      <c r="FY16">
        <v>18466</v>
      </c>
      <c r="FZ16">
        <v>7.0724599999999999E-2</v>
      </c>
      <c r="GA16">
        <v>18466</v>
      </c>
      <c r="GB16">
        <v>0.25657970000000002</v>
      </c>
      <c r="GC16">
        <v>18466</v>
      </c>
      <c r="GD16">
        <v>0.67269579999999995</v>
      </c>
      <c r="GE16">
        <v>18466</v>
      </c>
      <c r="GF16">
        <v>0.39505040000000002</v>
      </c>
      <c r="GG16">
        <v>18466</v>
      </c>
      <c r="GH16">
        <v>0.60494970000000003</v>
      </c>
      <c r="GI16">
        <v>7295</v>
      </c>
      <c r="GJ16">
        <v>0.50829329999999995</v>
      </c>
      <c r="GK16">
        <v>7295</v>
      </c>
      <c r="GL16">
        <v>0.49170659999999999</v>
      </c>
      <c r="GM16">
        <v>379633</v>
      </c>
      <c r="GN16">
        <v>0.91109569999999995</v>
      </c>
      <c r="GO16">
        <v>345882</v>
      </c>
      <c r="GP16">
        <v>0.49673010000000001</v>
      </c>
      <c r="GQ16">
        <v>171810</v>
      </c>
      <c r="GR16">
        <v>0.53653450000000003</v>
      </c>
      <c r="GS16">
        <v>171810</v>
      </c>
      <c r="GT16">
        <v>0.24316979999999999</v>
      </c>
      <c r="GU16">
        <v>171810</v>
      </c>
      <c r="GV16">
        <v>0.22029570000000001</v>
      </c>
      <c r="GW16">
        <v>171633</v>
      </c>
      <c r="GX16">
        <v>0.79621640000000005</v>
      </c>
      <c r="GY16">
        <v>171633</v>
      </c>
      <c r="GZ16">
        <v>0.20378370000000001</v>
      </c>
      <c r="HA16">
        <v>136657</v>
      </c>
      <c r="HB16">
        <v>0.88706759999999996</v>
      </c>
      <c r="HC16">
        <v>136657</v>
      </c>
      <c r="HD16">
        <v>0.1129324</v>
      </c>
      <c r="HE16">
        <v>345882</v>
      </c>
      <c r="HF16">
        <v>0.50326990000000005</v>
      </c>
      <c r="HG16">
        <v>174072</v>
      </c>
      <c r="HH16">
        <v>0.37290889999999999</v>
      </c>
      <c r="HI16">
        <v>174072</v>
      </c>
      <c r="HJ16">
        <v>0.29872700000000002</v>
      </c>
      <c r="HK16">
        <v>174072</v>
      </c>
      <c r="HL16">
        <v>0.32836409999999999</v>
      </c>
      <c r="HM16">
        <v>174072</v>
      </c>
      <c r="HN16">
        <v>0.6611977</v>
      </c>
      <c r="HO16">
        <v>174072</v>
      </c>
      <c r="HP16">
        <v>0.3388023</v>
      </c>
      <c r="HQ16">
        <v>115096</v>
      </c>
      <c r="HR16">
        <v>0.92792110000000005</v>
      </c>
      <c r="HS16">
        <v>115096</v>
      </c>
      <c r="HT16">
        <v>7.2079000000000004E-2</v>
      </c>
      <c r="HU16">
        <v>129044</v>
      </c>
      <c r="HV16">
        <v>0.1187424</v>
      </c>
      <c r="HW16">
        <v>15323</v>
      </c>
      <c r="HX16">
        <v>0.49885790000000002</v>
      </c>
      <c r="HY16">
        <v>7644</v>
      </c>
      <c r="HZ16">
        <v>0.80180530000000005</v>
      </c>
      <c r="IA16">
        <v>7644</v>
      </c>
      <c r="IB16">
        <v>0.80180530000000005</v>
      </c>
      <c r="IC16">
        <v>7644</v>
      </c>
      <c r="ID16">
        <v>0.80180530000000005</v>
      </c>
      <c r="IE16">
        <v>7644</v>
      </c>
      <c r="IF16">
        <v>0.80180530000000005</v>
      </c>
      <c r="IG16">
        <v>7644</v>
      </c>
      <c r="IH16">
        <v>0.1981947</v>
      </c>
      <c r="II16">
        <v>15323</v>
      </c>
      <c r="IJ16">
        <v>0.50114210000000003</v>
      </c>
      <c r="IK16">
        <v>7679</v>
      </c>
      <c r="IL16">
        <v>0.22047140000000001</v>
      </c>
      <c r="IM16">
        <v>1693</v>
      </c>
      <c r="IN16">
        <v>0.93325460000000005</v>
      </c>
      <c r="IO16">
        <v>1580</v>
      </c>
      <c r="IP16">
        <v>0.13544300000000001</v>
      </c>
      <c r="IQ16">
        <v>1580</v>
      </c>
      <c r="IR16">
        <v>8.6075899999999997E-2</v>
      </c>
      <c r="IS16">
        <v>1580</v>
      </c>
      <c r="IT16">
        <v>0.77848099999999998</v>
      </c>
      <c r="IU16">
        <v>1693</v>
      </c>
      <c r="IV16">
        <v>6.6745399999999996E-2</v>
      </c>
      <c r="IW16">
        <v>7679</v>
      </c>
      <c r="IX16">
        <v>0.77952860000000002</v>
      </c>
      <c r="IY16">
        <v>5986</v>
      </c>
      <c r="IZ16">
        <v>0.89191450000000005</v>
      </c>
      <c r="JA16">
        <v>5339</v>
      </c>
      <c r="JB16">
        <v>0.2110882</v>
      </c>
      <c r="JC16">
        <v>5339</v>
      </c>
      <c r="JD16">
        <v>0.35849409999999998</v>
      </c>
      <c r="JE16">
        <v>5339</v>
      </c>
      <c r="JF16">
        <v>0.43041770000000001</v>
      </c>
      <c r="JG16">
        <v>5986</v>
      </c>
      <c r="JH16">
        <v>0.1080855</v>
      </c>
      <c r="JI16">
        <v>129044</v>
      </c>
      <c r="JJ16">
        <v>3.6561200000000002E-2</v>
      </c>
      <c r="JK16">
        <v>4718</v>
      </c>
      <c r="JL16">
        <v>0.59919460000000002</v>
      </c>
      <c r="JM16">
        <v>2827</v>
      </c>
      <c r="JN16">
        <v>0.76759820000000001</v>
      </c>
      <c r="JO16">
        <v>2827</v>
      </c>
      <c r="JP16">
        <v>0.76759820000000001</v>
      </c>
      <c r="JQ16">
        <v>2827</v>
      </c>
      <c r="JR16">
        <v>0.76759820000000001</v>
      </c>
      <c r="JS16">
        <v>2827</v>
      </c>
      <c r="JT16">
        <v>0.76759820000000001</v>
      </c>
      <c r="JU16">
        <v>2827</v>
      </c>
      <c r="JV16">
        <v>0.23240179999999999</v>
      </c>
      <c r="JW16">
        <v>4718</v>
      </c>
      <c r="JX16">
        <v>0.40080539999999998</v>
      </c>
      <c r="JY16">
        <v>1891</v>
      </c>
      <c r="JZ16">
        <v>0.16710729999999999</v>
      </c>
      <c r="KA16">
        <v>316</v>
      </c>
      <c r="KB16">
        <v>0.81329110000000004</v>
      </c>
      <c r="KC16">
        <v>257</v>
      </c>
      <c r="KD16">
        <v>0</v>
      </c>
      <c r="KE16">
        <v>257</v>
      </c>
      <c r="KF16">
        <v>0.76264589999999999</v>
      </c>
      <c r="KG16">
        <v>257</v>
      </c>
      <c r="KH16">
        <v>0.23735410000000001</v>
      </c>
      <c r="KI16">
        <v>316</v>
      </c>
      <c r="KJ16">
        <v>0.18670890000000001</v>
      </c>
      <c r="KK16">
        <v>1891</v>
      </c>
      <c r="KL16">
        <v>0.83289270000000004</v>
      </c>
      <c r="KM16">
        <v>1575</v>
      </c>
      <c r="KN16">
        <v>0.87682539999999998</v>
      </c>
      <c r="KO16">
        <v>1381</v>
      </c>
      <c r="KP16">
        <v>0.16509779999999999</v>
      </c>
      <c r="KQ16">
        <v>1381</v>
      </c>
      <c r="KR16">
        <v>0.25850830000000002</v>
      </c>
      <c r="KS16">
        <v>1381</v>
      </c>
      <c r="KT16">
        <v>0.57639390000000001</v>
      </c>
      <c r="KU16">
        <v>1575</v>
      </c>
      <c r="KV16">
        <v>0.1231746</v>
      </c>
      <c r="KW16">
        <v>129044</v>
      </c>
      <c r="KX16">
        <v>6.2033100000000001E-2</v>
      </c>
      <c r="KY16">
        <v>8005</v>
      </c>
      <c r="KZ16">
        <v>0.71817609999999998</v>
      </c>
      <c r="LA16">
        <v>5749</v>
      </c>
      <c r="LB16">
        <v>0.77787439999999997</v>
      </c>
      <c r="LC16">
        <v>5749</v>
      </c>
      <c r="LD16">
        <v>0.77787439999999997</v>
      </c>
      <c r="LE16">
        <v>5749</v>
      </c>
      <c r="LF16">
        <v>0.77787439999999997</v>
      </c>
      <c r="LG16">
        <v>5749</v>
      </c>
      <c r="LH16">
        <v>0.77787439999999997</v>
      </c>
      <c r="LI16">
        <v>5749</v>
      </c>
      <c r="LJ16">
        <v>0.22212560000000001</v>
      </c>
      <c r="LK16">
        <v>8005</v>
      </c>
      <c r="LL16">
        <v>0.28182390000000002</v>
      </c>
      <c r="LM16">
        <v>2256</v>
      </c>
      <c r="LN16">
        <v>0.27881210000000001</v>
      </c>
      <c r="LO16">
        <v>629</v>
      </c>
      <c r="LP16">
        <v>0.91414949999999995</v>
      </c>
      <c r="LQ16">
        <v>575</v>
      </c>
      <c r="LR16">
        <v>0.12</v>
      </c>
      <c r="LS16">
        <v>575</v>
      </c>
      <c r="LT16">
        <v>0.4904348</v>
      </c>
      <c r="LU16">
        <v>575</v>
      </c>
      <c r="LV16">
        <v>0.3895652</v>
      </c>
      <c r="LW16">
        <v>629</v>
      </c>
      <c r="LX16">
        <v>8.5850599999999999E-2</v>
      </c>
      <c r="LY16">
        <v>2256</v>
      </c>
      <c r="LZ16">
        <v>0.72118789999999999</v>
      </c>
      <c r="MA16">
        <v>1627</v>
      </c>
      <c r="MB16">
        <v>0.62937920000000003</v>
      </c>
      <c r="MC16">
        <v>1024</v>
      </c>
      <c r="MD16">
        <v>0.25</v>
      </c>
      <c r="ME16">
        <v>1024</v>
      </c>
      <c r="MF16">
        <v>0.15625</v>
      </c>
      <c r="MG16">
        <v>1024</v>
      </c>
      <c r="MH16">
        <v>0.59375</v>
      </c>
      <c r="MI16">
        <v>1627</v>
      </c>
      <c r="MJ16">
        <v>0.37062079999999997</v>
      </c>
      <c r="MK16">
        <v>129044</v>
      </c>
      <c r="ML16">
        <v>0.78266329999999995</v>
      </c>
      <c r="MM16">
        <v>100998</v>
      </c>
      <c r="MN16">
        <v>0.8383235</v>
      </c>
      <c r="MO16">
        <v>84669</v>
      </c>
      <c r="MP16">
        <v>0.43243690000000001</v>
      </c>
      <c r="MQ16">
        <v>84669</v>
      </c>
      <c r="MR16">
        <v>0.43243690000000001</v>
      </c>
      <c r="MS16">
        <v>84669</v>
      </c>
      <c r="MT16">
        <v>0.43243690000000001</v>
      </c>
      <c r="MU16">
        <v>84669</v>
      </c>
      <c r="MV16">
        <v>0.43243690000000001</v>
      </c>
      <c r="MW16">
        <v>84669</v>
      </c>
      <c r="MX16">
        <v>0.56756309999999999</v>
      </c>
      <c r="MY16">
        <v>100998</v>
      </c>
      <c r="MZ16">
        <v>0.1616765</v>
      </c>
      <c r="NA16">
        <v>16329</v>
      </c>
      <c r="NB16">
        <v>0.38220340000000003</v>
      </c>
      <c r="NC16">
        <v>6241</v>
      </c>
      <c r="ND16">
        <v>0.44399939999999999</v>
      </c>
      <c r="NE16">
        <v>2771</v>
      </c>
      <c r="NF16">
        <v>0.1930711</v>
      </c>
      <c r="NG16">
        <v>2771</v>
      </c>
      <c r="NH16">
        <v>0.1129556</v>
      </c>
      <c r="NI16">
        <v>2771</v>
      </c>
      <c r="NJ16">
        <v>0.69397330000000002</v>
      </c>
      <c r="NK16">
        <v>6241</v>
      </c>
      <c r="NL16">
        <v>0.55600059999999996</v>
      </c>
      <c r="NM16">
        <v>16329</v>
      </c>
      <c r="NN16">
        <v>0.61779649999999997</v>
      </c>
      <c r="NO16">
        <v>10088</v>
      </c>
      <c r="NP16">
        <v>0.52032120000000004</v>
      </c>
      <c r="NQ16">
        <v>5249</v>
      </c>
      <c r="NR16">
        <v>0.2011812</v>
      </c>
      <c r="NS16">
        <v>5249</v>
      </c>
      <c r="NT16">
        <v>5.9249400000000001E-2</v>
      </c>
      <c r="NU16">
        <v>5249</v>
      </c>
      <c r="NV16">
        <v>0.73956940000000004</v>
      </c>
      <c r="NW16">
        <v>10088</v>
      </c>
      <c r="NX16">
        <v>0.47967880000000002</v>
      </c>
    </row>
    <row r="17" spans="1:388" x14ac:dyDescent="0.25">
      <c r="A17" t="s">
        <v>133</v>
      </c>
      <c r="B17">
        <v>2010</v>
      </c>
      <c r="C17">
        <v>1</v>
      </c>
      <c r="D17" t="s">
        <v>550</v>
      </c>
      <c r="E17">
        <v>60440</v>
      </c>
      <c r="F17">
        <v>0.47392450000000003</v>
      </c>
      <c r="G17">
        <v>28644</v>
      </c>
      <c r="H17">
        <v>0.1236908</v>
      </c>
      <c r="I17">
        <v>28644</v>
      </c>
      <c r="J17">
        <v>3.6691799999999997E-2</v>
      </c>
      <c r="K17">
        <v>28644</v>
      </c>
      <c r="L17">
        <v>0.1466276</v>
      </c>
      <c r="M17">
        <v>28644</v>
      </c>
      <c r="N17">
        <v>6.5179399999999998E-2</v>
      </c>
      <c r="O17">
        <v>28644</v>
      </c>
      <c r="P17">
        <v>1.88521E-2</v>
      </c>
      <c r="Q17">
        <v>28644</v>
      </c>
      <c r="R17">
        <v>4.4058100000000003E-2</v>
      </c>
      <c r="S17">
        <v>28644</v>
      </c>
      <c r="T17">
        <v>9.93227E-2</v>
      </c>
      <c r="U17">
        <v>28644</v>
      </c>
      <c r="V17">
        <v>0.14268259999999999</v>
      </c>
      <c r="W17">
        <v>28644</v>
      </c>
      <c r="X17">
        <v>0.10826</v>
      </c>
      <c r="Y17">
        <v>28644</v>
      </c>
      <c r="Z17">
        <v>0.1080506</v>
      </c>
      <c r="AA17">
        <v>28644</v>
      </c>
      <c r="AB17">
        <v>6.3608399999999995E-2</v>
      </c>
      <c r="AC17">
        <v>28644</v>
      </c>
      <c r="AD17">
        <v>3.1140899999999999E-2</v>
      </c>
      <c r="AE17">
        <v>28644</v>
      </c>
      <c r="AF17">
        <v>1.1834900000000001E-2</v>
      </c>
      <c r="AG17">
        <v>60440</v>
      </c>
      <c r="AH17">
        <v>0.52607539999999997</v>
      </c>
      <c r="AI17">
        <v>31796</v>
      </c>
      <c r="AJ17">
        <v>0.11617810000000001</v>
      </c>
      <c r="AK17">
        <v>31796</v>
      </c>
      <c r="AL17">
        <v>3.56963E-2</v>
      </c>
      <c r="AM17">
        <v>31796</v>
      </c>
      <c r="AN17">
        <v>7.7242400000000003E-2</v>
      </c>
      <c r="AO17">
        <v>31796</v>
      </c>
      <c r="AP17">
        <v>3.1702099999999997E-2</v>
      </c>
      <c r="AQ17">
        <v>31796</v>
      </c>
      <c r="AR17">
        <v>1.6637300000000001E-2</v>
      </c>
      <c r="AS17">
        <v>31796</v>
      </c>
      <c r="AT17">
        <v>4.1388899999999999E-2</v>
      </c>
      <c r="AU17">
        <v>31796</v>
      </c>
      <c r="AV17">
        <v>0.1421877</v>
      </c>
      <c r="AW17">
        <v>31796</v>
      </c>
      <c r="AX17">
        <v>0.1526922</v>
      </c>
      <c r="AY17">
        <v>31796</v>
      </c>
      <c r="AZ17">
        <v>0.1119952</v>
      </c>
      <c r="BA17">
        <v>31796</v>
      </c>
      <c r="BB17">
        <v>0.1066486</v>
      </c>
      <c r="BC17">
        <v>31796</v>
      </c>
      <c r="BD17">
        <v>6.4064700000000002E-2</v>
      </c>
      <c r="BE17">
        <v>31796</v>
      </c>
      <c r="BF17">
        <v>4.6609600000000001E-2</v>
      </c>
      <c r="BG17">
        <v>31796</v>
      </c>
      <c r="BH17">
        <v>5.6956800000000002E-2</v>
      </c>
      <c r="BI17">
        <v>633345</v>
      </c>
      <c r="BJ17">
        <v>0.49936449999999999</v>
      </c>
      <c r="BK17">
        <v>316270</v>
      </c>
      <c r="BL17">
        <v>6.4786399999999994E-2</v>
      </c>
      <c r="BM17">
        <v>316270</v>
      </c>
      <c r="BN17">
        <v>1.4481300000000001E-2</v>
      </c>
      <c r="BO17">
        <v>316270</v>
      </c>
      <c r="BP17">
        <v>9.2557E-2</v>
      </c>
      <c r="BQ17">
        <v>316270</v>
      </c>
      <c r="BR17">
        <v>4.6469799999999999E-2</v>
      </c>
      <c r="BS17">
        <v>316270</v>
      </c>
      <c r="BT17">
        <v>1.3652900000000001E-2</v>
      </c>
      <c r="BU17">
        <v>316270</v>
      </c>
      <c r="BV17">
        <v>3.6133699999999998E-2</v>
      </c>
      <c r="BW17">
        <v>316270</v>
      </c>
      <c r="BX17">
        <v>9.0776899999999994E-2</v>
      </c>
      <c r="BY17">
        <v>316270</v>
      </c>
      <c r="BZ17">
        <v>0.1139153</v>
      </c>
      <c r="CA17">
        <v>316270</v>
      </c>
      <c r="CB17">
        <v>0.14421539999999999</v>
      </c>
      <c r="CC17">
        <v>316270</v>
      </c>
      <c r="CD17">
        <v>0.1671926</v>
      </c>
      <c r="CE17">
        <v>316270</v>
      </c>
      <c r="CF17">
        <v>0.1196541</v>
      </c>
      <c r="CG17">
        <v>316270</v>
      </c>
      <c r="CH17">
        <v>5.6486500000000002E-2</v>
      </c>
      <c r="CI17">
        <v>316270</v>
      </c>
      <c r="CJ17">
        <v>3.9678100000000001E-2</v>
      </c>
      <c r="CK17">
        <v>633345</v>
      </c>
      <c r="CL17">
        <v>0.50063550000000001</v>
      </c>
      <c r="CM17">
        <v>317075</v>
      </c>
      <c r="CN17">
        <v>6.1004500000000003E-2</v>
      </c>
      <c r="CO17">
        <v>317075</v>
      </c>
      <c r="CP17">
        <v>1.6112899999999999E-2</v>
      </c>
      <c r="CQ17">
        <v>317075</v>
      </c>
      <c r="CR17">
        <v>8.9779999999999999E-2</v>
      </c>
      <c r="CS17">
        <v>317075</v>
      </c>
      <c r="CT17">
        <v>4.8556299999999997E-2</v>
      </c>
      <c r="CU17">
        <v>317075</v>
      </c>
      <c r="CV17">
        <v>1.6415699999999998E-2</v>
      </c>
      <c r="CW17">
        <v>317075</v>
      </c>
      <c r="CX17">
        <v>3.1172399999999999E-2</v>
      </c>
      <c r="CY17">
        <v>317075</v>
      </c>
      <c r="CZ17">
        <v>6.8409700000000004E-2</v>
      </c>
      <c r="DA17">
        <v>317075</v>
      </c>
      <c r="DB17">
        <v>0.1116171</v>
      </c>
      <c r="DC17">
        <v>317075</v>
      </c>
      <c r="DD17">
        <v>0.14919499999999999</v>
      </c>
      <c r="DE17">
        <v>317075</v>
      </c>
      <c r="DF17">
        <v>0.1717417</v>
      </c>
      <c r="DG17">
        <v>317075</v>
      </c>
      <c r="DH17">
        <v>0.1214224</v>
      </c>
      <c r="DI17">
        <v>317075</v>
      </c>
      <c r="DJ17">
        <v>6.3186900000000004E-2</v>
      </c>
      <c r="DK17">
        <v>317075</v>
      </c>
      <c r="DL17">
        <v>5.1385300000000002E-2</v>
      </c>
      <c r="DM17">
        <v>445227</v>
      </c>
      <c r="DN17">
        <v>6.8443699999999996E-2</v>
      </c>
      <c r="DO17">
        <v>30473</v>
      </c>
      <c r="DP17">
        <v>0.4376333</v>
      </c>
      <c r="DQ17">
        <v>13336</v>
      </c>
      <c r="DR17">
        <v>0.32161070000000003</v>
      </c>
      <c r="DS17">
        <v>13336</v>
      </c>
      <c r="DT17">
        <v>0.30878820000000001</v>
      </c>
      <c r="DU17">
        <v>13336</v>
      </c>
      <c r="DV17">
        <v>0.2219556</v>
      </c>
      <c r="DW17">
        <v>13336</v>
      </c>
      <c r="DX17">
        <v>0.14764550000000001</v>
      </c>
      <c r="DY17">
        <v>30473</v>
      </c>
      <c r="DZ17">
        <v>0.5623667</v>
      </c>
      <c r="EA17">
        <v>17137</v>
      </c>
      <c r="EB17">
        <v>0.26889190000000002</v>
      </c>
      <c r="EC17">
        <v>17137</v>
      </c>
      <c r="ED17">
        <v>0.29865209999999998</v>
      </c>
      <c r="EE17">
        <v>17137</v>
      </c>
      <c r="EF17">
        <v>0.29258329999999999</v>
      </c>
      <c r="EG17">
        <v>17137</v>
      </c>
      <c r="EH17">
        <v>0.13987279999999999</v>
      </c>
      <c r="EI17">
        <v>445227</v>
      </c>
      <c r="EJ17">
        <v>0.9315563</v>
      </c>
      <c r="EK17">
        <v>414754</v>
      </c>
      <c r="EL17">
        <v>0.4889019</v>
      </c>
      <c r="EM17">
        <v>202774</v>
      </c>
      <c r="EN17">
        <v>0.1000178</v>
      </c>
      <c r="EO17">
        <v>202774</v>
      </c>
      <c r="EP17">
        <v>0.2123398</v>
      </c>
      <c r="EQ17">
        <v>202774</v>
      </c>
      <c r="ER17">
        <v>0.24214640000000001</v>
      </c>
      <c r="ES17">
        <v>202774</v>
      </c>
      <c r="ET17">
        <v>0.445496</v>
      </c>
      <c r="EU17">
        <v>414754</v>
      </c>
      <c r="EV17">
        <v>0.5110981</v>
      </c>
      <c r="EW17">
        <v>211980</v>
      </c>
      <c r="EX17">
        <v>8.80885E-2</v>
      </c>
      <c r="EY17">
        <v>211980</v>
      </c>
      <c r="EZ17">
        <v>0.21152940000000001</v>
      </c>
      <c r="FA17">
        <v>211980</v>
      </c>
      <c r="FB17">
        <v>0.26783190000000001</v>
      </c>
      <c r="FC17">
        <v>211980</v>
      </c>
      <c r="FD17">
        <v>0.4325503</v>
      </c>
      <c r="FE17">
        <v>526884</v>
      </c>
      <c r="FF17">
        <v>7.67095E-2</v>
      </c>
      <c r="FG17">
        <v>40417</v>
      </c>
      <c r="FH17">
        <v>0.43157580000000001</v>
      </c>
      <c r="FI17">
        <v>17443</v>
      </c>
      <c r="FJ17">
        <v>0.12165339999999999</v>
      </c>
      <c r="FK17">
        <v>17443</v>
      </c>
      <c r="FL17">
        <v>0.3712664</v>
      </c>
      <c r="FM17">
        <v>17443</v>
      </c>
      <c r="FN17">
        <v>0.50708019999999998</v>
      </c>
      <c r="FO17">
        <v>17443</v>
      </c>
      <c r="FP17">
        <v>0.61881549999999996</v>
      </c>
      <c r="FQ17">
        <v>17443</v>
      </c>
      <c r="FR17">
        <v>0.38118439999999998</v>
      </c>
      <c r="FS17">
        <v>10794</v>
      </c>
      <c r="FT17">
        <v>0.60691119999999998</v>
      </c>
      <c r="FU17">
        <v>10794</v>
      </c>
      <c r="FV17">
        <v>0.39308880000000002</v>
      </c>
      <c r="FW17">
        <v>40417</v>
      </c>
      <c r="FX17">
        <v>0.56842420000000005</v>
      </c>
      <c r="FY17">
        <v>22974</v>
      </c>
      <c r="FZ17">
        <v>5.9240899999999999E-2</v>
      </c>
      <c r="GA17">
        <v>22974</v>
      </c>
      <c r="GB17">
        <v>0.28379910000000003</v>
      </c>
      <c r="GC17">
        <v>22974</v>
      </c>
      <c r="GD17">
        <v>0.65696010000000005</v>
      </c>
      <c r="GE17">
        <v>22974</v>
      </c>
      <c r="GF17">
        <v>0.40928880000000001</v>
      </c>
      <c r="GG17">
        <v>22974</v>
      </c>
      <c r="GH17">
        <v>0.59071119999999999</v>
      </c>
      <c r="GI17">
        <v>9403</v>
      </c>
      <c r="GJ17">
        <v>0.5945975</v>
      </c>
      <c r="GK17">
        <v>9403</v>
      </c>
      <c r="GL17">
        <v>0.4054025</v>
      </c>
      <c r="GM17">
        <v>526884</v>
      </c>
      <c r="GN17">
        <v>0.92329050000000001</v>
      </c>
      <c r="GO17">
        <v>486467</v>
      </c>
      <c r="GP17">
        <v>0.49933909999999998</v>
      </c>
      <c r="GQ17">
        <v>242912</v>
      </c>
      <c r="GR17">
        <v>0.54434939999999998</v>
      </c>
      <c r="GS17">
        <v>242912</v>
      </c>
      <c r="GT17">
        <v>0.24541399999999999</v>
      </c>
      <c r="GU17">
        <v>242912</v>
      </c>
      <c r="GV17">
        <v>0.2102366</v>
      </c>
      <c r="GW17">
        <v>242162</v>
      </c>
      <c r="GX17">
        <v>0.79445580000000005</v>
      </c>
      <c r="GY17">
        <v>242162</v>
      </c>
      <c r="GZ17">
        <v>0.20554420000000001</v>
      </c>
      <c r="HA17">
        <v>192387</v>
      </c>
      <c r="HB17">
        <v>0.89738910000000005</v>
      </c>
      <c r="HC17">
        <v>192387</v>
      </c>
      <c r="HD17">
        <v>0.1026109</v>
      </c>
      <c r="HE17">
        <v>486467</v>
      </c>
      <c r="HF17">
        <v>0.50066089999999996</v>
      </c>
      <c r="HG17">
        <v>243555</v>
      </c>
      <c r="HH17">
        <v>0.38018930000000001</v>
      </c>
      <c r="HI17">
        <v>243555</v>
      </c>
      <c r="HJ17">
        <v>0.29799019999999998</v>
      </c>
      <c r="HK17">
        <v>243555</v>
      </c>
      <c r="HL17">
        <v>0.32182050000000001</v>
      </c>
      <c r="HM17">
        <v>243319</v>
      </c>
      <c r="HN17">
        <v>0.66367609999999999</v>
      </c>
      <c r="HO17">
        <v>243319</v>
      </c>
      <c r="HP17">
        <v>0.33632390000000001</v>
      </c>
      <c r="HQ17">
        <v>161485</v>
      </c>
      <c r="HR17">
        <v>0.90436879999999997</v>
      </c>
      <c r="HS17">
        <v>161485</v>
      </c>
      <c r="HT17">
        <v>9.56312E-2</v>
      </c>
      <c r="HU17">
        <v>179308</v>
      </c>
      <c r="HV17">
        <v>9.5678899999999997E-2</v>
      </c>
      <c r="HW17">
        <v>17156</v>
      </c>
      <c r="HX17">
        <v>0.44841449999999999</v>
      </c>
      <c r="HY17">
        <v>7693</v>
      </c>
      <c r="HZ17">
        <v>0.74743269999999995</v>
      </c>
      <c r="IA17">
        <v>7693</v>
      </c>
      <c r="IB17">
        <v>0.74743269999999995</v>
      </c>
      <c r="IC17">
        <v>7693</v>
      </c>
      <c r="ID17">
        <v>0.74743269999999995</v>
      </c>
      <c r="IE17">
        <v>7693</v>
      </c>
      <c r="IF17">
        <v>0.74743269999999995</v>
      </c>
      <c r="IG17">
        <v>7693</v>
      </c>
      <c r="IH17">
        <v>0.25256729999999999</v>
      </c>
      <c r="II17">
        <v>17156</v>
      </c>
      <c r="IJ17">
        <v>0.5515854</v>
      </c>
      <c r="IK17">
        <v>9463</v>
      </c>
      <c r="IL17">
        <v>0.19919690000000001</v>
      </c>
      <c r="IM17">
        <v>1885</v>
      </c>
      <c r="IN17">
        <v>0.77612729999999996</v>
      </c>
      <c r="IO17">
        <v>1463</v>
      </c>
      <c r="IP17">
        <v>0.20300750000000001</v>
      </c>
      <c r="IQ17">
        <v>1463</v>
      </c>
      <c r="IR17">
        <v>0.2146275</v>
      </c>
      <c r="IS17">
        <v>1463</v>
      </c>
      <c r="IT17">
        <v>0.58236500000000002</v>
      </c>
      <c r="IU17">
        <v>1885</v>
      </c>
      <c r="IV17">
        <v>0.22387270000000001</v>
      </c>
      <c r="IW17">
        <v>9463</v>
      </c>
      <c r="IX17">
        <v>0.80080309999999999</v>
      </c>
      <c r="IY17">
        <v>7578</v>
      </c>
      <c r="IZ17">
        <v>0.87344940000000004</v>
      </c>
      <c r="JA17">
        <v>6619</v>
      </c>
      <c r="JB17">
        <v>0.145037</v>
      </c>
      <c r="JC17">
        <v>6619</v>
      </c>
      <c r="JD17">
        <v>0.38903159999999998</v>
      </c>
      <c r="JE17">
        <v>6619</v>
      </c>
      <c r="JF17">
        <v>0.4659314</v>
      </c>
      <c r="JG17">
        <v>7578</v>
      </c>
      <c r="JH17">
        <v>0.12655050000000001</v>
      </c>
      <c r="JI17">
        <v>179308</v>
      </c>
      <c r="JJ17">
        <v>2.6819800000000001E-2</v>
      </c>
      <c r="JK17">
        <v>4809</v>
      </c>
      <c r="JL17">
        <v>0.69058019999999998</v>
      </c>
      <c r="JM17">
        <v>3321</v>
      </c>
      <c r="JN17">
        <v>0.75940980000000002</v>
      </c>
      <c r="JO17">
        <v>3321</v>
      </c>
      <c r="JP17">
        <v>0.75940980000000002</v>
      </c>
      <c r="JQ17">
        <v>3321</v>
      </c>
      <c r="JR17">
        <v>0.75940980000000002</v>
      </c>
      <c r="JS17">
        <v>3321</v>
      </c>
      <c r="JT17">
        <v>0.75940980000000002</v>
      </c>
      <c r="JU17">
        <v>3321</v>
      </c>
      <c r="JV17">
        <v>0.2405902</v>
      </c>
      <c r="JW17">
        <v>4809</v>
      </c>
      <c r="JX17">
        <v>0.30941980000000002</v>
      </c>
      <c r="JY17">
        <v>1488</v>
      </c>
      <c r="JZ17">
        <v>0.3649194</v>
      </c>
      <c r="KA17">
        <v>543</v>
      </c>
      <c r="KB17">
        <v>1</v>
      </c>
      <c r="KC17">
        <v>543</v>
      </c>
      <c r="KD17">
        <v>0</v>
      </c>
      <c r="KE17">
        <v>543</v>
      </c>
      <c r="KF17">
        <v>0.77532230000000002</v>
      </c>
      <c r="KG17">
        <v>543</v>
      </c>
      <c r="KH17">
        <v>0.22467770000000001</v>
      </c>
      <c r="KI17">
        <v>543</v>
      </c>
      <c r="KJ17">
        <v>0</v>
      </c>
      <c r="KK17">
        <v>1488</v>
      </c>
      <c r="KL17">
        <v>0.6350806</v>
      </c>
      <c r="KM17">
        <v>945</v>
      </c>
      <c r="KN17">
        <v>0.61904760000000003</v>
      </c>
      <c r="KO17">
        <v>585</v>
      </c>
      <c r="KP17">
        <v>0.22393160000000001</v>
      </c>
      <c r="KQ17">
        <v>585</v>
      </c>
      <c r="KR17">
        <v>5.2991499999999997E-2</v>
      </c>
      <c r="KS17">
        <v>585</v>
      </c>
      <c r="KT17">
        <v>0.72307690000000002</v>
      </c>
      <c r="KU17">
        <v>945</v>
      </c>
      <c r="KV17">
        <v>0.38095240000000002</v>
      </c>
      <c r="KW17">
        <v>179308</v>
      </c>
      <c r="KX17">
        <v>4.7175799999999997E-2</v>
      </c>
      <c r="KY17">
        <v>8459</v>
      </c>
      <c r="KZ17">
        <v>0.6321078</v>
      </c>
      <c r="LA17">
        <v>5347</v>
      </c>
      <c r="LB17">
        <v>0.68299980000000005</v>
      </c>
      <c r="LC17">
        <v>5347</v>
      </c>
      <c r="LD17">
        <v>0.68299980000000005</v>
      </c>
      <c r="LE17">
        <v>5347</v>
      </c>
      <c r="LF17">
        <v>0.68299980000000005</v>
      </c>
      <c r="LG17">
        <v>5347</v>
      </c>
      <c r="LH17">
        <v>0.68299980000000005</v>
      </c>
      <c r="LI17">
        <v>5347</v>
      </c>
      <c r="LJ17">
        <v>0.31700020000000001</v>
      </c>
      <c r="LK17">
        <v>8459</v>
      </c>
      <c r="LL17">
        <v>0.3678922</v>
      </c>
      <c r="LM17">
        <v>3112</v>
      </c>
      <c r="LN17">
        <v>0.2426092</v>
      </c>
      <c r="LO17">
        <v>755</v>
      </c>
      <c r="LP17">
        <v>0.9192053</v>
      </c>
      <c r="LQ17">
        <v>694</v>
      </c>
      <c r="LR17">
        <v>0.55763689999999999</v>
      </c>
      <c r="LS17">
        <v>694</v>
      </c>
      <c r="LT17">
        <v>5.7636899999999998E-2</v>
      </c>
      <c r="LU17">
        <v>694</v>
      </c>
      <c r="LV17">
        <v>0.38472620000000002</v>
      </c>
      <c r="LW17">
        <v>755</v>
      </c>
      <c r="LX17">
        <v>8.0794699999999997E-2</v>
      </c>
      <c r="LY17">
        <v>3112</v>
      </c>
      <c r="LZ17">
        <v>0.75739069999999997</v>
      </c>
      <c r="MA17">
        <v>2357</v>
      </c>
      <c r="MB17">
        <v>0.93338989999999999</v>
      </c>
      <c r="MC17">
        <v>2200</v>
      </c>
      <c r="MD17">
        <v>0.13272729999999999</v>
      </c>
      <c r="ME17">
        <v>2200</v>
      </c>
      <c r="MF17">
        <v>0.31227270000000001</v>
      </c>
      <c r="MG17">
        <v>2200</v>
      </c>
      <c r="MH17">
        <v>0.55500000000000005</v>
      </c>
      <c r="MI17">
        <v>2357</v>
      </c>
      <c r="MJ17">
        <v>6.6610100000000005E-2</v>
      </c>
      <c r="MK17">
        <v>179308</v>
      </c>
      <c r="ML17">
        <v>0.83032550000000005</v>
      </c>
      <c r="MM17">
        <v>148884</v>
      </c>
      <c r="MN17">
        <v>0.85547139999999999</v>
      </c>
      <c r="MO17">
        <v>127366</v>
      </c>
      <c r="MP17">
        <v>0.49761319999999998</v>
      </c>
      <c r="MQ17">
        <v>127366</v>
      </c>
      <c r="MR17">
        <v>0.49761319999999998</v>
      </c>
      <c r="MS17">
        <v>127366</v>
      </c>
      <c r="MT17">
        <v>0.49761319999999998</v>
      </c>
      <c r="MU17">
        <v>127366</v>
      </c>
      <c r="MV17">
        <v>0.49761319999999998</v>
      </c>
      <c r="MW17">
        <v>127366</v>
      </c>
      <c r="MX17">
        <v>0.50238680000000002</v>
      </c>
      <c r="MY17">
        <v>148884</v>
      </c>
      <c r="MZ17">
        <v>0.14452860000000001</v>
      </c>
      <c r="NA17">
        <v>21518</v>
      </c>
      <c r="NB17">
        <v>0.29333579999999998</v>
      </c>
      <c r="NC17">
        <v>6312</v>
      </c>
      <c r="ND17">
        <v>0.46150190000000002</v>
      </c>
      <c r="NE17">
        <v>2913</v>
      </c>
      <c r="NF17">
        <v>0.1191212</v>
      </c>
      <c r="NG17">
        <v>2913</v>
      </c>
      <c r="NH17">
        <v>0.1846893</v>
      </c>
      <c r="NI17">
        <v>2913</v>
      </c>
      <c r="NJ17">
        <v>0.69618950000000002</v>
      </c>
      <c r="NK17">
        <v>6312</v>
      </c>
      <c r="NL17">
        <v>0.53849809999999998</v>
      </c>
      <c r="NM17">
        <v>21518</v>
      </c>
      <c r="NN17">
        <v>0.70666419999999996</v>
      </c>
      <c r="NO17">
        <v>15206</v>
      </c>
      <c r="NP17">
        <v>0.50993029999999995</v>
      </c>
      <c r="NQ17">
        <v>7754</v>
      </c>
      <c r="NR17">
        <v>0.16468920000000001</v>
      </c>
      <c r="NS17">
        <v>7754</v>
      </c>
      <c r="NT17">
        <v>7.5187000000000004E-2</v>
      </c>
      <c r="NU17">
        <v>7754</v>
      </c>
      <c r="NV17">
        <v>0.76012380000000002</v>
      </c>
      <c r="NW17">
        <v>15206</v>
      </c>
      <c r="NX17">
        <v>0.4900697</v>
      </c>
    </row>
    <row r="18" spans="1:388" x14ac:dyDescent="0.25">
      <c r="A18" t="s">
        <v>132</v>
      </c>
      <c r="B18">
        <v>2010</v>
      </c>
      <c r="C18">
        <v>1</v>
      </c>
      <c r="D18" t="s">
        <v>551</v>
      </c>
      <c r="E18">
        <v>23649</v>
      </c>
      <c r="F18">
        <v>0.404922</v>
      </c>
      <c r="G18">
        <v>9576</v>
      </c>
      <c r="H18">
        <v>8.8345900000000005E-2</v>
      </c>
      <c r="I18">
        <v>9576</v>
      </c>
      <c r="J18">
        <v>1.0756099999999999E-2</v>
      </c>
      <c r="K18">
        <v>9576</v>
      </c>
      <c r="L18">
        <v>0.18609020000000001</v>
      </c>
      <c r="M18">
        <v>9576</v>
      </c>
      <c r="N18">
        <v>6.5580600000000003E-2</v>
      </c>
      <c r="O18">
        <v>9576</v>
      </c>
      <c r="P18">
        <v>1.8797000000000001E-2</v>
      </c>
      <c r="Q18">
        <v>9576</v>
      </c>
      <c r="R18">
        <v>4.7619000000000002E-2</v>
      </c>
      <c r="S18">
        <v>9576</v>
      </c>
      <c r="T18">
        <v>9.9101900000000007E-2</v>
      </c>
      <c r="U18">
        <v>9576</v>
      </c>
      <c r="V18">
        <v>0.11038009999999999</v>
      </c>
      <c r="W18">
        <v>9576</v>
      </c>
      <c r="X18">
        <v>0.1677109</v>
      </c>
      <c r="Y18">
        <v>9576</v>
      </c>
      <c r="Z18">
        <v>0.1089181</v>
      </c>
      <c r="AA18">
        <v>9576</v>
      </c>
      <c r="AB18">
        <v>7.2159600000000004E-2</v>
      </c>
      <c r="AC18">
        <v>9576</v>
      </c>
      <c r="AD18">
        <v>8.9808000000000006E-3</v>
      </c>
      <c r="AE18">
        <v>9576</v>
      </c>
      <c r="AF18">
        <v>1.5559699999999999E-2</v>
      </c>
      <c r="AG18">
        <v>23649</v>
      </c>
      <c r="AH18">
        <v>0.595078</v>
      </c>
      <c r="AI18">
        <v>14073</v>
      </c>
      <c r="AJ18">
        <v>0.1013288</v>
      </c>
      <c r="AK18">
        <v>14073</v>
      </c>
      <c r="AL18">
        <v>3.09813E-2</v>
      </c>
      <c r="AM18">
        <v>14073</v>
      </c>
      <c r="AN18">
        <v>0.1160378</v>
      </c>
      <c r="AO18">
        <v>14073</v>
      </c>
      <c r="AP18">
        <v>4.4411300000000001E-2</v>
      </c>
      <c r="AQ18">
        <v>14073</v>
      </c>
      <c r="AR18">
        <v>1.7338200000000002E-2</v>
      </c>
      <c r="AS18">
        <v>14073</v>
      </c>
      <c r="AT18">
        <v>6.9068400000000002E-2</v>
      </c>
      <c r="AU18">
        <v>14073</v>
      </c>
      <c r="AV18">
        <v>8.1077200000000002E-2</v>
      </c>
      <c r="AW18">
        <v>14073</v>
      </c>
      <c r="AX18">
        <v>0.18077170000000001</v>
      </c>
      <c r="AY18">
        <v>14073</v>
      </c>
      <c r="AZ18">
        <v>0.13970009999999999</v>
      </c>
      <c r="BA18">
        <v>14073</v>
      </c>
      <c r="BB18">
        <v>7.0560600000000001E-2</v>
      </c>
      <c r="BC18">
        <v>14073</v>
      </c>
      <c r="BD18">
        <v>8.9248900000000006E-2</v>
      </c>
      <c r="BE18">
        <v>14073</v>
      </c>
      <c r="BF18">
        <v>3.2899900000000003E-2</v>
      </c>
      <c r="BG18">
        <v>14073</v>
      </c>
      <c r="BH18">
        <v>2.6575700000000001E-2</v>
      </c>
      <c r="BI18">
        <v>284164</v>
      </c>
      <c r="BJ18">
        <v>0.50807279999999999</v>
      </c>
      <c r="BK18">
        <v>144376</v>
      </c>
      <c r="BL18">
        <v>6.3777899999999998E-2</v>
      </c>
      <c r="BM18">
        <v>144376</v>
      </c>
      <c r="BN18">
        <v>1.1878700000000001E-2</v>
      </c>
      <c r="BO18">
        <v>144376</v>
      </c>
      <c r="BP18">
        <v>9.0721499999999997E-2</v>
      </c>
      <c r="BQ18">
        <v>144376</v>
      </c>
      <c r="BR18">
        <v>5.1836899999999998E-2</v>
      </c>
      <c r="BS18">
        <v>144376</v>
      </c>
      <c r="BT18">
        <v>1.5335E-2</v>
      </c>
      <c r="BU18">
        <v>144376</v>
      </c>
      <c r="BV18">
        <v>3.71668E-2</v>
      </c>
      <c r="BW18">
        <v>144376</v>
      </c>
      <c r="BX18">
        <v>7.8351000000000004E-2</v>
      </c>
      <c r="BY18">
        <v>144376</v>
      </c>
      <c r="BZ18">
        <v>0.1125187</v>
      </c>
      <c r="CA18">
        <v>144376</v>
      </c>
      <c r="CB18">
        <v>0.15332190000000001</v>
      </c>
      <c r="CC18">
        <v>144376</v>
      </c>
      <c r="CD18">
        <v>0.17465510000000001</v>
      </c>
      <c r="CE18">
        <v>144376</v>
      </c>
      <c r="CF18">
        <v>0.1168685</v>
      </c>
      <c r="CG18">
        <v>144376</v>
      </c>
      <c r="CH18">
        <v>6.1547600000000001E-2</v>
      </c>
      <c r="CI18">
        <v>144376</v>
      </c>
      <c r="CJ18">
        <v>3.2020600000000003E-2</v>
      </c>
      <c r="CK18">
        <v>284164</v>
      </c>
      <c r="CL18">
        <v>0.49192720000000001</v>
      </c>
      <c r="CM18">
        <v>139788</v>
      </c>
      <c r="CN18">
        <v>5.8839099999999998E-2</v>
      </c>
      <c r="CO18">
        <v>139788</v>
      </c>
      <c r="CP18">
        <v>1.7970099999999999E-2</v>
      </c>
      <c r="CQ18">
        <v>139788</v>
      </c>
      <c r="CR18">
        <v>7.61439E-2</v>
      </c>
      <c r="CS18">
        <v>139788</v>
      </c>
      <c r="CT18">
        <v>5.6092099999999999E-2</v>
      </c>
      <c r="CU18">
        <v>139788</v>
      </c>
      <c r="CV18">
        <v>1.3978300000000001E-2</v>
      </c>
      <c r="CW18">
        <v>139788</v>
      </c>
      <c r="CX18">
        <v>2.95447E-2</v>
      </c>
      <c r="CY18">
        <v>139788</v>
      </c>
      <c r="CZ18">
        <v>7.0914500000000005E-2</v>
      </c>
      <c r="DA18">
        <v>139788</v>
      </c>
      <c r="DB18">
        <v>0.1055241</v>
      </c>
      <c r="DC18">
        <v>139788</v>
      </c>
      <c r="DD18">
        <v>0.16236729999999999</v>
      </c>
      <c r="DE18">
        <v>139788</v>
      </c>
      <c r="DF18">
        <v>0.17605229999999999</v>
      </c>
      <c r="DG18">
        <v>139788</v>
      </c>
      <c r="DH18">
        <v>0.1176281</v>
      </c>
      <c r="DI18">
        <v>139788</v>
      </c>
      <c r="DJ18">
        <v>6.83034E-2</v>
      </c>
      <c r="DK18">
        <v>139788</v>
      </c>
      <c r="DL18">
        <v>4.6642099999999999E-2</v>
      </c>
      <c r="DM18">
        <v>200776</v>
      </c>
      <c r="DN18">
        <v>6.0903699999999998E-2</v>
      </c>
      <c r="DO18">
        <v>12228</v>
      </c>
      <c r="DP18">
        <v>0.37880269999999999</v>
      </c>
      <c r="DQ18">
        <v>4632</v>
      </c>
      <c r="DR18">
        <v>0.15004319999999999</v>
      </c>
      <c r="DS18">
        <v>4632</v>
      </c>
      <c r="DT18">
        <v>0.4011226</v>
      </c>
      <c r="DU18">
        <v>4632</v>
      </c>
      <c r="DV18">
        <v>0.38363560000000002</v>
      </c>
      <c r="DW18">
        <v>4632</v>
      </c>
      <c r="DX18">
        <v>6.5198599999999995E-2</v>
      </c>
      <c r="DY18">
        <v>12228</v>
      </c>
      <c r="DZ18">
        <v>0.6211972</v>
      </c>
      <c r="EA18">
        <v>7596</v>
      </c>
      <c r="EB18">
        <v>0.14454980000000001</v>
      </c>
      <c r="EC18">
        <v>7596</v>
      </c>
      <c r="ED18">
        <v>0.3426804</v>
      </c>
      <c r="EE18">
        <v>7596</v>
      </c>
      <c r="EF18">
        <v>0.36861509999999997</v>
      </c>
      <c r="EG18">
        <v>7596</v>
      </c>
      <c r="EH18">
        <v>0.1441548</v>
      </c>
      <c r="EI18">
        <v>200776</v>
      </c>
      <c r="EJ18">
        <v>0.93909629999999999</v>
      </c>
      <c r="EK18">
        <v>188548</v>
      </c>
      <c r="EL18">
        <v>0.49843539999999997</v>
      </c>
      <c r="EM18">
        <v>93979</v>
      </c>
      <c r="EN18">
        <v>8.2241800000000004E-2</v>
      </c>
      <c r="EO18">
        <v>93979</v>
      </c>
      <c r="EP18">
        <v>0.25798320000000002</v>
      </c>
      <c r="EQ18">
        <v>93979</v>
      </c>
      <c r="ER18">
        <v>0.3248704</v>
      </c>
      <c r="ES18">
        <v>93979</v>
      </c>
      <c r="ET18">
        <v>0.3349046</v>
      </c>
      <c r="EU18">
        <v>188548</v>
      </c>
      <c r="EV18">
        <v>0.50156460000000003</v>
      </c>
      <c r="EW18">
        <v>94569</v>
      </c>
      <c r="EX18">
        <v>7.0900599999999994E-2</v>
      </c>
      <c r="EY18">
        <v>94569</v>
      </c>
      <c r="EZ18">
        <v>0.27808270000000002</v>
      </c>
      <c r="FA18">
        <v>94569</v>
      </c>
      <c r="FB18">
        <v>0.33380919999999997</v>
      </c>
      <c r="FC18">
        <v>94569</v>
      </c>
      <c r="FD18">
        <v>0.31720749999999998</v>
      </c>
      <c r="FE18">
        <v>235015</v>
      </c>
      <c r="FF18">
        <v>6.7000000000000004E-2</v>
      </c>
      <c r="FG18">
        <v>15746</v>
      </c>
      <c r="FH18">
        <v>0.38339899999999999</v>
      </c>
      <c r="FI18">
        <v>6037</v>
      </c>
      <c r="FJ18">
        <v>0.17608080000000001</v>
      </c>
      <c r="FK18">
        <v>6037</v>
      </c>
      <c r="FL18">
        <v>0.30776880000000001</v>
      </c>
      <c r="FM18">
        <v>6037</v>
      </c>
      <c r="FN18">
        <v>0.51615040000000001</v>
      </c>
      <c r="FO18">
        <v>6037</v>
      </c>
      <c r="FP18">
        <v>0.68510850000000001</v>
      </c>
      <c r="FQ18">
        <v>6037</v>
      </c>
      <c r="FR18">
        <v>0.31489149999999999</v>
      </c>
      <c r="FS18">
        <v>4136</v>
      </c>
      <c r="FT18">
        <v>0.48114119999999999</v>
      </c>
      <c r="FU18">
        <v>4136</v>
      </c>
      <c r="FV18">
        <v>0.51885879999999995</v>
      </c>
      <c r="FW18">
        <v>15746</v>
      </c>
      <c r="FX18">
        <v>0.61660099999999995</v>
      </c>
      <c r="FY18">
        <v>9709</v>
      </c>
      <c r="FZ18">
        <v>8.6517700000000003E-2</v>
      </c>
      <c r="GA18">
        <v>9709</v>
      </c>
      <c r="GB18">
        <v>0.3818107</v>
      </c>
      <c r="GC18">
        <v>9709</v>
      </c>
      <c r="GD18">
        <v>0.53167160000000002</v>
      </c>
      <c r="GE18">
        <v>9709</v>
      </c>
      <c r="GF18">
        <v>0.51694300000000004</v>
      </c>
      <c r="GG18">
        <v>9709</v>
      </c>
      <c r="GH18">
        <v>0.48305700000000001</v>
      </c>
      <c r="GI18">
        <v>5019</v>
      </c>
      <c r="GJ18">
        <v>0.70731219999999995</v>
      </c>
      <c r="GK18">
        <v>5019</v>
      </c>
      <c r="GL18">
        <v>0.2926878</v>
      </c>
      <c r="GM18">
        <v>235015</v>
      </c>
      <c r="GN18">
        <v>0.93300000000000005</v>
      </c>
      <c r="GO18">
        <v>219269</v>
      </c>
      <c r="GP18">
        <v>0.50466319999999998</v>
      </c>
      <c r="GQ18">
        <v>110657</v>
      </c>
      <c r="GR18">
        <v>0.50756840000000003</v>
      </c>
      <c r="GS18">
        <v>110657</v>
      </c>
      <c r="GT18">
        <v>0.29416120000000001</v>
      </c>
      <c r="GU18">
        <v>110657</v>
      </c>
      <c r="GV18">
        <v>0.19827030000000001</v>
      </c>
      <c r="GW18">
        <v>110583</v>
      </c>
      <c r="GX18">
        <v>0.81269270000000005</v>
      </c>
      <c r="GY18">
        <v>110583</v>
      </c>
      <c r="GZ18">
        <v>0.18730730000000001</v>
      </c>
      <c r="HA18">
        <v>89870</v>
      </c>
      <c r="HB18">
        <v>0.89018580000000003</v>
      </c>
      <c r="HC18">
        <v>89870</v>
      </c>
      <c r="HD18">
        <v>0.1098142</v>
      </c>
      <c r="HE18">
        <v>219269</v>
      </c>
      <c r="HF18">
        <v>0.49533680000000002</v>
      </c>
      <c r="HG18">
        <v>108612</v>
      </c>
      <c r="HH18">
        <v>0.37799690000000002</v>
      </c>
      <c r="HI18">
        <v>108612</v>
      </c>
      <c r="HJ18">
        <v>0.30873200000000001</v>
      </c>
      <c r="HK18">
        <v>108612</v>
      </c>
      <c r="HL18">
        <v>0.31327110000000002</v>
      </c>
      <c r="HM18">
        <v>108612</v>
      </c>
      <c r="HN18">
        <v>0.68019189999999996</v>
      </c>
      <c r="HO18">
        <v>108612</v>
      </c>
      <c r="HP18">
        <v>0.31980809999999998</v>
      </c>
      <c r="HQ18">
        <v>73877</v>
      </c>
      <c r="HR18">
        <v>0.90878080000000006</v>
      </c>
      <c r="HS18">
        <v>73877</v>
      </c>
      <c r="HT18">
        <v>9.12192E-2</v>
      </c>
      <c r="HU18">
        <v>82109</v>
      </c>
      <c r="HV18">
        <v>8.6994100000000005E-2</v>
      </c>
      <c r="HW18">
        <v>7143</v>
      </c>
      <c r="HX18">
        <v>0.37869239999999998</v>
      </c>
      <c r="HY18">
        <v>2705</v>
      </c>
      <c r="HZ18">
        <v>0.74195929999999999</v>
      </c>
      <c r="IA18">
        <v>2705</v>
      </c>
      <c r="IB18">
        <v>0.74195929999999999</v>
      </c>
      <c r="IC18">
        <v>2705</v>
      </c>
      <c r="ID18">
        <v>0.74195929999999999</v>
      </c>
      <c r="IE18">
        <v>2705</v>
      </c>
      <c r="IF18">
        <v>0.74195929999999999</v>
      </c>
      <c r="IG18">
        <v>2705</v>
      </c>
      <c r="IH18">
        <v>0.25804070000000001</v>
      </c>
      <c r="II18">
        <v>7143</v>
      </c>
      <c r="IJ18">
        <v>0.62130759999999996</v>
      </c>
      <c r="IK18">
        <v>4438</v>
      </c>
      <c r="IL18">
        <v>0.27061740000000001</v>
      </c>
      <c r="IM18">
        <v>1201</v>
      </c>
      <c r="IN18">
        <v>0.85512069999999996</v>
      </c>
      <c r="IO18">
        <v>1027</v>
      </c>
      <c r="IP18">
        <v>0.41577409999999998</v>
      </c>
      <c r="IQ18">
        <v>1027</v>
      </c>
      <c r="IR18">
        <v>6.8159700000000004E-2</v>
      </c>
      <c r="IS18">
        <v>1027</v>
      </c>
      <c r="IT18">
        <v>0.51606620000000003</v>
      </c>
      <c r="IU18">
        <v>1201</v>
      </c>
      <c r="IV18">
        <v>0.14487929999999999</v>
      </c>
      <c r="IW18">
        <v>4438</v>
      </c>
      <c r="IX18">
        <v>0.72938259999999999</v>
      </c>
      <c r="IY18">
        <v>3237</v>
      </c>
      <c r="IZ18">
        <v>0.95118939999999996</v>
      </c>
      <c r="JA18">
        <v>3079</v>
      </c>
      <c r="JB18">
        <v>9.1263399999999995E-2</v>
      </c>
      <c r="JC18">
        <v>3079</v>
      </c>
      <c r="JD18">
        <v>0.32607989999999998</v>
      </c>
      <c r="JE18">
        <v>3079</v>
      </c>
      <c r="JF18">
        <v>0.58265670000000003</v>
      </c>
      <c r="JG18">
        <v>3237</v>
      </c>
      <c r="JH18">
        <v>4.8810600000000003E-2</v>
      </c>
      <c r="JI18">
        <v>82109</v>
      </c>
      <c r="JJ18">
        <v>2.0533699999999998E-2</v>
      </c>
      <c r="JK18">
        <v>1686</v>
      </c>
      <c r="JL18">
        <v>0.52550419999999998</v>
      </c>
      <c r="JM18">
        <v>886</v>
      </c>
      <c r="JN18">
        <v>0.66704289999999999</v>
      </c>
      <c r="JO18">
        <v>886</v>
      </c>
      <c r="JP18">
        <v>0.66704289999999999</v>
      </c>
      <c r="JQ18">
        <v>886</v>
      </c>
      <c r="JR18">
        <v>0.66704289999999999</v>
      </c>
      <c r="JS18">
        <v>886</v>
      </c>
      <c r="JT18">
        <v>0.66704289999999999</v>
      </c>
      <c r="JU18">
        <v>886</v>
      </c>
      <c r="JV18">
        <v>0.33295710000000001</v>
      </c>
      <c r="JW18">
        <v>1686</v>
      </c>
      <c r="JX18">
        <v>0.47449590000000003</v>
      </c>
      <c r="JY18">
        <v>800</v>
      </c>
      <c r="JZ18">
        <v>0.10125000000000001</v>
      </c>
      <c r="KA18">
        <v>81</v>
      </c>
      <c r="KB18">
        <v>1</v>
      </c>
      <c r="KC18">
        <v>81</v>
      </c>
      <c r="KD18">
        <v>0</v>
      </c>
      <c r="KE18">
        <v>81</v>
      </c>
      <c r="KF18">
        <v>0</v>
      </c>
      <c r="KG18">
        <v>81</v>
      </c>
      <c r="KH18">
        <v>1</v>
      </c>
      <c r="KI18">
        <v>81</v>
      </c>
      <c r="KJ18">
        <v>0</v>
      </c>
      <c r="KK18">
        <v>800</v>
      </c>
      <c r="KL18">
        <v>0.89875000000000005</v>
      </c>
      <c r="KM18">
        <v>719</v>
      </c>
      <c r="KN18">
        <v>0.71070929999999999</v>
      </c>
      <c r="KO18">
        <v>511</v>
      </c>
      <c r="KP18">
        <v>0</v>
      </c>
      <c r="KQ18">
        <v>511</v>
      </c>
      <c r="KR18">
        <v>0</v>
      </c>
      <c r="KS18">
        <v>511</v>
      </c>
      <c r="KT18">
        <v>1</v>
      </c>
      <c r="KU18">
        <v>719</v>
      </c>
      <c r="KV18">
        <v>0.28929070000000001</v>
      </c>
      <c r="KW18">
        <v>82109</v>
      </c>
      <c r="KX18">
        <v>4.0689799999999998E-2</v>
      </c>
      <c r="KY18">
        <v>3341</v>
      </c>
      <c r="KZ18">
        <v>0.6644717</v>
      </c>
      <c r="LA18">
        <v>2220</v>
      </c>
      <c r="LB18">
        <v>0.71171169999999995</v>
      </c>
      <c r="LC18">
        <v>2220</v>
      </c>
      <c r="LD18">
        <v>0.71171169999999995</v>
      </c>
      <c r="LE18">
        <v>2220</v>
      </c>
      <c r="LF18">
        <v>0.71171169999999995</v>
      </c>
      <c r="LG18">
        <v>2220</v>
      </c>
      <c r="LH18">
        <v>0.71171169999999995</v>
      </c>
      <c r="LI18">
        <v>2220</v>
      </c>
      <c r="LJ18">
        <v>0.2882883</v>
      </c>
      <c r="LK18">
        <v>3341</v>
      </c>
      <c r="LL18">
        <v>0.3355283</v>
      </c>
      <c r="LM18">
        <v>1121</v>
      </c>
      <c r="LN18">
        <v>0.41748439999999998</v>
      </c>
      <c r="LO18">
        <v>468</v>
      </c>
      <c r="LP18">
        <v>1</v>
      </c>
      <c r="LQ18">
        <v>468</v>
      </c>
      <c r="LR18">
        <v>0.1752137</v>
      </c>
      <c r="LS18">
        <v>468</v>
      </c>
      <c r="LT18">
        <v>0.82478629999999997</v>
      </c>
      <c r="LU18">
        <v>468</v>
      </c>
      <c r="LV18">
        <v>0</v>
      </c>
      <c r="LW18">
        <v>468</v>
      </c>
      <c r="LX18">
        <v>0</v>
      </c>
      <c r="LY18">
        <v>1121</v>
      </c>
      <c r="LZ18">
        <v>0.58251560000000002</v>
      </c>
      <c r="MA18">
        <v>653</v>
      </c>
      <c r="MB18">
        <v>0.80551300000000003</v>
      </c>
      <c r="MC18">
        <v>526</v>
      </c>
      <c r="MD18">
        <v>0.20912549999999999</v>
      </c>
      <c r="ME18">
        <v>526</v>
      </c>
      <c r="MF18">
        <v>0.148289</v>
      </c>
      <c r="MG18">
        <v>526</v>
      </c>
      <c r="MH18">
        <v>0.64258559999999998</v>
      </c>
      <c r="MI18">
        <v>653</v>
      </c>
      <c r="MJ18">
        <v>0.19448699999999999</v>
      </c>
      <c r="MK18">
        <v>82109</v>
      </c>
      <c r="ML18">
        <v>0.85178240000000005</v>
      </c>
      <c r="MM18">
        <v>69939</v>
      </c>
      <c r="MN18">
        <v>0.87421890000000002</v>
      </c>
      <c r="MO18">
        <v>61142</v>
      </c>
      <c r="MP18">
        <v>0.50570800000000005</v>
      </c>
      <c r="MQ18">
        <v>61142</v>
      </c>
      <c r="MR18">
        <v>0.50570800000000005</v>
      </c>
      <c r="MS18">
        <v>61142</v>
      </c>
      <c r="MT18">
        <v>0.50570800000000005</v>
      </c>
      <c r="MU18">
        <v>61142</v>
      </c>
      <c r="MV18">
        <v>0.50570800000000005</v>
      </c>
      <c r="MW18">
        <v>61142</v>
      </c>
      <c r="MX18">
        <v>0.49429200000000001</v>
      </c>
      <c r="MY18">
        <v>69939</v>
      </c>
      <c r="MZ18">
        <v>0.125781</v>
      </c>
      <c r="NA18">
        <v>8797</v>
      </c>
      <c r="NB18">
        <v>0.4340116</v>
      </c>
      <c r="NC18">
        <v>3818</v>
      </c>
      <c r="ND18">
        <v>0.4520691</v>
      </c>
      <c r="NE18">
        <v>1726</v>
      </c>
      <c r="NF18">
        <v>0.29316340000000002</v>
      </c>
      <c r="NG18">
        <v>1726</v>
      </c>
      <c r="NH18">
        <v>0.2363847</v>
      </c>
      <c r="NI18">
        <v>1726</v>
      </c>
      <c r="NJ18">
        <v>0.47045189999999998</v>
      </c>
      <c r="NK18">
        <v>3818</v>
      </c>
      <c r="NL18">
        <v>0.54793080000000005</v>
      </c>
      <c r="NM18">
        <v>8797</v>
      </c>
      <c r="NN18">
        <v>0.56598839999999995</v>
      </c>
      <c r="NO18">
        <v>4979</v>
      </c>
      <c r="NP18">
        <v>0.52821850000000004</v>
      </c>
      <c r="NQ18">
        <v>2630</v>
      </c>
      <c r="NR18">
        <v>1.17871E-2</v>
      </c>
      <c r="NS18">
        <v>2630</v>
      </c>
      <c r="NT18">
        <v>0.10988589999999999</v>
      </c>
      <c r="NU18">
        <v>2630</v>
      </c>
      <c r="NV18">
        <v>0.87832699999999997</v>
      </c>
      <c r="NW18">
        <v>4979</v>
      </c>
      <c r="NX18">
        <v>0.47178150000000002</v>
      </c>
    </row>
    <row r="19" spans="1:388" x14ac:dyDescent="0.25">
      <c r="A19" t="s">
        <v>131</v>
      </c>
      <c r="B19">
        <v>2010</v>
      </c>
      <c r="C19">
        <v>1</v>
      </c>
      <c r="D19" t="s">
        <v>552</v>
      </c>
      <c r="E19">
        <v>57644</v>
      </c>
      <c r="F19">
        <v>0.45335160000000002</v>
      </c>
      <c r="G19">
        <v>26133</v>
      </c>
      <c r="H19">
        <v>0.13056290000000001</v>
      </c>
      <c r="I19">
        <v>26133</v>
      </c>
      <c r="J19">
        <v>2.3150799999999999E-2</v>
      </c>
      <c r="K19">
        <v>26133</v>
      </c>
      <c r="L19">
        <v>0.16102250000000001</v>
      </c>
      <c r="M19">
        <v>26133</v>
      </c>
      <c r="N19">
        <v>6.4592700000000003E-2</v>
      </c>
      <c r="O19">
        <v>26133</v>
      </c>
      <c r="P19">
        <v>4.6416399999999997E-2</v>
      </c>
      <c r="Q19">
        <v>26133</v>
      </c>
      <c r="R19">
        <v>6.7730499999999999E-2</v>
      </c>
      <c r="S19">
        <v>26133</v>
      </c>
      <c r="T19">
        <v>0.12222089999999999</v>
      </c>
      <c r="U19">
        <v>26133</v>
      </c>
      <c r="V19">
        <v>0.1076034</v>
      </c>
      <c r="W19">
        <v>26133</v>
      </c>
      <c r="X19">
        <v>9.6353300000000003E-2</v>
      </c>
      <c r="Y19">
        <v>26133</v>
      </c>
      <c r="Z19">
        <v>8.2883700000000005E-2</v>
      </c>
      <c r="AA19">
        <v>26133</v>
      </c>
      <c r="AB19">
        <v>4.5536300000000002E-2</v>
      </c>
      <c r="AC19">
        <v>26133</v>
      </c>
      <c r="AD19">
        <v>2.8661099999999998E-2</v>
      </c>
      <c r="AE19">
        <v>26133</v>
      </c>
      <c r="AF19">
        <v>2.3265600000000001E-2</v>
      </c>
      <c r="AG19">
        <v>57644</v>
      </c>
      <c r="AH19">
        <v>0.54664840000000003</v>
      </c>
      <c r="AI19">
        <v>31511</v>
      </c>
      <c r="AJ19">
        <v>0.12592429999999999</v>
      </c>
      <c r="AK19">
        <v>31511</v>
      </c>
      <c r="AL19">
        <v>1.7517700000000001E-2</v>
      </c>
      <c r="AM19">
        <v>31511</v>
      </c>
      <c r="AN19">
        <v>0.13557169999999999</v>
      </c>
      <c r="AO19">
        <v>31511</v>
      </c>
      <c r="AP19">
        <v>5.5187100000000003E-2</v>
      </c>
      <c r="AQ19">
        <v>31511</v>
      </c>
      <c r="AR19">
        <v>1.84063E-2</v>
      </c>
      <c r="AS19">
        <v>31511</v>
      </c>
      <c r="AT19">
        <v>2.8624900000000002E-2</v>
      </c>
      <c r="AU19">
        <v>31511</v>
      </c>
      <c r="AV19">
        <v>0.1084383</v>
      </c>
      <c r="AW19">
        <v>31511</v>
      </c>
      <c r="AX19">
        <v>0.1597537</v>
      </c>
      <c r="AY19">
        <v>31511</v>
      </c>
      <c r="AZ19">
        <v>0.12598780000000001</v>
      </c>
      <c r="BA19">
        <v>31511</v>
      </c>
      <c r="BB19">
        <v>8.1114500000000006E-2</v>
      </c>
      <c r="BC19">
        <v>31511</v>
      </c>
      <c r="BD19">
        <v>6.8103200000000003E-2</v>
      </c>
      <c r="BE19">
        <v>31511</v>
      </c>
      <c r="BF19">
        <v>3.6209600000000002E-2</v>
      </c>
      <c r="BG19">
        <v>31511</v>
      </c>
      <c r="BH19">
        <v>3.9160899999999998E-2</v>
      </c>
      <c r="BI19">
        <v>612286</v>
      </c>
      <c r="BJ19">
        <v>0.49953619999999999</v>
      </c>
      <c r="BK19">
        <v>305859</v>
      </c>
      <c r="BL19">
        <v>7.1049100000000004E-2</v>
      </c>
      <c r="BM19">
        <v>305859</v>
      </c>
      <c r="BN19">
        <v>1.93194E-2</v>
      </c>
      <c r="BO19">
        <v>305859</v>
      </c>
      <c r="BP19">
        <v>9.7329200000000005E-2</v>
      </c>
      <c r="BQ19">
        <v>305859</v>
      </c>
      <c r="BR19">
        <v>5.1013700000000002E-2</v>
      </c>
      <c r="BS19">
        <v>305859</v>
      </c>
      <c r="BT19">
        <v>1.74133E-2</v>
      </c>
      <c r="BU19">
        <v>305859</v>
      </c>
      <c r="BV19">
        <v>3.1321599999999998E-2</v>
      </c>
      <c r="BW19">
        <v>305859</v>
      </c>
      <c r="BX19">
        <v>7.8774899999999995E-2</v>
      </c>
      <c r="BY19">
        <v>305859</v>
      </c>
      <c r="BZ19">
        <v>0.12147429999999999</v>
      </c>
      <c r="CA19">
        <v>305859</v>
      </c>
      <c r="CB19">
        <v>0.1630163</v>
      </c>
      <c r="CC19">
        <v>305859</v>
      </c>
      <c r="CD19">
        <v>0.15938060000000001</v>
      </c>
      <c r="CE19">
        <v>305859</v>
      </c>
      <c r="CF19">
        <v>0.1066472</v>
      </c>
      <c r="CG19">
        <v>305859</v>
      </c>
      <c r="CH19">
        <v>5.4155700000000001E-2</v>
      </c>
      <c r="CI19">
        <v>305859</v>
      </c>
      <c r="CJ19">
        <v>2.91049E-2</v>
      </c>
      <c r="CK19">
        <v>612286</v>
      </c>
      <c r="CL19">
        <v>0.50046380000000001</v>
      </c>
      <c r="CM19">
        <v>306427</v>
      </c>
      <c r="CN19">
        <v>6.4762600000000003E-2</v>
      </c>
      <c r="CO19">
        <v>306427</v>
      </c>
      <c r="CP19">
        <v>1.32397E-2</v>
      </c>
      <c r="CQ19">
        <v>306427</v>
      </c>
      <c r="CR19">
        <v>9.7517499999999993E-2</v>
      </c>
      <c r="CS19">
        <v>306427</v>
      </c>
      <c r="CT19">
        <v>4.7329400000000001E-2</v>
      </c>
      <c r="CU19">
        <v>306427</v>
      </c>
      <c r="CV19">
        <v>1.4238300000000001E-2</v>
      </c>
      <c r="CW19">
        <v>306427</v>
      </c>
      <c r="CX19">
        <v>3.4203900000000002E-2</v>
      </c>
      <c r="CY19">
        <v>306427</v>
      </c>
      <c r="CZ19">
        <v>7.0062399999999997E-2</v>
      </c>
      <c r="DA19">
        <v>306427</v>
      </c>
      <c r="DB19">
        <v>0.1216831</v>
      </c>
      <c r="DC19">
        <v>306427</v>
      </c>
      <c r="DD19">
        <v>0.16502140000000001</v>
      </c>
      <c r="DE19">
        <v>306427</v>
      </c>
      <c r="DF19">
        <v>0.15774070000000001</v>
      </c>
      <c r="DG19">
        <v>306427</v>
      </c>
      <c r="DH19">
        <v>0.1077027</v>
      </c>
      <c r="DI19">
        <v>306427</v>
      </c>
      <c r="DJ19">
        <v>6.0523399999999998E-2</v>
      </c>
      <c r="DK19">
        <v>306427</v>
      </c>
      <c r="DL19">
        <v>4.5975099999999998E-2</v>
      </c>
      <c r="DM19">
        <v>421798</v>
      </c>
      <c r="DN19">
        <v>6.1934900000000001E-2</v>
      </c>
      <c r="DO19">
        <v>26124</v>
      </c>
      <c r="DP19">
        <v>0.38443579999999999</v>
      </c>
      <c r="DQ19">
        <v>10043</v>
      </c>
      <c r="DR19">
        <v>0.2264264</v>
      </c>
      <c r="DS19">
        <v>10043</v>
      </c>
      <c r="DT19">
        <v>0.38036439999999999</v>
      </c>
      <c r="DU19">
        <v>10043</v>
      </c>
      <c r="DV19">
        <v>0.28039429999999999</v>
      </c>
      <c r="DW19">
        <v>10043</v>
      </c>
      <c r="DX19">
        <v>0.1128149</v>
      </c>
      <c r="DY19">
        <v>26124</v>
      </c>
      <c r="DZ19">
        <v>0.61556420000000001</v>
      </c>
      <c r="EA19">
        <v>16081</v>
      </c>
      <c r="EB19">
        <v>0.20937749999999999</v>
      </c>
      <c r="EC19">
        <v>16081</v>
      </c>
      <c r="ED19">
        <v>0.28574090000000002</v>
      </c>
      <c r="EE19">
        <v>16081</v>
      </c>
      <c r="EF19">
        <v>0.36832290000000001</v>
      </c>
      <c r="EG19">
        <v>16081</v>
      </c>
      <c r="EH19">
        <v>0.13655870000000001</v>
      </c>
      <c r="EI19">
        <v>421798</v>
      </c>
      <c r="EJ19">
        <v>0.93806509999999999</v>
      </c>
      <c r="EK19">
        <v>395674</v>
      </c>
      <c r="EL19">
        <v>0.48991590000000002</v>
      </c>
      <c r="EM19">
        <v>193847</v>
      </c>
      <c r="EN19">
        <v>8.8667899999999994E-2</v>
      </c>
      <c r="EO19">
        <v>193847</v>
      </c>
      <c r="EP19">
        <v>0.28387849999999998</v>
      </c>
      <c r="EQ19">
        <v>193847</v>
      </c>
      <c r="ER19">
        <v>0.31265379999999998</v>
      </c>
      <c r="ES19">
        <v>193847</v>
      </c>
      <c r="ET19">
        <v>0.31479980000000002</v>
      </c>
      <c r="EU19">
        <v>395674</v>
      </c>
      <c r="EV19">
        <v>0.51008399999999998</v>
      </c>
      <c r="EW19">
        <v>201827</v>
      </c>
      <c r="EX19">
        <v>7.0728899999999997E-2</v>
      </c>
      <c r="EY19">
        <v>201827</v>
      </c>
      <c r="EZ19">
        <v>0.2719606</v>
      </c>
      <c r="FA19">
        <v>201827</v>
      </c>
      <c r="FB19">
        <v>0.32465430000000001</v>
      </c>
      <c r="FC19">
        <v>201827</v>
      </c>
      <c r="FD19">
        <v>0.33265620000000001</v>
      </c>
      <c r="FE19">
        <v>496705</v>
      </c>
      <c r="FF19">
        <v>7.1283799999999994E-2</v>
      </c>
      <c r="FG19">
        <v>35407</v>
      </c>
      <c r="FH19">
        <v>0.42384270000000002</v>
      </c>
      <c r="FI19">
        <v>15007</v>
      </c>
      <c r="FJ19">
        <v>0.11887789999999999</v>
      </c>
      <c r="FK19">
        <v>15007</v>
      </c>
      <c r="FL19">
        <v>0.35976540000000001</v>
      </c>
      <c r="FM19">
        <v>15007</v>
      </c>
      <c r="FN19">
        <v>0.52135670000000001</v>
      </c>
      <c r="FO19">
        <v>15007</v>
      </c>
      <c r="FP19">
        <v>0.57186650000000006</v>
      </c>
      <c r="FQ19">
        <v>15007</v>
      </c>
      <c r="FR19">
        <v>0.4281335</v>
      </c>
      <c r="FS19">
        <v>8582</v>
      </c>
      <c r="FT19">
        <v>0.56245630000000002</v>
      </c>
      <c r="FU19">
        <v>8582</v>
      </c>
      <c r="FV19">
        <v>0.43754369999999998</v>
      </c>
      <c r="FW19">
        <v>35407</v>
      </c>
      <c r="FX19">
        <v>0.57615729999999998</v>
      </c>
      <c r="FY19">
        <v>20400</v>
      </c>
      <c r="FZ19">
        <v>6.7843100000000003E-2</v>
      </c>
      <c r="GA19">
        <v>20400</v>
      </c>
      <c r="GB19">
        <v>0.30691180000000001</v>
      </c>
      <c r="GC19">
        <v>20400</v>
      </c>
      <c r="GD19">
        <v>0.6252451</v>
      </c>
      <c r="GE19">
        <v>20400</v>
      </c>
      <c r="GF19">
        <v>0.40960790000000002</v>
      </c>
      <c r="GG19">
        <v>20400</v>
      </c>
      <c r="GH19">
        <v>0.59039220000000003</v>
      </c>
      <c r="GI19">
        <v>8356</v>
      </c>
      <c r="GJ19">
        <v>0.6615605</v>
      </c>
      <c r="GK19">
        <v>8356</v>
      </c>
      <c r="GL19">
        <v>0.3384394</v>
      </c>
      <c r="GM19">
        <v>496705</v>
      </c>
      <c r="GN19">
        <v>0.92871619999999999</v>
      </c>
      <c r="GO19">
        <v>461298</v>
      </c>
      <c r="GP19">
        <v>0.49321910000000002</v>
      </c>
      <c r="GQ19">
        <v>227521</v>
      </c>
      <c r="GR19">
        <v>0.55256439999999996</v>
      </c>
      <c r="GS19">
        <v>227521</v>
      </c>
      <c r="GT19">
        <v>0.23183790000000001</v>
      </c>
      <c r="GU19">
        <v>227521</v>
      </c>
      <c r="GV19">
        <v>0.2155977</v>
      </c>
      <c r="GW19">
        <v>227384</v>
      </c>
      <c r="GX19">
        <v>0.7938113</v>
      </c>
      <c r="GY19">
        <v>227384</v>
      </c>
      <c r="GZ19">
        <v>0.2061886</v>
      </c>
      <c r="HA19">
        <v>180500</v>
      </c>
      <c r="HB19">
        <v>0.88799450000000002</v>
      </c>
      <c r="HC19">
        <v>180500</v>
      </c>
      <c r="HD19">
        <v>0.11200549999999999</v>
      </c>
      <c r="HE19">
        <v>461298</v>
      </c>
      <c r="HF19">
        <v>0.50678089999999998</v>
      </c>
      <c r="HG19">
        <v>233777</v>
      </c>
      <c r="HH19">
        <v>0.37734250000000003</v>
      </c>
      <c r="HI19">
        <v>233777</v>
      </c>
      <c r="HJ19">
        <v>0.28775289999999998</v>
      </c>
      <c r="HK19">
        <v>233777</v>
      </c>
      <c r="HL19">
        <v>0.3349046</v>
      </c>
      <c r="HM19">
        <v>233777</v>
      </c>
      <c r="HN19">
        <v>0.65774220000000005</v>
      </c>
      <c r="HO19">
        <v>233777</v>
      </c>
      <c r="HP19">
        <v>0.3422578</v>
      </c>
      <c r="HQ19">
        <v>153765</v>
      </c>
      <c r="HR19">
        <v>0.91105910000000001</v>
      </c>
      <c r="HS19">
        <v>153765</v>
      </c>
      <c r="HT19">
        <v>8.8940900000000003E-2</v>
      </c>
      <c r="HU19">
        <v>169264</v>
      </c>
      <c r="HV19">
        <v>9.7404099999999993E-2</v>
      </c>
      <c r="HW19">
        <v>16487</v>
      </c>
      <c r="HX19">
        <v>0.4782556</v>
      </c>
      <c r="HY19">
        <v>7885</v>
      </c>
      <c r="HZ19">
        <v>0.73532019999999998</v>
      </c>
      <c r="IA19">
        <v>7885</v>
      </c>
      <c r="IB19">
        <v>0.73532019999999998</v>
      </c>
      <c r="IC19">
        <v>7885</v>
      </c>
      <c r="ID19">
        <v>0.73532019999999998</v>
      </c>
      <c r="IE19">
        <v>7885</v>
      </c>
      <c r="IF19">
        <v>0.73532019999999998</v>
      </c>
      <c r="IG19">
        <v>7885</v>
      </c>
      <c r="IH19">
        <v>0.26467980000000002</v>
      </c>
      <c r="II19">
        <v>16487</v>
      </c>
      <c r="IJ19">
        <v>0.5217444</v>
      </c>
      <c r="IK19">
        <v>8602</v>
      </c>
      <c r="IL19">
        <v>0.26726339999999998</v>
      </c>
      <c r="IM19">
        <v>2299</v>
      </c>
      <c r="IN19">
        <v>0.92605479999999996</v>
      </c>
      <c r="IO19">
        <v>2129</v>
      </c>
      <c r="IP19">
        <v>0.30671680000000001</v>
      </c>
      <c r="IQ19">
        <v>2129</v>
      </c>
      <c r="IR19">
        <v>0.1315171</v>
      </c>
      <c r="IS19">
        <v>2129</v>
      </c>
      <c r="IT19">
        <v>0.56176610000000005</v>
      </c>
      <c r="IU19">
        <v>2299</v>
      </c>
      <c r="IV19">
        <v>7.3945200000000003E-2</v>
      </c>
      <c r="IW19">
        <v>8602</v>
      </c>
      <c r="IX19">
        <v>0.73273659999999996</v>
      </c>
      <c r="IY19">
        <v>6303</v>
      </c>
      <c r="IZ19">
        <v>0.86593690000000001</v>
      </c>
      <c r="JA19">
        <v>5458</v>
      </c>
      <c r="JB19">
        <v>0.22004399999999999</v>
      </c>
      <c r="JC19">
        <v>5458</v>
      </c>
      <c r="JD19">
        <v>0.27647490000000002</v>
      </c>
      <c r="JE19">
        <v>5458</v>
      </c>
      <c r="JF19">
        <v>0.50348110000000001</v>
      </c>
      <c r="JG19">
        <v>6303</v>
      </c>
      <c r="JH19">
        <v>0.13406309999999999</v>
      </c>
      <c r="JI19">
        <v>169264</v>
      </c>
      <c r="JJ19">
        <v>2.3797100000000002E-2</v>
      </c>
      <c r="JK19">
        <v>4028</v>
      </c>
      <c r="JL19">
        <v>0.54443889999999995</v>
      </c>
      <c r="JM19">
        <v>2193</v>
      </c>
      <c r="JN19">
        <v>0.54217959999999998</v>
      </c>
      <c r="JO19">
        <v>2193</v>
      </c>
      <c r="JP19">
        <v>0.54217959999999998</v>
      </c>
      <c r="JQ19">
        <v>2193</v>
      </c>
      <c r="JR19">
        <v>0.54217959999999998</v>
      </c>
      <c r="JS19">
        <v>2193</v>
      </c>
      <c r="JT19">
        <v>0.54217959999999998</v>
      </c>
      <c r="JU19">
        <v>2193</v>
      </c>
      <c r="JV19">
        <v>0.45782030000000001</v>
      </c>
      <c r="JW19">
        <v>4028</v>
      </c>
      <c r="JX19">
        <v>0.4555611</v>
      </c>
      <c r="JY19">
        <v>1835</v>
      </c>
      <c r="JZ19">
        <v>0.33787469999999997</v>
      </c>
      <c r="KA19">
        <v>620</v>
      </c>
      <c r="KB19">
        <v>0.44193549999999998</v>
      </c>
      <c r="KC19">
        <v>274</v>
      </c>
      <c r="KD19">
        <v>1</v>
      </c>
      <c r="KE19">
        <v>274</v>
      </c>
      <c r="KF19">
        <v>0</v>
      </c>
      <c r="KG19">
        <v>274</v>
      </c>
      <c r="KH19">
        <v>0</v>
      </c>
      <c r="KI19">
        <v>620</v>
      </c>
      <c r="KJ19">
        <v>0.55806449999999996</v>
      </c>
      <c r="KK19">
        <v>1835</v>
      </c>
      <c r="KL19">
        <v>0.66212530000000003</v>
      </c>
      <c r="KM19">
        <v>1215</v>
      </c>
      <c r="KN19">
        <v>0.77777779999999996</v>
      </c>
      <c r="KO19">
        <v>945</v>
      </c>
      <c r="KP19">
        <v>6.1375699999999998E-2</v>
      </c>
      <c r="KQ19">
        <v>945</v>
      </c>
      <c r="KR19">
        <v>0</v>
      </c>
      <c r="KS19">
        <v>945</v>
      </c>
      <c r="KT19">
        <v>0.93862429999999997</v>
      </c>
      <c r="KU19">
        <v>1215</v>
      </c>
      <c r="KV19">
        <v>0.22222220000000001</v>
      </c>
      <c r="KW19">
        <v>169264</v>
      </c>
      <c r="KX19">
        <v>4.3588700000000001E-2</v>
      </c>
      <c r="KY19">
        <v>7378</v>
      </c>
      <c r="KZ19">
        <v>0.67809710000000001</v>
      </c>
      <c r="LA19">
        <v>5003</v>
      </c>
      <c r="LB19">
        <v>0.63581849999999995</v>
      </c>
      <c r="LC19">
        <v>5003</v>
      </c>
      <c r="LD19">
        <v>0.63581849999999995</v>
      </c>
      <c r="LE19">
        <v>5003</v>
      </c>
      <c r="LF19">
        <v>0.63581849999999995</v>
      </c>
      <c r="LG19">
        <v>5003</v>
      </c>
      <c r="LH19">
        <v>0.63581849999999995</v>
      </c>
      <c r="LI19">
        <v>5003</v>
      </c>
      <c r="LJ19">
        <v>0.36418149999999999</v>
      </c>
      <c r="LK19">
        <v>7378</v>
      </c>
      <c r="LL19">
        <v>0.32190299999999999</v>
      </c>
      <c r="LM19">
        <v>2375</v>
      </c>
      <c r="LN19">
        <v>0.15747369999999999</v>
      </c>
      <c r="LO19">
        <v>374</v>
      </c>
      <c r="LP19">
        <v>0.74064169999999996</v>
      </c>
      <c r="LQ19">
        <v>277</v>
      </c>
      <c r="LR19">
        <v>0</v>
      </c>
      <c r="LS19">
        <v>277</v>
      </c>
      <c r="LT19">
        <v>0.31407940000000001</v>
      </c>
      <c r="LU19">
        <v>277</v>
      </c>
      <c r="LV19">
        <v>0.68592059999999999</v>
      </c>
      <c r="LW19">
        <v>374</v>
      </c>
      <c r="LX19">
        <v>0.25935829999999999</v>
      </c>
      <c r="LY19">
        <v>2375</v>
      </c>
      <c r="LZ19">
        <v>0.84252629999999995</v>
      </c>
      <c r="MA19">
        <v>2001</v>
      </c>
      <c r="MB19">
        <v>0.67966009999999999</v>
      </c>
      <c r="MC19">
        <v>1360</v>
      </c>
      <c r="MD19">
        <v>0.13455880000000001</v>
      </c>
      <c r="ME19">
        <v>1360</v>
      </c>
      <c r="MF19">
        <v>0.2330882</v>
      </c>
      <c r="MG19">
        <v>1360</v>
      </c>
      <c r="MH19">
        <v>0.6323529</v>
      </c>
      <c r="MI19">
        <v>2001</v>
      </c>
      <c r="MJ19">
        <v>0.32033980000000001</v>
      </c>
      <c r="MK19">
        <v>169264</v>
      </c>
      <c r="ML19">
        <v>0.83521009999999996</v>
      </c>
      <c r="MM19">
        <v>141371</v>
      </c>
      <c r="MN19">
        <v>0.84607169999999998</v>
      </c>
      <c r="MO19">
        <v>119610</v>
      </c>
      <c r="MP19">
        <v>0.5393696</v>
      </c>
      <c r="MQ19">
        <v>119610</v>
      </c>
      <c r="MR19">
        <v>0.5393696</v>
      </c>
      <c r="MS19">
        <v>119610</v>
      </c>
      <c r="MT19">
        <v>0.5393696</v>
      </c>
      <c r="MU19">
        <v>119610</v>
      </c>
      <c r="MV19">
        <v>0.5393696</v>
      </c>
      <c r="MW19">
        <v>119610</v>
      </c>
      <c r="MX19">
        <v>0.4606304</v>
      </c>
      <c r="MY19">
        <v>141371</v>
      </c>
      <c r="MZ19">
        <v>0.15392829999999999</v>
      </c>
      <c r="NA19">
        <v>21761</v>
      </c>
      <c r="NB19">
        <v>0.4124351</v>
      </c>
      <c r="NC19">
        <v>8975</v>
      </c>
      <c r="ND19">
        <v>0.45325910000000003</v>
      </c>
      <c r="NE19">
        <v>4068</v>
      </c>
      <c r="NF19">
        <v>0.17871190000000001</v>
      </c>
      <c r="NG19">
        <v>4068</v>
      </c>
      <c r="NH19">
        <v>0.23426749999999999</v>
      </c>
      <c r="NI19">
        <v>4068</v>
      </c>
      <c r="NJ19">
        <v>0.5870206</v>
      </c>
      <c r="NK19">
        <v>8975</v>
      </c>
      <c r="NL19">
        <v>0.54674089999999997</v>
      </c>
      <c r="NM19">
        <v>21761</v>
      </c>
      <c r="NN19">
        <v>0.58756489999999995</v>
      </c>
      <c r="NO19">
        <v>12786</v>
      </c>
      <c r="NP19">
        <v>0.58822149999999995</v>
      </c>
      <c r="NQ19">
        <v>7521</v>
      </c>
      <c r="NR19">
        <v>0.14226829999999999</v>
      </c>
      <c r="NS19">
        <v>7521</v>
      </c>
      <c r="NT19">
        <v>0.14080580000000001</v>
      </c>
      <c r="NU19">
        <v>7521</v>
      </c>
      <c r="NV19">
        <v>0.7169259</v>
      </c>
      <c r="NW19">
        <v>12786</v>
      </c>
      <c r="NX19">
        <v>0.41177849999999999</v>
      </c>
    </row>
    <row r="20" spans="1:388" x14ac:dyDescent="0.25">
      <c r="A20" t="s">
        <v>136</v>
      </c>
      <c r="B20">
        <v>2011</v>
      </c>
      <c r="C20">
        <v>1</v>
      </c>
      <c r="D20" t="s">
        <v>553</v>
      </c>
      <c r="E20">
        <v>905232</v>
      </c>
      <c r="F20">
        <v>0.45048120000000003</v>
      </c>
      <c r="G20">
        <v>407790</v>
      </c>
      <c r="H20">
        <v>0.11485570000000001</v>
      </c>
      <c r="I20">
        <v>407790</v>
      </c>
      <c r="J20">
        <v>1.9890100000000001E-2</v>
      </c>
      <c r="K20">
        <v>407790</v>
      </c>
      <c r="L20">
        <v>0.13284779999999999</v>
      </c>
      <c r="M20">
        <v>407790</v>
      </c>
      <c r="N20">
        <v>6.7473500000000006E-2</v>
      </c>
      <c r="O20">
        <v>407790</v>
      </c>
      <c r="P20">
        <v>2.1126099999999998E-2</v>
      </c>
      <c r="Q20">
        <v>407790</v>
      </c>
      <c r="R20">
        <v>3.9052000000000003E-2</v>
      </c>
      <c r="S20">
        <v>407790</v>
      </c>
      <c r="T20">
        <v>0.1355722</v>
      </c>
      <c r="U20">
        <v>407790</v>
      </c>
      <c r="V20">
        <v>0.1324996</v>
      </c>
      <c r="W20">
        <v>407790</v>
      </c>
      <c r="X20">
        <v>0.1023419</v>
      </c>
      <c r="Y20">
        <v>407790</v>
      </c>
      <c r="Z20">
        <v>0.1038917</v>
      </c>
      <c r="AA20">
        <v>407790</v>
      </c>
      <c r="AB20">
        <v>7.9793500000000003E-2</v>
      </c>
      <c r="AC20">
        <v>407790</v>
      </c>
      <c r="AD20">
        <v>2.9463699999999999E-2</v>
      </c>
      <c r="AE20">
        <v>407790</v>
      </c>
      <c r="AF20">
        <v>2.1192300000000001E-2</v>
      </c>
      <c r="AG20">
        <v>905232</v>
      </c>
      <c r="AH20">
        <v>0.54951879999999997</v>
      </c>
      <c r="AI20">
        <v>497442</v>
      </c>
      <c r="AJ20">
        <v>8.83882E-2</v>
      </c>
      <c r="AK20">
        <v>497442</v>
      </c>
      <c r="AL20">
        <v>1.86997E-2</v>
      </c>
      <c r="AM20">
        <v>497442</v>
      </c>
      <c r="AN20">
        <v>0.1038051</v>
      </c>
      <c r="AO20">
        <v>497442</v>
      </c>
      <c r="AP20">
        <v>4.68376E-2</v>
      </c>
      <c r="AQ20">
        <v>497442</v>
      </c>
      <c r="AR20">
        <v>2.1216499999999999E-2</v>
      </c>
      <c r="AS20">
        <v>497442</v>
      </c>
      <c r="AT20">
        <v>3.66656E-2</v>
      </c>
      <c r="AU20">
        <v>497442</v>
      </c>
      <c r="AV20">
        <v>0.13241739999999999</v>
      </c>
      <c r="AW20">
        <v>497442</v>
      </c>
      <c r="AX20">
        <v>0.1512397</v>
      </c>
      <c r="AY20">
        <v>497442</v>
      </c>
      <c r="AZ20">
        <v>0.1235802</v>
      </c>
      <c r="BA20">
        <v>497442</v>
      </c>
      <c r="BB20">
        <v>9.9032599999999998E-2</v>
      </c>
      <c r="BC20">
        <v>497442</v>
      </c>
      <c r="BD20">
        <v>8.3943500000000004E-2</v>
      </c>
      <c r="BE20">
        <v>497442</v>
      </c>
      <c r="BF20">
        <v>4.59491E-2</v>
      </c>
      <c r="BG20">
        <v>497442</v>
      </c>
      <c r="BH20">
        <v>4.8224700000000002E-2</v>
      </c>
      <c r="BI20">
        <v>4230040</v>
      </c>
      <c r="BJ20">
        <v>0.49141030000000002</v>
      </c>
      <c r="BK20">
        <v>2078685</v>
      </c>
      <c r="BL20">
        <v>6.0990999999999997E-2</v>
      </c>
      <c r="BM20">
        <v>2078685</v>
      </c>
      <c r="BN20">
        <v>1.0725999999999999E-2</v>
      </c>
      <c r="BO20">
        <v>2078685</v>
      </c>
      <c r="BP20">
        <v>6.93193E-2</v>
      </c>
      <c r="BQ20">
        <v>2078685</v>
      </c>
      <c r="BR20">
        <v>3.7795500000000003E-2</v>
      </c>
      <c r="BS20">
        <v>2078685</v>
      </c>
      <c r="BT20">
        <v>1.25536E-2</v>
      </c>
      <c r="BU20">
        <v>2078685</v>
      </c>
      <c r="BV20">
        <v>2.7288900000000001E-2</v>
      </c>
      <c r="BW20">
        <v>2078685</v>
      </c>
      <c r="BX20">
        <v>8.9328599999999994E-2</v>
      </c>
      <c r="BY20">
        <v>2078685</v>
      </c>
      <c r="BZ20">
        <v>0.17330380000000001</v>
      </c>
      <c r="CA20">
        <v>2078685</v>
      </c>
      <c r="CB20">
        <v>0.14752209999999999</v>
      </c>
      <c r="CC20">
        <v>2078685</v>
      </c>
      <c r="CD20">
        <v>0.1437216</v>
      </c>
      <c r="CE20">
        <v>2078685</v>
      </c>
      <c r="CF20">
        <v>0.1161008</v>
      </c>
      <c r="CG20">
        <v>2078685</v>
      </c>
      <c r="CH20">
        <v>6.40352E-2</v>
      </c>
      <c r="CI20">
        <v>2078685</v>
      </c>
      <c r="CJ20">
        <v>4.7313599999999997E-2</v>
      </c>
      <c r="CK20">
        <v>4230040</v>
      </c>
      <c r="CL20">
        <v>0.50858970000000003</v>
      </c>
      <c r="CM20">
        <v>2151355</v>
      </c>
      <c r="CN20">
        <v>5.7703600000000001E-2</v>
      </c>
      <c r="CO20">
        <v>2151355</v>
      </c>
      <c r="CP20">
        <v>1.14974E-2</v>
      </c>
      <c r="CQ20">
        <v>2151355</v>
      </c>
      <c r="CR20">
        <v>6.6472100000000006E-2</v>
      </c>
      <c r="CS20">
        <v>2151355</v>
      </c>
      <c r="CT20">
        <v>3.3032699999999998E-2</v>
      </c>
      <c r="CU20">
        <v>2151355</v>
      </c>
      <c r="CV20">
        <v>1.07867E-2</v>
      </c>
      <c r="CW20">
        <v>2151355</v>
      </c>
      <c r="CX20">
        <v>2.4122899999999999E-2</v>
      </c>
      <c r="CY20">
        <v>2151355</v>
      </c>
      <c r="CZ20">
        <v>7.9988699999999996E-2</v>
      </c>
      <c r="DA20">
        <v>2151355</v>
      </c>
      <c r="DB20">
        <v>0.16262260000000001</v>
      </c>
      <c r="DC20">
        <v>2151355</v>
      </c>
      <c r="DD20">
        <v>0.1360296</v>
      </c>
      <c r="DE20">
        <v>2151355</v>
      </c>
      <c r="DF20">
        <v>0.14613770000000001</v>
      </c>
      <c r="DG20">
        <v>2151355</v>
      </c>
      <c r="DH20">
        <v>0.1257287</v>
      </c>
      <c r="DI20">
        <v>2151355</v>
      </c>
      <c r="DJ20">
        <v>7.45479E-2</v>
      </c>
      <c r="DK20">
        <v>2151355</v>
      </c>
      <c r="DL20">
        <v>7.1329500000000004E-2</v>
      </c>
      <c r="DM20">
        <v>3445567</v>
      </c>
      <c r="DN20">
        <v>0.13521749999999999</v>
      </c>
      <c r="DO20">
        <v>465901</v>
      </c>
      <c r="DP20">
        <v>0.41066239999999998</v>
      </c>
      <c r="DQ20">
        <v>191328</v>
      </c>
      <c r="DR20">
        <v>0.3032802</v>
      </c>
      <c r="DS20">
        <v>191328</v>
      </c>
      <c r="DT20">
        <v>0.32191320000000001</v>
      </c>
      <c r="DU20">
        <v>191328</v>
      </c>
      <c r="DV20">
        <v>0.22614570000000001</v>
      </c>
      <c r="DW20">
        <v>191328</v>
      </c>
      <c r="DX20">
        <v>0.14866090000000001</v>
      </c>
      <c r="DY20">
        <v>465901</v>
      </c>
      <c r="DZ20">
        <v>0.58933760000000002</v>
      </c>
      <c r="EA20">
        <v>274573</v>
      </c>
      <c r="EB20">
        <v>0.30120950000000002</v>
      </c>
      <c r="EC20">
        <v>274573</v>
      </c>
      <c r="ED20">
        <v>0.31961260000000002</v>
      </c>
      <c r="EE20">
        <v>274573</v>
      </c>
      <c r="EF20">
        <v>0.2526468</v>
      </c>
      <c r="EG20">
        <v>274573</v>
      </c>
      <c r="EH20">
        <v>0.126531</v>
      </c>
      <c r="EI20">
        <v>3445567</v>
      </c>
      <c r="EJ20">
        <v>0.86478250000000001</v>
      </c>
      <c r="EK20">
        <v>2979666</v>
      </c>
      <c r="EL20">
        <v>0.4827534</v>
      </c>
      <c r="EM20">
        <v>1438444</v>
      </c>
      <c r="EN20">
        <v>0.14359340000000001</v>
      </c>
      <c r="EO20">
        <v>1438444</v>
      </c>
      <c r="EP20">
        <v>0.24044109999999999</v>
      </c>
      <c r="EQ20">
        <v>1438444</v>
      </c>
      <c r="ER20">
        <v>0.25098579999999998</v>
      </c>
      <c r="ES20">
        <v>1438444</v>
      </c>
      <c r="ET20">
        <v>0.36497980000000002</v>
      </c>
      <c r="EU20">
        <v>2979666</v>
      </c>
      <c r="EV20">
        <v>0.51724650000000005</v>
      </c>
      <c r="EW20">
        <v>1541222</v>
      </c>
      <c r="EX20">
        <v>0.1218935</v>
      </c>
      <c r="EY20">
        <v>1541222</v>
      </c>
      <c r="EZ20">
        <v>0.2303646</v>
      </c>
      <c r="FA20">
        <v>1541222</v>
      </c>
      <c r="FB20">
        <v>0.25993270000000002</v>
      </c>
      <c r="FC20">
        <v>1541222</v>
      </c>
      <c r="FD20">
        <v>0.38780920000000002</v>
      </c>
      <c r="FE20">
        <v>4067278</v>
      </c>
      <c r="FF20">
        <v>0.15273610000000001</v>
      </c>
      <c r="FG20">
        <v>621220</v>
      </c>
      <c r="FH20">
        <v>0.42261680000000001</v>
      </c>
      <c r="FI20">
        <v>262538</v>
      </c>
      <c r="FJ20">
        <v>9.7239300000000001E-2</v>
      </c>
      <c r="FK20">
        <v>262538</v>
      </c>
      <c r="FL20">
        <v>0.32320270000000001</v>
      </c>
      <c r="FM20">
        <v>262538</v>
      </c>
      <c r="FN20">
        <v>0.57955800000000002</v>
      </c>
      <c r="FO20">
        <v>262538</v>
      </c>
      <c r="FP20">
        <v>0.52625140000000004</v>
      </c>
      <c r="FQ20">
        <v>262538</v>
      </c>
      <c r="FR20">
        <v>0.47374860000000002</v>
      </c>
      <c r="FS20">
        <v>138161</v>
      </c>
      <c r="FT20">
        <v>0.60379559999999999</v>
      </c>
      <c r="FU20">
        <v>138161</v>
      </c>
      <c r="FV20">
        <v>0.39620440000000001</v>
      </c>
      <c r="FW20">
        <v>621220</v>
      </c>
      <c r="FX20">
        <v>0.57738319999999999</v>
      </c>
      <c r="FY20">
        <v>358682</v>
      </c>
      <c r="FZ20">
        <v>5.7527300000000003E-2</v>
      </c>
      <c r="GA20">
        <v>358682</v>
      </c>
      <c r="GB20">
        <v>0.27616940000000001</v>
      </c>
      <c r="GC20">
        <v>358682</v>
      </c>
      <c r="GD20">
        <v>0.66630330000000004</v>
      </c>
      <c r="GE20">
        <v>358682</v>
      </c>
      <c r="GF20">
        <v>0.41910940000000002</v>
      </c>
      <c r="GG20">
        <v>358682</v>
      </c>
      <c r="GH20">
        <v>0.58089060000000003</v>
      </c>
      <c r="GI20">
        <v>150327</v>
      </c>
      <c r="GJ20">
        <v>0.58499800000000002</v>
      </c>
      <c r="GK20">
        <v>150327</v>
      </c>
      <c r="GL20">
        <v>0.41500199999999998</v>
      </c>
      <c r="GM20">
        <v>4067278</v>
      </c>
      <c r="GN20">
        <v>0.84726389999999996</v>
      </c>
      <c r="GO20">
        <v>3446058</v>
      </c>
      <c r="GP20">
        <v>0.48776170000000002</v>
      </c>
      <c r="GQ20">
        <v>1680855</v>
      </c>
      <c r="GR20">
        <v>0.52128529999999995</v>
      </c>
      <c r="GS20">
        <v>1680855</v>
      </c>
      <c r="GT20">
        <v>0.2179325</v>
      </c>
      <c r="GU20">
        <v>1680855</v>
      </c>
      <c r="GV20">
        <v>0.26078220000000002</v>
      </c>
      <c r="GW20">
        <v>1680263</v>
      </c>
      <c r="GX20">
        <v>0.75793849999999996</v>
      </c>
      <c r="GY20">
        <v>1680263</v>
      </c>
      <c r="GZ20">
        <v>0.24206150000000001</v>
      </c>
      <c r="HA20">
        <v>1273536</v>
      </c>
      <c r="HB20">
        <v>0.89610579999999995</v>
      </c>
      <c r="HC20">
        <v>1273536</v>
      </c>
      <c r="HD20">
        <v>0.10389420000000001</v>
      </c>
      <c r="HE20">
        <v>3446058</v>
      </c>
      <c r="HF20">
        <v>0.51223830000000004</v>
      </c>
      <c r="HG20">
        <v>1765203</v>
      </c>
      <c r="HH20">
        <v>0.40850829999999999</v>
      </c>
      <c r="HI20">
        <v>1765203</v>
      </c>
      <c r="HJ20">
        <v>0.24266950000000001</v>
      </c>
      <c r="HK20">
        <v>1765203</v>
      </c>
      <c r="HL20">
        <v>0.34882220000000003</v>
      </c>
      <c r="HM20">
        <v>1764918</v>
      </c>
      <c r="HN20">
        <v>0.65436519999999998</v>
      </c>
      <c r="HO20">
        <v>1764918</v>
      </c>
      <c r="HP20">
        <v>0.34563480000000002</v>
      </c>
      <c r="HQ20">
        <v>1154901</v>
      </c>
      <c r="HR20">
        <v>0.91305139999999996</v>
      </c>
      <c r="HS20">
        <v>1154901</v>
      </c>
      <c r="HT20">
        <v>8.6948600000000001E-2</v>
      </c>
      <c r="HU20">
        <v>1165989</v>
      </c>
      <c r="HV20">
        <v>0.19512450000000001</v>
      </c>
      <c r="HW20">
        <v>227513</v>
      </c>
      <c r="HX20">
        <v>0.38062879999999999</v>
      </c>
      <c r="HY20">
        <v>86598</v>
      </c>
      <c r="HZ20">
        <v>0.70211789999999996</v>
      </c>
      <c r="IA20">
        <v>86598</v>
      </c>
      <c r="IB20">
        <v>0.70211789999999996</v>
      </c>
      <c r="IC20">
        <v>86598</v>
      </c>
      <c r="ID20">
        <v>0.70211789999999996</v>
      </c>
      <c r="IE20">
        <v>86598</v>
      </c>
      <c r="IF20">
        <v>0.70211789999999996</v>
      </c>
      <c r="IG20">
        <v>86598</v>
      </c>
      <c r="IH20">
        <v>0.29788219999999999</v>
      </c>
      <c r="II20">
        <v>227513</v>
      </c>
      <c r="IJ20">
        <v>0.61937120000000001</v>
      </c>
      <c r="IK20">
        <v>140915</v>
      </c>
      <c r="IL20">
        <v>0.1743179</v>
      </c>
      <c r="IM20">
        <v>24564</v>
      </c>
      <c r="IN20">
        <v>0.72357919999999998</v>
      </c>
      <c r="IO20">
        <v>17774</v>
      </c>
      <c r="IP20">
        <v>0.24918419999999999</v>
      </c>
      <c r="IQ20">
        <v>17774</v>
      </c>
      <c r="IR20">
        <v>0.22251599999999999</v>
      </c>
      <c r="IS20">
        <v>17774</v>
      </c>
      <c r="IT20">
        <v>0.52829970000000004</v>
      </c>
      <c r="IU20">
        <v>24564</v>
      </c>
      <c r="IV20">
        <v>0.27642080000000002</v>
      </c>
      <c r="IW20">
        <v>140915</v>
      </c>
      <c r="IX20">
        <v>0.82568220000000003</v>
      </c>
      <c r="IY20">
        <v>116351</v>
      </c>
      <c r="IZ20">
        <v>0.80565699999999996</v>
      </c>
      <c r="JA20">
        <v>93739</v>
      </c>
      <c r="JB20">
        <v>0.16389119999999999</v>
      </c>
      <c r="JC20">
        <v>93739</v>
      </c>
      <c r="JD20">
        <v>0.2837346</v>
      </c>
      <c r="JE20">
        <v>93739</v>
      </c>
      <c r="JF20">
        <v>0.55237409999999998</v>
      </c>
      <c r="JG20">
        <v>116351</v>
      </c>
      <c r="JH20">
        <v>0.19434299999999999</v>
      </c>
      <c r="JI20">
        <v>1165989</v>
      </c>
      <c r="JJ20">
        <v>3.5786800000000001E-2</v>
      </c>
      <c r="JK20">
        <v>41727</v>
      </c>
      <c r="JL20">
        <v>0.50657839999999998</v>
      </c>
      <c r="JM20">
        <v>21138</v>
      </c>
      <c r="JN20">
        <v>0.65763079999999996</v>
      </c>
      <c r="JO20">
        <v>21138</v>
      </c>
      <c r="JP20">
        <v>0.65763079999999996</v>
      </c>
      <c r="JQ20">
        <v>21138</v>
      </c>
      <c r="JR20">
        <v>0.65763079999999996</v>
      </c>
      <c r="JS20">
        <v>21138</v>
      </c>
      <c r="JT20">
        <v>0.65763079999999996</v>
      </c>
      <c r="JU20">
        <v>21138</v>
      </c>
      <c r="JV20">
        <v>0.34236919999999998</v>
      </c>
      <c r="JW20">
        <v>41727</v>
      </c>
      <c r="JX20">
        <v>0.49342150000000001</v>
      </c>
      <c r="JY20">
        <v>20589</v>
      </c>
      <c r="JZ20">
        <v>0.17771629999999999</v>
      </c>
      <c r="KA20">
        <v>3659</v>
      </c>
      <c r="KB20">
        <v>0.59852419999999995</v>
      </c>
      <c r="KC20">
        <v>2190</v>
      </c>
      <c r="KD20">
        <v>0.39817350000000001</v>
      </c>
      <c r="KE20">
        <v>2190</v>
      </c>
      <c r="KF20">
        <v>0.29178080000000001</v>
      </c>
      <c r="KG20">
        <v>2190</v>
      </c>
      <c r="KH20">
        <v>0.31004569999999998</v>
      </c>
      <c r="KI20">
        <v>3659</v>
      </c>
      <c r="KJ20">
        <v>0.40147579999999999</v>
      </c>
      <c r="KK20">
        <v>20589</v>
      </c>
      <c r="KL20">
        <v>0.82228369999999995</v>
      </c>
      <c r="KM20">
        <v>16930</v>
      </c>
      <c r="KN20">
        <v>0.69314830000000005</v>
      </c>
      <c r="KO20">
        <v>11735</v>
      </c>
      <c r="KP20">
        <v>0.18551339999999999</v>
      </c>
      <c r="KQ20">
        <v>11735</v>
      </c>
      <c r="KR20">
        <v>0.18057090000000001</v>
      </c>
      <c r="KS20">
        <v>11735</v>
      </c>
      <c r="KT20">
        <v>0.63391569999999997</v>
      </c>
      <c r="KU20">
        <v>16930</v>
      </c>
      <c r="KV20">
        <v>0.30685170000000001</v>
      </c>
      <c r="KW20">
        <v>1165989</v>
      </c>
      <c r="KX20">
        <v>5.8895900000000001E-2</v>
      </c>
      <c r="KY20">
        <v>68672</v>
      </c>
      <c r="KZ20">
        <v>0.54460330000000001</v>
      </c>
      <c r="LA20">
        <v>37399</v>
      </c>
      <c r="LB20">
        <v>0.61579189999999995</v>
      </c>
      <c r="LC20">
        <v>37399</v>
      </c>
      <c r="LD20">
        <v>0.61579189999999995</v>
      </c>
      <c r="LE20">
        <v>37399</v>
      </c>
      <c r="LF20">
        <v>0.61579189999999995</v>
      </c>
      <c r="LG20">
        <v>37399</v>
      </c>
      <c r="LH20">
        <v>0.61579189999999995</v>
      </c>
      <c r="LI20">
        <v>37399</v>
      </c>
      <c r="LJ20">
        <v>0.3842081</v>
      </c>
      <c r="LK20">
        <v>68672</v>
      </c>
      <c r="LL20">
        <v>0.45539669999999999</v>
      </c>
      <c r="LM20">
        <v>31273</v>
      </c>
      <c r="LN20">
        <v>0.29172130000000002</v>
      </c>
      <c r="LO20">
        <v>9123</v>
      </c>
      <c r="LP20">
        <v>0.67225690000000005</v>
      </c>
      <c r="LQ20">
        <v>6133</v>
      </c>
      <c r="LR20">
        <v>0.23186039999999999</v>
      </c>
      <c r="LS20">
        <v>6133</v>
      </c>
      <c r="LT20">
        <v>0.26006849999999998</v>
      </c>
      <c r="LU20">
        <v>6133</v>
      </c>
      <c r="LV20">
        <v>0.5080711</v>
      </c>
      <c r="LW20">
        <v>9123</v>
      </c>
      <c r="LX20">
        <v>0.32774310000000001</v>
      </c>
      <c r="LY20">
        <v>31273</v>
      </c>
      <c r="LZ20">
        <v>0.70827870000000004</v>
      </c>
      <c r="MA20">
        <v>22150</v>
      </c>
      <c r="MB20">
        <v>0.67566590000000004</v>
      </c>
      <c r="MC20">
        <v>14966</v>
      </c>
      <c r="MD20">
        <v>0.1447949</v>
      </c>
      <c r="ME20">
        <v>14966</v>
      </c>
      <c r="MF20">
        <v>0.17947350000000001</v>
      </c>
      <c r="MG20">
        <v>14966</v>
      </c>
      <c r="MH20">
        <v>0.67573170000000005</v>
      </c>
      <c r="MI20">
        <v>22150</v>
      </c>
      <c r="MJ20">
        <v>0.32433410000000001</v>
      </c>
      <c r="MK20">
        <v>1165989</v>
      </c>
      <c r="ML20">
        <v>0.71019279999999996</v>
      </c>
      <c r="MM20">
        <v>828077</v>
      </c>
      <c r="MN20">
        <v>0.75817230000000002</v>
      </c>
      <c r="MO20">
        <v>627825</v>
      </c>
      <c r="MP20">
        <v>0.41290650000000001</v>
      </c>
      <c r="MQ20">
        <v>627825</v>
      </c>
      <c r="MR20">
        <v>0.41290650000000001</v>
      </c>
      <c r="MS20">
        <v>627825</v>
      </c>
      <c r="MT20">
        <v>0.41290650000000001</v>
      </c>
      <c r="MU20">
        <v>627825</v>
      </c>
      <c r="MV20">
        <v>0.41290650000000001</v>
      </c>
      <c r="MW20">
        <v>627825</v>
      </c>
      <c r="MX20">
        <v>0.58709350000000005</v>
      </c>
      <c r="MY20">
        <v>828077</v>
      </c>
      <c r="MZ20">
        <v>0.24182780000000001</v>
      </c>
      <c r="NA20">
        <v>200252</v>
      </c>
      <c r="NB20">
        <v>0.29335040000000001</v>
      </c>
      <c r="NC20">
        <v>58744</v>
      </c>
      <c r="ND20">
        <v>0.40547119999999998</v>
      </c>
      <c r="NE20">
        <v>23819</v>
      </c>
      <c r="NF20">
        <v>0.2448466</v>
      </c>
      <c r="NG20">
        <v>23819</v>
      </c>
      <c r="NH20">
        <v>0.11830889999999999</v>
      </c>
      <c r="NI20">
        <v>23819</v>
      </c>
      <c r="NJ20">
        <v>0.63684450000000004</v>
      </c>
      <c r="NK20">
        <v>58744</v>
      </c>
      <c r="NL20">
        <v>0.59452879999999997</v>
      </c>
      <c r="NM20">
        <v>200252</v>
      </c>
      <c r="NN20">
        <v>0.70664959999999999</v>
      </c>
      <c r="NO20">
        <v>141508</v>
      </c>
      <c r="NP20">
        <v>0.4495364</v>
      </c>
      <c r="NQ20">
        <v>63613</v>
      </c>
      <c r="NR20">
        <v>0.16652259999999999</v>
      </c>
      <c r="NS20">
        <v>63613</v>
      </c>
      <c r="NT20">
        <v>0.1154009</v>
      </c>
      <c r="NU20">
        <v>63613</v>
      </c>
      <c r="NV20">
        <v>0.71807650000000001</v>
      </c>
      <c r="NW20">
        <v>141508</v>
      </c>
      <c r="NX20">
        <v>0.55046360000000005</v>
      </c>
    </row>
    <row r="21" spans="1:388" x14ac:dyDescent="0.25">
      <c r="A21" t="s">
        <v>135</v>
      </c>
      <c r="B21">
        <v>2011</v>
      </c>
      <c r="C21">
        <v>1</v>
      </c>
      <c r="D21" t="s">
        <v>554</v>
      </c>
      <c r="E21">
        <v>70073</v>
      </c>
      <c r="F21">
        <v>0.45693780000000001</v>
      </c>
      <c r="G21">
        <v>32019</v>
      </c>
      <c r="H21">
        <v>6.9833500000000007E-2</v>
      </c>
      <c r="I21">
        <v>32019</v>
      </c>
      <c r="J21">
        <v>2.6984000000000001E-2</v>
      </c>
      <c r="K21">
        <v>32019</v>
      </c>
      <c r="L21">
        <v>0.15646959999999999</v>
      </c>
      <c r="M21">
        <v>32019</v>
      </c>
      <c r="N21">
        <v>6.8865399999999993E-2</v>
      </c>
      <c r="O21">
        <v>32019</v>
      </c>
      <c r="P21">
        <v>1.44289E-2</v>
      </c>
      <c r="Q21">
        <v>32019</v>
      </c>
      <c r="R21">
        <v>4.7534300000000002E-2</v>
      </c>
      <c r="S21">
        <v>32019</v>
      </c>
      <c r="T21">
        <v>0.14856800000000001</v>
      </c>
      <c r="U21">
        <v>32019</v>
      </c>
      <c r="V21">
        <v>0.1237703</v>
      </c>
      <c r="W21">
        <v>32019</v>
      </c>
      <c r="X21">
        <v>0.1127768</v>
      </c>
      <c r="Y21">
        <v>32019</v>
      </c>
      <c r="Z21">
        <v>8.7260699999999997E-2</v>
      </c>
      <c r="AA21">
        <v>32019</v>
      </c>
      <c r="AB21">
        <v>0.1027827</v>
      </c>
      <c r="AC21">
        <v>32019</v>
      </c>
      <c r="AD21">
        <v>2.0237999999999999E-2</v>
      </c>
      <c r="AE21">
        <v>32019</v>
      </c>
      <c r="AF21">
        <v>2.04878E-2</v>
      </c>
      <c r="AG21">
        <v>70073</v>
      </c>
      <c r="AH21">
        <v>0.54306220000000005</v>
      </c>
      <c r="AI21">
        <v>38054</v>
      </c>
      <c r="AJ21">
        <v>0.1107899</v>
      </c>
      <c r="AK21">
        <v>38054</v>
      </c>
      <c r="AL21">
        <v>3.2532699999999998E-2</v>
      </c>
      <c r="AM21">
        <v>38054</v>
      </c>
      <c r="AN21">
        <v>9.4050599999999998E-2</v>
      </c>
      <c r="AO21">
        <v>38054</v>
      </c>
      <c r="AP21">
        <v>3.5948899999999999E-2</v>
      </c>
      <c r="AQ21">
        <v>38054</v>
      </c>
      <c r="AR21">
        <v>1.88679E-2</v>
      </c>
      <c r="AS21">
        <v>38054</v>
      </c>
      <c r="AT21">
        <v>5.5053299999999999E-2</v>
      </c>
      <c r="AU21">
        <v>38054</v>
      </c>
      <c r="AV21">
        <v>0.1121827</v>
      </c>
      <c r="AW21">
        <v>38054</v>
      </c>
      <c r="AX21">
        <v>0.1437957</v>
      </c>
      <c r="AY21">
        <v>38054</v>
      </c>
      <c r="AZ21">
        <v>0.13420399999999999</v>
      </c>
      <c r="BA21">
        <v>38054</v>
      </c>
      <c r="BB21">
        <v>9.0555499999999997E-2</v>
      </c>
      <c r="BC21">
        <v>38054</v>
      </c>
      <c r="BD21">
        <v>8.0490900000000004E-2</v>
      </c>
      <c r="BE21">
        <v>38054</v>
      </c>
      <c r="BF21">
        <v>3.1507899999999998E-2</v>
      </c>
      <c r="BG21">
        <v>38054</v>
      </c>
      <c r="BH21">
        <v>6.0019999999999997E-2</v>
      </c>
      <c r="BI21">
        <v>840605</v>
      </c>
      <c r="BJ21">
        <v>0.49316270000000001</v>
      </c>
      <c r="BK21">
        <v>414555</v>
      </c>
      <c r="BL21">
        <v>6.0966600000000003E-2</v>
      </c>
      <c r="BM21">
        <v>414555</v>
      </c>
      <c r="BN21">
        <v>1.38534E-2</v>
      </c>
      <c r="BO21">
        <v>414555</v>
      </c>
      <c r="BP21">
        <v>8.2802000000000001E-2</v>
      </c>
      <c r="BQ21">
        <v>414555</v>
      </c>
      <c r="BR21">
        <v>3.9714899999999997E-2</v>
      </c>
      <c r="BS21">
        <v>414555</v>
      </c>
      <c r="BT21">
        <v>1.42273E-2</v>
      </c>
      <c r="BU21">
        <v>414555</v>
      </c>
      <c r="BV21">
        <v>3.2866600000000003E-2</v>
      </c>
      <c r="BW21">
        <v>414555</v>
      </c>
      <c r="BX21">
        <v>8.1617599999999998E-2</v>
      </c>
      <c r="BY21">
        <v>414555</v>
      </c>
      <c r="BZ21">
        <v>0.1337265</v>
      </c>
      <c r="CA21">
        <v>414555</v>
      </c>
      <c r="CB21">
        <v>0.138879</v>
      </c>
      <c r="CC21">
        <v>414555</v>
      </c>
      <c r="CD21">
        <v>0.16347890000000001</v>
      </c>
      <c r="CE21">
        <v>414555</v>
      </c>
      <c r="CF21">
        <v>0.13071369999999999</v>
      </c>
      <c r="CG21">
        <v>414555</v>
      </c>
      <c r="CH21">
        <v>6.5943000000000002E-2</v>
      </c>
      <c r="CI21">
        <v>414555</v>
      </c>
      <c r="CJ21">
        <v>4.1210499999999997E-2</v>
      </c>
      <c r="CK21">
        <v>840605</v>
      </c>
      <c r="CL21">
        <v>0.50683730000000005</v>
      </c>
      <c r="CM21">
        <v>426050</v>
      </c>
      <c r="CN21">
        <v>5.6291500000000001E-2</v>
      </c>
      <c r="CO21">
        <v>426050</v>
      </c>
      <c r="CP21">
        <v>1.0510500000000001E-2</v>
      </c>
      <c r="CQ21">
        <v>426050</v>
      </c>
      <c r="CR21">
        <v>8.1621899999999997E-2</v>
      </c>
      <c r="CS21">
        <v>426050</v>
      </c>
      <c r="CT21">
        <v>3.9279399999999999E-2</v>
      </c>
      <c r="CU21">
        <v>426050</v>
      </c>
      <c r="CV21">
        <v>1.14447E-2</v>
      </c>
      <c r="CW21">
        <v>426050</v>
      </c>
      <c r="CX21">
        <v>2.9238400000000001E-2</v>
      </c>
      <c r="CY21">
        <v>426050</v>
      </c>
      <c r="CZ21">
        <v>6.9832199999999997E-2</v>
      </c>
      <c r="DA21">
        <v>426050</v>
      </c>
      <c r="DB21">
        <v>0.12641469999999999</v>
      </c>
      <c r="DC21">
        <v>426050</v>
      </c>
      <c r="DD21">
        <v>0.13623279999999999</v>
      </c>
      <c r="DE21">
        <v>426050</v>
      </c>
      <c r="DF21">
        <v>0.17055980000000001</v>
      </c>
      <c r="DG21">
        <v>426050</v>
      </c>
      <c r="DH21">
        <v>0.13524700000000001</v>
      </c>
      <c r="DI21">
        <v>426050</v>
      </c>
      <c r="DJ21">
        <v>7.1010400000000001E-2</v>
      </c>
      <c r="DK21">
        <v>426050</v>
      </c>
      <c r="DL21">
        <v>6.23166E-2</v>
      </c>
      <c r="DM21">
        <v>613918</v>
      </c>
      <c r="DN21">
        <v>5.78807E-2</v>
      </c>
      <c r="DO21">
        <v>35534</v>
      </c>
      <c r="DP21">
        <v>0.42108960000000001</v>
      </c>
      <c r="DQ21">
        <v>14963</v>
      </c>
      <c r="DR21">
        <v>0.2162</v>
      </c>
      <c r="DS21">
        <v>14963</v>
      </c>
      <c r="DT21">
        <v>0.28383340000000001</v>
      </c>
      <c r="DU21">
        <v>14963</v>
      </c>
      <c r="DV21">
        <v>0.28804380000000002</v>
      </c>
      <c r="DW21">
        <v>14963</v>
      </c>
      <c r="DX21">
        <v>0.21192269999999999</v>
      </c>
      <c r="DY21">
        <v>35534</v>
      </c>
      <c r="DZ21">
        <v>0.57891040000000005</v>
      </c>
      <c r="EA21">
        <v>20571</v>
      </c>
      <c r="EB21">
        <v>0.22517139999999999</v>
      </c>
      <c r="EC21">
        <v>20571</v>
      </c>
      <c r="ED21">
        <v>0.27903359999999999</v>
      </c>
      <c r="EE21">
        <v>20571</v>
      </c>
      <c r="EF21">
        <v>0.2790822</v>
      </c>
      <c r="EG21">
        <v>20571</v>
      </c>
      <c r="EH21">
        <v>0.21671280000000001</v>
      </c>
      <c r="EI21">
        <v>613918</v>
      </c>
      <c r="EJ21">
        <v>0.94211929999999999</v>
      </c>
      <c r="EK21">
        <v>578384</v>
      </c>
      <c r="EL21">
        <v>0.4830528</v>
      </c>
      <c r="EM21">
        <v>279390</v>
      </c>
      <c r="EN21">
        <v>6.54497E-2</v>
      </c>
      <c r="EO21">
        <v>279390</v>
      </c>
      <c r="EP21">
        <v>0.18777340000000001</v>
      </c>
      <c r="EQ21">
        <v>279390</v>
      </c>
      <c r="ER21">
        <v>0.26093630000000001</v>
      </c>
      <c r="ES21">
        <v>279390</v>
      </c>
      <c r="ET21">
        <v>0.48584060000000001</v>
      </c>
      <c r="EU21">
        <v>578384</v>
      </c>
      <c r="EV21">
        <v>0.51694720000000005</v>
      </c>
      <c r="EW21">
        <v>298994</v>
      </c>
      <c r="EX21">
        <v>7.13091E-2</v>
      </c>
      <c r="EY21">
        <v>298994</v>
      </c>
      <c r="EZ21">
        <v>0.1986127</v>
      </c>
      <c r="FA21">
        <v>298994</v>
      </c>
      <c r="FB21">
        <v>0.27709919999999999</v>
      </c>
      <c r="FC21">
        <v>298994</v>
      </c>
      <c r="FD21">
        <v>0.45297900000000002</v>
      </c>
      <c r="FE21">
        <v>716230</v>
      </c>
      <c r="FF21">
        <v>6.7264699999999997E-2</v>
      </c>
      <c r="FG21">
        <v>48177</v>
      </c>
      <c r="FH21">
        <v>0.44091580000000002</v>
      </c>
      <c r="FI21">
        <v>21242</v>
      </c>
      <c r="FJ21">
        <v>0.14956220000000001</v>
      </c>
      <c r="FK21">
        <v>21242</v>
      </c>
      <c r="FL21">
        <v>0.38249699999999998</v>
      </c>
      <c r="FM21">
        <v>21242</v>
      </c>
      <c r="FN21">
        <v>0.46794089999999999</v>
      </c>
      <c r="FO21">
        <v>21242</v>
      </c>
      <c r="FP21">
        <v>0.5866209</v>
      </c>
      <c r="FQ21">
        <v>21242</v>
      </c>
      <c r="FR21">
        <v>0.4133792</v>
      </c>
      <c r="FS21">
        <v>12461</v>
      </c>
      <c r="FT21">
        <v>0.71695690000000001</v>
      </c>
      <c r="FU21">
        <v>12461</v>
      </c>
      <c r="FV21">
        <v>0.28304309999999999</v>
      </c>
      <c r="FW21">
        <v>48177</v>
      </c>
      <c r="FX21">
        <v>0.55908420000000003</v>
      </c>
      <c r="FY21">
        <v>26935</v>
      </c>
      <c r="FZ21">
        <v>6.8498199999999995E-2</v>
      </c>
      <c r="GA21">
        <v>26935</v>
      </c>
      <c r="GB21">
        <v>0.40701690000000001</v>
      </c>
      <c r="GC21">
        <v>26935</v>
      </c>
      <c r="GD21">
        <v>0.52448490000000003</v>
      </c>
      <c r="GE21">
        <v>26935</v>
      </c>
      <c r="GF21">
        <v>0.52069799999999999</v>
      </c>
      <c r="GG21">
        <v>26935</v>
      </c>
      <c r="GH21">
        <v>0.47930200000000001</v>
      </c>
      <c r="GI21">
        <v>14025</v>
      </c>
      <c r="GJ21">
        <v>0.68691619999999998</v>
      </c>
      <c r="GK21">
        <v>14025</v>
      </c>
      <c r="GL21">
        <v>0.31308380000000002</v>
      </c>
      <c r="GM21">
        <v>716230</v>
      </c>
      <c r="GN21">
        <v>0.93273530000000004</v>
      </c>
      <c r="GO21">
        <v>668053</v>
      </c>
      <c r="GP21">
        <v>0.48925760000000001</v>
      </c>
      <c r="GQ21">
        <v>326850</v>
      </c>
      <c r="GR21">
        <v>0.56509719999999997</v>
      </c>
      <c r="GS21">
        <v>326850</v>
      </c>
      <c r="GT21">
        <v>0.2292305</v>
      </c>
      <c r="GU21">
        <v>326850</v>
      </c>
      <c r="GV21">
        <v>0.2056723</v>
      </c>
      <c r="GW21">
        <v>326448</v>
      </c>
      <c r="GX21">
        <v>0.79850699999999997</v>
      </c>
      <c r="GY21">
        <v>326448</v>
      </c>
      <c r="GZ21">
        <v>0.20149300000000001</v>
      </c>
      <c r="HA21">
        <v>260671</v>
      </c>
      <c r="HB21">
        <v>0.91180459999999997</v>
      </c>
      <c r="HC21">
        <v>260671</v>
      </c>
      <c r="HD21">
        <v>8.8195499999999996E-2</v>
      </c>
      <c r="HE21">
        <v>668053</v>
      </c>
      <c r="HF21">
        <v>0.51074240000000004</v>
      </c>
      <c r="HG21">
        <v>341203</v>
      </c>
      <c r="HH21">
        <v>0.40080250000000001</v>
      </c>
      <c r="HI21">
        <v>341203</v>
      </c>
      <c r="HJ21">
        <v>0.282055</v>
      </c>
      <c r="HK21">
        <v>341203</v>
      </c>
      <c r="HL21">
        <v>0.3171426</v>
      </c>
      <c r="HM21">
        <v>341203</v>
      </c>
      <c r="HN21">
        <v>0.66658260000000003</v>
      </c>
      <c r="HO21">
        <v>341203</v>
      </c>
      <c r="HP21">
        <v>0.33341739999999997</v>
      </c>
      <c r="HQ21">
        <v>227440</v>
      </c>
      <c r="HR21">
        <v>0.92691699999999999</v>
      </c>
      <c r="HS21">
        <v>227440</v>
      </c>
      <c r="HT21">
        <v>7.3082999999999995E-2</v>
      </c>
      <c r="HU21">
        <v>239338</v>
      </c>
      <c r="HV21">
        <v>7.6327199999999998E-2</v>
      </c>
      <c r="HW21">
        <v>18268</v>
      </c>
      <c r="HX21">
        <v>0.57652720000000002</v>
      </c>
      <c r="HY21">
        <v>10532</v>
      </c>
      <c r="HZ21">
        <v>0.72977590000000003</v>
      </c>
      <c r="IA21">
        <v>10532</v>
      </c>
      <c r="IB21">
        <v>0.72977590000000003</v>
      </c>
      <c r="IC21">
        <v>10532</v>
      </c>
      <c r="ID21">
        <v>0.72977590000000003</v>
      </c>
      <c r="IE21">
        <v>10532</v>
      </c>
      <c r="IF21">
        <v>0.72977590000000003</v>
      </c>
      <c r="IG21">
        <v>10532</v>
      </c>
      <c r="IH21">
        <v>0.27022410000000002</v>
      </c>
      <c r="II21">
        <v>18268</v>
      </c>
      <c r="IJ21">
        <v>0.42347269999999998</v>
      </c>
      <c r="IK21">
        <v>7736</v>
      </c>
      <c r="IL21">
        <v>0.23539299999999999</v>
      </c>
      <c r="IM21">
        <v>1821</v>
      </c>
      <c r="IN21">
        <v>0.76606260000000004</v>
      </c>
      <c r="IO21">
        <v>1395</v>
      </c>
      <c r="IP21">
        <v>0.14695340000000001</v>
      </c>
      <c r="IQ21">
        <v>1395</v>
      </c>
      <c r="IR21">
        <v>0.20143369999999999</v>
      </c>
      <c r="IS21">
        <v>1395</v>
      </c>
      <c r="IT21">
        <v>0.65161290000000005</v>
      </c>
      <c r="IU21">
        <v>1821</v>
      </c>
      <c r="IV21">
        <v>0.23393739999999999</v>
      </c>
      <c r="IW21">
        <v>7736</v>
      </c>
      <c r="IX21">
        <v>0.76460700000000004</v>
      </c>
      <c r="IY21">
        <v>5915</v>
      </c>
      <c r="IZ21">
        <v>0.83956039999999998</v>
      </c>
      <c r="JA21">
        <v>4966</v>
      </c>
      <c r="JB21">
        <v>3.5843699999999999E-2</v>
      </c>
      <c r="JC21">
        <v>4966</v>
      </c>
      <c r="JD21">
        <v>0.1604913</v>
      </c>
      <c r="JE21">
        <v>4966</v>
      </c>
      <c r="JF21">
        <v>0.80366490000000002</v>
      </c>
      <c r="JG21">
        <v>5915</v>
      </c>
      <c r="JH21">
        <v>0.16043959999999999</v>
      </c>
      <c r="JI21">
        <v>239338</v>
      </c>
      <c r="JJ21">
        <v>1.5810299999999999E-2</v>
      </c>
      <c r="JK21">
        <v>3784</v>
      </c>
      <c r="JL21">
        <v>0.653277</v>
      </c>
      <c r="JM21">
        <v>2472</v>
      </c>
      <c r="JN21">
        <v>0.52508089999999996</v>
      </c>
      <c r="JO21">
        <v>2472</v>
      </c>
      <c r="JP21">
        <v>0.52508089999999996</v>
      </c>
      <c r="JQ21">
        <v>2472</v>
      </c>
      <c r="JR21">
        <v>0.52508089999999996</v>
      </c>
      <c r="JS21">
        <v>2472</v>
      </c>
      <c r="JT21">
        <v>0.52508089999999996</v>
      </c>
      <c r="JU21">
        <v>2472</v>
      </c>
      <c r="JV21">
        <v>0.47491909999999998</v>
      </c>
      <c r="JW21">
        <v>3784</v>
      </c>
      <c r="JX21">
        <v>0.346723</v>
      </c>
      <c r="JY21">
        <v>1312</v>
      </c>
      <c r="JZ21">
        <v>0.2545732</v>
      </c>
      <c r="KA21">
        <v>334</v>
      </c>
      <c r="KB21">
        <v>0.37125750000000002</v>
      </c>
      <c r="KC21">
        <v>124</v>
      </c>
      <c r="KD21">
        <v>0</v>
      </c>
      <c r="KE21">
        <v>124</v>
      </c>
      <c r="KF21">
        <v>0.55645160000000005</v>
      </c>
      <c r="KG21">
        <v>124</v>
      </c>
      <c r="KH21">
        <v>0.44354840000000001</v>
      </c>
      <c r="KI21">
        <v>334</v>
      </c>
      <c r="KJ21">
        <v>0.62874249999999998</v>
      </c>
      <c r="KK21">
        <v>1312</v>
      </c>
      <c r="KL21">
        <v>0.74542679999999995</v>
      </c>
      <c r="KM21">
        <v>978</v>
      </c>
      <c r="KN21">
        <v>0.85991819999999997</v>
      </c>
      <c r="KO21">
        <v>841</v>
      </c>
      <c r="KP21">
        <v>0.2984542</v>
      </c>
      <c r="KQ21">
        <v>841</v>
      </c>
      <c r="KR21">
        <v>6.6587400000000005E-2</v>
      </c>
      <c r="KS21">
        <v>841</v>
      </c>
      <c r="KT21">
        <v>0.63495840000000003</v>
      </c>
      <c r="KU21">
        <v>978</v>
      </c>
      <c r="KV21">
        <v>0.14008180000000001</v>
      </c>
      <c r="KW21">
        <v>239338</v>
      </c>
      <c r="KX21">
        <v>3.5606499999999999E-2</v>
      </c>
      <c r="KY21">
        <v>8522</v>
      </c>
      <c r="KZ21">
        <v>0.72436049999999996</v>
      </c>
      <c r="LA21">
        <v>6173</v>
      </c>
      <c r="LB21">
        <v>0.5870727</v>
      </c>
      <c r="LC21">
        <v>6173</v>
      </c>
      <c r="LD21">
        <v>0.5870727</v>
      </c>
      <c r="LE21">
        <v>6173</v>
      </c>
      <c r="LF21">
        <v>0.5870727</v>
      </c>
      <c r="LG21">
        <v>6173</v>
      </c>
      <c r="LH21">
        <v>0.5870727</v>
      </c>
      <c r="LI21">
        <v>6173</v>
      </c>
      <c r="LJ21">
        <v>0.4129273</v>
      </c>
      <c r="LK21">
        <v>8522</v>
      </c>
      <c r="LL21">
        <v>0.27563949999999998</v>
      </c>
      <c r="LM21">
        <v>2349</v>
      </c>
      <c r="LN21">
        <v>0.18518519999999999</v>
      </c>
      <c r="LO21">
        <v>435</v>
      </c>
      <c r="LP21">
        <v>0.42758620000000003</v>
      </c>
      <c r="LQ21">
        <v>186</v>
      </c>
      <c r="LR21">
        <v>0</v>
      </c>
      <c r="LS21">
        <v>186</v>
      </c>
      <c r="LT21">
        <v>1</v>
      </c>
      <c r="LU21">
        <v>186</v>
      </c>
      <c r="LV21">
        <v>0</v>
      </c>
      <c r="LW21">
        <v>435</v>
      </c>
      <c r="LX21">
        <v>0.57241379999999997</v>
      </c>
      <c r="LY21">
        <v>2349</v>
      </c>
      <c r="LZ21">
        <v>0.81481479999999995</v>
      </c>
      <c r="MA21">
        <v>1914</v>
      </c>
      <c r="MB21">
        <v>0.66718909999999998</v>
      </c>
      <c r="MC21">
        <v>1277</v>
      </c>
      <c r="MD21">
        <v>0.24588879999999999</v>
      </c>
      <c r="ME21">
        <v>1277</v>
      </c>
      <c r="MF21">
        <v>7.8308500000000003E-2</v>
      </c>
      <c r="MG21">
        <v>1277</v>
      </c>
      <c r="MH21">
        <v>0.67580260000000003</v>
      </c>
      <c r="MI21">
        <v>1914</v>
      </c>
      <c r="MJ21">
        <v>0.33281090000000002</v>
      </c>
      <c r="MK21">
        <v>239338</v>
      </c>
      <c r="ML21">
        <v>0.87225600000000003</v>
      </c>
      <c r="MM21">
        <v>208764</v>
      </c>
      <c r="MN21">
        <v>0.83538829999999997</v>
      </c>
      <c r="MO21">
        <v>174399</v>
      </c>
      <c r="MP21">
        <v>0.43831100000000001</v>
      </c>
      <c r="MQ21">
        <v>174399</v>
      </c>
      <c r="MR21">
        <v>0.43831100000000001</v>
      </c>
      <c r="MS21">
        <v>174399</v>
      </c>
      <c r="MT21">
        <v>0.43831100000000001</v>
      </c>
      <c r="MU21">
        <v>174399</v>
      </c>
      <c r="MV21">
        <v>0.43831100000000001</v>
      </c>
      <c r="MW21">
        <v>174399</v>
      </c>
      <c r="MX21">
        <v>0.56168899999999999</v>
      </c>
      <c r="MY21">
        <v>208764</v>
      </c>
      <c r="MZ21">
        <v>0.1646117</v>
      </c>
      <c r="NA21">
        <v>34365</v>
      </c>
      <c r="NB21">
        <v>0.30795869999999997</v>
      </c>
      <c r="NC21">
        <v>10583</v>
      </c>
      <c r="ND21">
        <v>0.46121139999999999</v>
      </c>
      <c r="NE21">
        <v>4881</v>
      </c>
      <c r="NF21">
        <v>0.25752920000000001</v>
      </c>
      <c r="NG21">
        <v>4881</v>
      </c>
      <c r="NH21">
        <v>2.8682599999999999E-2</v>
      </c>
      <c r="NI21">
        <v>4881</v>
      </c>
      <c r="NJ21">
        <v>0.71378819999999998</v>
      </c>
      <c r="NK21">
        <v>10583</v>
      </c>
      <c r="NL21">
        <v>0.53878859999999995</v>
      </c>
      <c r="NM21">
        <v>34365</v>
      </c>
      <c r="NN21">
        <v>0.69204129999999997</v>
      </c>
      <c r="NO21">
        <v>23782</v>
      </c>
      <c r="NP21">
        <v>0.48734339999999998</v>
      </c>
      <c r="NQ21">
        <v>11590</v>
      </c>
      <c r="NR21">
        <v>0.14270920000000001</v>
      </c>
      <c r="NS21">
        <v>11590</v>
      </c>
      <c r="NT21">
        <v>5.2545300000000003E-2</v>
      </c>
      <c r="NU21">
        <v>11590</v>
      </c>
      <c r="NV21">
        <v>0.8047455</v>
      </c>
      <c r="NW21">
        <v>23782</v>
      </c>
      <c r="NX21">
        <v>0.51265660000000002</v>
      </c>
    </row>
    <row r="22" spans="1:388" x14ac:dyDescent="0.25">
      <c r="A22" t="s">
        <v>134</v>
      </c>
      <c r="B22">
        <v>2011</v>
      </c>
      <c r="C22">
        <v>1</v>
      </c>
      <c r="D22" t="s">
        <v>555</v>
      </c>
      <c r="E22">
        <v>67635</v>
      </c>
      <c r="F22">
        <v>0.44985579999999997</v>
      </c>
      <c r="G22">
        <v>30426</v>
      </c>
      <c r="H22">
        <v>0.21287710000000001</v>
      </c>
      <c r="I22">
        <v>30426</v>
      </c>
      <c r="J22">
        <v>3.4608600000000003E-2</v>
      </c>
      <c r="K22">
        <v>30426</v>
      </c>
      <c r="L22">
        <v>0.15476889999999999</v>
      </c>
      <c r="M22">
        <v>30426</v>
      </c>
      <c r="N22">
        <v>8.5420399999999994E-2</v>
      </c>
      <c r="O22">
        <v>30426</v>
      </c>
      <c r="P22">
        <v>1.14047E-2</v>
      </c>
      <c r="Q22">
        <v>30426</v>
      </c>
      <c r="R22">
        <v>1.9489900000000001E-2</v>
      </c>
      <c r="S22">
        <v>30426</v>
      </c>
      <c r="T22">
        <v>7.7893900000000002E-2</v>
      </c>
      <c r="U22">
        <v>30426</v>
      </c>
      <c r="V22">
        <v>0.10517319999999999</v>
      </c>
      <c r="W22">
        <v>30426</v>
      </c>
      <c r="X22">
        <v>0.12831129999999999</v>
      </c>
      <c r="Y22">
        <v>30426</v>
      </c>
      <c r="Z22">
        <v>8.4138599999999994E-2</v>
      </c>
      <c r="AA22">
        <v>30426</v>
      </c>
      <c r="AB22">
        <v>5.37698E-2</v>
      </c>
      <c r="AC22">
        <v>30426</v>
      </c>
      <c r="AD22">
        <v>1.1010300000000001E-2</v>
      </c>
      <c r="AE22">
        <v>30426</v>
      </c>
      <c r="AF22">
        <v>2.1133200000000001E-2</v>
      </c>
      <c r="AG22">
        <v>67635</v>
      </c>
      <c r="AH22">
        <v>0.55014410000000002</v>
      </c>
      <c r="AI22">
        <v>37209</v>
      </c>
      <c r="AJ22">
        <v>0.1212879</v>
      </c>
      <c r="AK22">
        <v>37209</v>
      </c>
      <c r="AL22">
        <v>3.5932199999999997E-2</v>
      </c>
      <c r="AM22">
        <v>37209</v>
      </c>
      <c r="AN22">
        <v>0.13098979999999999</v>
      </c>
      <c r="AO22">
        <v>37209</v>
      </c>
      <c r="AP22">
        <v>5.1869199999999997E-2</v>
      </c>
      <c r="AQ22">
        <v>37209</v>
      </c>
      <c r="AR22">
        <v>1.52651E-2</v>
      </c>
      <c r="AS22">
        <v>37209</v>
      </c>
      <c r="AT22">
        <v>2.7520200000000002E-2</v>
      </c>
      <c r="AU22">
        <v>37209</v>
      </c>
      <c r="AV22">
        <v>0.1045715</v>
      </c>
      <c r="AW22">
        <v>37209</v>
      </c>
      <c r="AX22">
        <v>0.15813379999999999</v>
      </c>
      <c r="AY22">
        <v>37209</v>
      </c>
      <c r="AZ22">
        <v>0.16952890000000001</v>
      </c>
      <c r="BA22">
        <v>37209</v>
      </c>
      <c r="BB22">
        <v>5.1224199999999998E-2</v>
      </c>
      <c r="BC22">
        <v>37209</v>
      </c>
      <c r="BD22">
        <v>5.6464800000000002E-2</v>
      </c>
      <c r="BE22">
        <v>37209</v>
      </c>
      <c r="BF22">
        <v>5.29173E-2</v>
      </c>
      <c r="BG22">
        <v>37209</v>
      </c>
      <c r="BH22">
        <v>2.4295199999999999E-2</v>
      </c>
      <c r="BI22">
        <v>446596</v>
      </c>
      <c r="BJ22">
        <v>0.50586889999999995</v>
      </c>
      <c r="BK22">
        <v>225919</v>
      </c>
      <c r="BL22">
        <v>5.7449800000000002E-2</v>
      </c>
      <c r="BM22">
        <v>225919</v>
      </c>
      <c r="BN22">
        <v>1.4823899999999999E-2</v>
      </c>
      <c r="BO22">
        <v>225919</v>
      </c>
      <c r="BP22">
        <v>9.4082399999999997E-2</v>
      </c>
      <c r="BQ22">
        <v>225919</v>
      </c>
      <c r="BR22">
        <v>4.3024300000000001E-2</v>
      </c>
      <c r="BS22">
        <v>225919</v>
      </c>
      <c r="BT22">
        <v>2.26851E-2</v>
      </c>
      <c r="BU22">
        <v>225919</v>
      </c>
      <c r="BV22">
        <v>2.8970599999999999E-2</v>
      </c>
      <c r="BW22">
        <v>225919</v>
      </c>
      <c r="BX22">
        <v>9.12274E-2</v>
      </c>
      <c r="BY22">
        <v>225919</v>
      </c>
      <c r="BZ22">
        <v>0.13702259999999999</v>
      </c>
      <c r="CA22">
        <v>225919</v>
      </c>
      <c r="CB22">
        <v>0.1509346</v>
      </c>
      <c r="CC22">
        <v>225919</v>
      </c>
      <c r="CD22">
        <v>0.15024850000000001</v>
      </c>
      <c r="CE22">
        <v>225919</v>
      </c>
      <c r="CF22">
        <v>0.11387269999999999</v>
      </c>
      <c r="CG22">
        <v>225919</v>
      </c>
      <c r="CH22">
        <v>6.0959899999999997E-2</v>
      </c>
      <c r="CI22">
        <v>225919</v>
      </c>
      <c r="CJ22">
        <v>3.4698300000000001E-2</v>
      </c>
      <c r="CK22">
        <v>446596</v>
      </c>
      <c r="CL22">
        <v>0.49413109999999999</v>
      </c>
      <c r="CM22">
        <v>220677</v>
      </c>
      <c r="CN22">
        <v>6.7560300000000004E-2</v>
      </c>
      <c r="CO22">
        <v>220677</v>
      </c>
      <c r="CP22">
        <v>1.36761E-2</v>
      </c>
      <c r="CQ22">
        <v>220677</v>
      </c>
      <c r="CR22">
        <v>9.2628600000000005E-2</v>
      </c>
      <c r="CS22">
        <v>220677</v>
      </c>
      <c r="CT22">
        <v>3.9360699999999998E-2</v>
      </c>
      <c r="CU22">
        <v>220677</v>
      </c>
      <c r="CV22">
        <v>1.48679E-2</v>
      </c>
      <c r="CW22">
        <v>220677</v>
      </c>
      <c r="CX22">
        <v>3.2722000000000001E-2</v>
      </c>
      <c r="CY22">
        <v>220677</v>
      </c>
      <c r="CZ22">
        <v>7.5852900000000001E-2</v>
      </c>
      <c r="DA22">
        <v>220677</v>
      </c>
      <c r="DB22">
        <v>0.12534609999999999</v>
      </c>
      <c r="DC22">
        <v>220677</v>
      </c>
      <c r="DD22">
        <v>0.14277880000000001</v>
      </c>
      <c r="DE22">
        <v>220677</v>
      </c>
      <c r="DF22">
        <v>0.15988069999999999</v>
      </c>
      <c r="DG22">
        <v>220677</v>
      </c>
      <c r="DH22">
        <v>0.12112729999999999</v>
      </c>
      <c r="DI22">
        <v>220677</v>
      </c>
      <c r="DJ22">
        <v>6.2797699999999998E-2</v>
      </c>
      <c r="DK22">
        <v>220677</v>
      </c>
      <c r="DL22">
        <v>5.1400899999999999E-2</v>
      </c>
      <c r="DM22">
        <v>324068</v>
      </c>
      <c r="DN22">
        <v>9.6739000000000006E-2</v>
      </c>
      <c r="DO22">
        <v>31350</v>
      </c>
      <c r="DP22">
        <v>0.39164270000000001</v>
      </c>
      <c r="DQ22">
        <v>12278</v>
      </c>
      <c r="DR22">
        <v>0.47654340000000001</v>
      </c>
      <c r="DS22">
        <v>12278</v>
      </c>
      <c r="DT22">
        <v>0.26014009999999999</v>
      </c>
      <c r="DU22">
        <v>12278</v>
      </c>
      <c r="DV22">
        <v>0.1671282</v>
      </c>
      <c r="DW22">
        <v>12278</v>
      </c>
      <c r="DX22">
        <v>9.6188300000000004E-2</v>
      </c>
      <c r="DY22">
        <v>31350</v>
      </c>
      <c r="DZ22">
        <v>0.60835729999999999</v>
      </c>
      <c r="EA22">
        <v>19072</v>
      </c>
      <c r="EB22">
        <v>0.36813129999999999</v>
      </c>
      <c r="EC22">
        <v>19072</v>
      </c>
      <c r="ED22">
        <v>0.34977979999999997</v>
      </c>
      <c r="EE22">
        <v>19072</v>
      </c>
      <c r="EF22">
        <v>0.1919044</v>
      </c>
      <c r="EG22">
        <v>19072</v>
      </c>
      <c r="EH22">
        <v>9.0184600000000004E-2</v>
      </c>
      <c r="EI22">
        <v>324068</v>
      </c>
      <c r="EJ22">
        <v>0.90326110000000004</v>
      </c>
      <c r="EK22">
        <v>292718</v>
      </c>
      <c r="EL22">
        <v>0.49992140000000002</v>
      </c>
      <c r="EM22">
        <v>146336</v>
      </c>
      <c r="EN22">
        <v>0.15665319999999999</v>
      </c>
      <c r="EO22">
        <v>146336</v>
      </c>
      <c r="EP22">
        <v>0.21717139999999999</v>
      </c>
      <c r="EQ22">
        <v>146336</v>
      </c>
      <c r="ER22">
        <v>0.28164630000000002</v>
      </c>
      <c r="ES22">
        <v>146336</v>
      </c>
      <c r="ET22">
        <v>0.34452899999999997</v>
      </c>
      <c r="EU22">
        <v>292718</v>
      </c>
      <c r="EV22">
        <v>0.50007860000000004</v>
      </c>
      <c r="EW22">
        <v>146382</v>
      </c>
      <c r="EX22">
        <v>0.12877269999999999</v>
      </c>
      <c r="EY22">
        <v>146382</v>
      </c>
      <c r="EZ22">
        <v>0.23337569999999999</v>
      </c>
      <c r="FA22">
        <v>146382</v>
      </c>
      <c r="FB22">
        <v>0.29336259999999997</v>
      </c>
      <c r="FC22">
        <v>146382</v>
      </c>
      <c r="FD22">
        <v>0.34448909999999999</v>
      </c>
      <c r="FE22">
        <v>383061</v>
      </c>
      <c r="FF22">
        <v>0.1024067</v>
      </c>
      <c r="FG22">
        <v>39228</v>
      </c>
      <c r="FH22">
        <v>0.38852350000000002</v>
      </c>
      <c r="FI22">
        <v>15241</v>
      </c>
      <c r="FJ22">
        <v>0.24880260000000001</v>
      </c>
      <c r="FK22">
        <v>15241</v>
      </c>
      <c r="FL22">
        <v>0.35903160000000001</v>
      </c>
      <c r="FM22">
        <v>15241</v>
      </c>
      <c r="FN22">
        <v>0.39216590000000001</v>
      </c>
      <c r="FO22">
        <v>15241</v>
      </c>
      <c r="FP22">
        <v>0.67849879999999996</v>
      </c>
      <c r="FQ22">
        <v>15241</v>
      </c>
      <c r="FR22">
        <v>0.32150119999999999</v>
      </c>
      <c r="FS22">
        <v>10341</v>
      </c>
      <c r="FT22">
        <v>0.67440279999999997</v>
      </c>
      <c r="FU22">
        <v>10341</v>
      </c>
      <c r="FV22">
        <v>0.32559709999999997</v>
      </c>
      <c r="FW22">
        <v>39228</v>
      </c>
      <c r="FX22">
        <v>0.61147649999999998</v>
      </c>
      <c r="FY22">
        <v>23987</v>
      </c>
      <c r="FZ22">
        <v>7.3873300000000003E-2</v>
      </c>
      <c r="GA22">
        <v>23987</v>
      </c>
      <c r="GB22">
        <v>0.319965</v>
      </c>
      <c r="GC22">
        <v>23987</v>
      </c>
      <c r="GD22">
        <v>0.60616170000000003</v>
      </c>
      <c r="GE22">
        <v>23987</v>
      </c>
      <c r="GF22">
        <v>0.4382374</v>
      </c>
      <c r="GG22">
        <v>23987</v>
      </c>
      <c r="GH22">
        <v>0.5617626</v>
      </c>
      <c r="GI22">
        <v>10512</v>
      </c>
      <c r="GJ22">
        <v>0.70605019999999996</v>
      </c>
      <c r="GK22">
        <v>10512</v>
      </c>
      <c r="GL22">
        <v>0.29394979999999998</v>
      </c>
      <c r="GM22">
        <v>383061</v>
      </c>
      <c r="GN22">
        <v>0.89759330000000004</v>
      </c>
      <c r="GO22">
        <v>343833</v>
      </c>
      <c r="GP22">
        <v>0.50457920000000001</v>
      </c>
      <c r="GQ22">
        <v>173491</v>
      </c>
      <c r="GR22">
        <v>0.55151559999999999</v>
      </c>
      <c r="GS22">
        <v>173491</v>
      </c>
      <c r="GT22">
        <v>0.25609399999999999</v>
      </c>
      <c r="GU22">
        <v>173491</v>
      </c>
      <c r="GV22">
        <v>0.19239039999999999</v>
      </c>
      <c r="GW22">
        <v>173410</v>
      </c>
      <c r="GX22">
        <v>0.81322300000000003</v>
      </c>
      <c r="GY22">
        <v>173410</v>
      </c>
      <c r="GZ22">
        <v>0.186777</v>
      </c>
      <c r="HA22">
        <v>141021</v>
      </c>
      <c r="HB22">
        <v>0.90010710000000005</v>
      </c>
      <c r="HC22">
        <v>141021</v>
      </c>
      <c r="HD22">
        <v>9.9892900000000007E-2</v>
      </c>
      <c r="HE22">
        <v>343833</v>
      </c>
      <c r="HF22">
        <v>0.49542079999999999</v>
      </c>
      <c r="HG22">
        <v>170342</v>
      </c>
      <c r="HH22">
        <v>0.41912149999999998</v>
      </c>
      <c r="HI22">
        <v>170342</v>
      </c>
      <c r="HJ22">
        <v>0.25598500000000002</v>
      </c>
      <c r="HK22">
        <v>170342</v>
      </c>
      <c r="HL22">
        <v>0.3248934</v>
      </c>
      <c r="HM22">
        <v>170342</v>
      </c>
      <c r="HN22">
        <v>0.65655569999999996</v>
      </c>
      <c r="HO22">
        <v>170342</v>
      </c>
      <c r="HP22">
        <v>0.34344439999999998</v>
      </c>
      <c r="HQ22">
        <v>111839</v>
      </c>
      <c r="HR22">
        <v>0.94608320000000001</v>
      </c>
      <c r="HS22">
        <v>111839</v>
      </c>
      <c r="HT22">
        <v>5.3916800000000001E-2</v>
      </c>
      <c r="HU22">
        <v>126905</v>
      </c>
      <c r="HV22">
        <v>0.1361018</v>
      </c>
      <c r="HW22">
        <v>17272</v>
      </c>
      <c r="HX22">
        <v>0.4582561</v>
      </c>
      <c r="HY22">
        <v>7915</v>
      </c>
      <c r="HZ22">
        <v>0.79393550000000002</v>
      </c>
      <c r="IA22">
        <v>7915</v>
      </c>
      <c r="IB22">
        <v>0.79393550000000002</v>
      </c>
      <c r="IC22">
        <v>7915</v>
      </c>
      <c r="ID22">
        <v>0.79393550000000002</v>
      </c>
      <c r="IE22">
        <v>7915</v>
      </c>
      <c r="IF22">
        <v>0.79393550000000002</v>
      </c>
      <c r="IG22">
        <v>7915</v>
      </c>
      <c r="IH22">
        <v>0.20606440000000001</v>
      </c>
      <c r="II22">
        <v>17272</v>
      </c>
      <c r="IJ22">
        <v>0.54174389999999994</v>
      </c>
      <c r="IK22">
        <v>9357</v>
      </c>
      <c r="IL22">
        <v>0.1487656</v>
      </c>
      <c r="IM22">
        <v>1392</v>
      </c>
      <c r="IN22">
        <v>0.88433910000000004</v>
      </c>
      <c r="IO22">
        <v>1231</v>
      </c>
      <c r="IP22">
        <v>0.1088546</v>
      </c>
      <c r="IQ22">
        <v>1231</v>
      </c>
      <c r="IR22">
        <v>0.18196590000000001</v>
      </c>
      <c r="IS22">
        <v>1231</v>
      </c>
      <c r="IT22">
        <v>0.70917949999999996</v>
      </c>
      <c r="IU22">
        <v>1392</v>
      </c>
      <c r="IV22">
        <v>0.1156609</v>
      </c>
      <c r="IW22">
        <v>9357</v>
      </c>
      <c r="IX22">
        <v>0.85123439999999995</v>
      </c>
      <c r="IY22">
        <v>7965</v>
      </c>
      <c r="IZ22">
        <v>0.94048960000000004</v>
      </c>
      <c r="JA22">
        <v>7491</v>
      </c>
      <c r="JB22">
        <v>0.1895608</v>
      </c>
      <c r="JC22">
        <v>7491</v>
      </c>
      <c r="JD22">
        <v>0.42464289999999999</v>
      </c>
      <c r="JE22">
        <v>7491</v>
      </c>
      <c r="JF22">
        <v>0.38579629999999998</v>
      </c>
      <c r="JG22">
        <v>7965</v>
      </c>
      <c r="JH22">
        <v>5.9510399999999998E-2</v>
      </c>
      <c r="JI22">
        <v>126905</v>
      </c>
      <c r="JJ22">
        <v>2.5396999999999999E-2</v>
      </c>
      <c r="JK22">
        <v>3223</v>
      </c>
      <c r="JL22">
        <v>0.52963079999999996</v>
      </c>
      <c r="JM22">
        <v>1707</v>
      </c>
      <c r="JN22">
        <v>0.83304040000000001</v>
      </c>
      <c r="JO22">
        <v>1707</v>
      </c>
      <c r="JP22">
        <v>0.83304040000000001</v>
      </c>
      <c r="JQ22">
        <v>1707</v>
      </c>
      <c r="JR22">
        <v>0.83304040000000001</v>
      </c>
      <c r="JS22">
        <v>1707</v>
      </c>
      <c r="JT22">
        <v>0.83304040000000001</v>
      </c>
      <c r="JU22">
        <v>1707</v>
      </c>
      <c r="JV22">
        <v>0.16695960000000001</v>
      </c>
      <c r="JW22">
        <v>3223</v>
      </c>
      <c r="JX22">
        <v>0.47036919999999999</v>
      </c>
      <c r="JY22">
        <v>1516</v>
      </c>
      <c r="JZ22">
        <v>0.366095</v>
      </c>
      <c r="KA22">
        <v>555</v>
      </c>
      <c r="KB22">
        <v>1</v>
      </c>
      <c r="KC22">
        <v>555</v>
      </c>
      <c r="KD22">
        <v>0.23243240000000001</v>
      </c>
      <c r="KE22">
        <v>555</v>
      </c>
      <c r="KF22">
        <v>0.42162159999999999</v>
      </c>
      <c r="KG22">
        <v>555</v>
      </c>
      <c r="KH22">
        <v>0.34594599999999998</v>
      </c>
      <c r="KI22">
        <v>555</v>
      </c>
      <c r="KJ22">
        <v>0</v>
      </c>
      <c r="KK22">
        <v>1516</v>
      </c>
      <c r="KL22">
        <v>0.63390500000000005</v>
      </c>
      <c r="KM22">
        <v>961</v>
      </c>
      <c r="KN22">
        <v>0.90010400000000002</v>
      </c>
      <c r="KO22">
        <v>865</v>
      </c>
      <c r="KP22">
        <v>0.37919069999999999</v>
      </c>
      <c r="KQ22">
        <v>865</v>
      </c>
      <c r="KR22">
        <v>0.18381500000000001</v>
      </c>
      <c r="KS22">
        <v>865</v>
      </c>
      <c r="KT22">
        <v>0.4369942</v>
      </c>
      <c r="KU22">
        <v>961</v>
      </c>
      <c r="KV22">
        <v>9.9895899999999996E-2</v>
      </c>
      <c r="KW22">
        <v>126905</v>
      </c>
      <c r="KX22">
        <v>5.3394299999999999E-2</v>
      </c>
      <c r="KY22">
        <v>6776</v>
      </c>
      <c r="KZ22">
        <v>0.67340610000000001</v>
      </c>
      <c r="LA22">
        <v>4563</v>
      </c>
      <c r="LB22">
        <v>0.70633360000000001</v>
      </c>
      <c r="LC22">
        <v>4563</v>
      </c>
      <c r="LD22">
        <v>0.70633360000000001</v>
      </c>
      <c r="LE22">
        <v>4563</v>
      </c>
      <c r="LF22">
        <v>0.70633360000000001</v>
      </c>
      <c r="LG22">
        <v>4563</v>
      </c>
      <c r="LH22">
        <v>0.70633360000000001</v>
      </c>
      <c r="LI22">
        <v>4563</v>
      </c>
      <c r="LJ22">
        <v>0.2936665</v>
      </c>
      <c r="LK22">
        <v>6776</v>
      </c>
      <c r="LL22">
        <v>0.32659379999999999</v>
      </c>
      <c r="LM22">
        <v>2213</v>
      </c>
      <c r="LN22">
        <v>0.3854496</v>
      </c>
      <c r="LO22">
        <v>853</v>
      </c>
      <c r="LP22">
        <v>0.60609610000000003</v>
      </c>
      <c r="LQ22">
        <v>517</v>
      </c>
      <c r="LR22">
        <v>0.69439070000000003</v>
      </c>
      <c r="LS22">
        <v>517</v>
      </c>
      <c r="LT22">
        <v>0</v>
      </c>
      <c r="LU22">
        <v>517</v>
      </c>
      <c r="LV22">
        <v>0.30560929999999997</v>
      </c>
      <c r="LW22">
        <v>853</v>
      </c>
      <c r="LX22">
        <v>0.39390389999999997</v>
      </c>
      <c r="LY22">
        <v>2213</v>
      </c>
      <c r="LZ22">
        <v>0.61455040000000005</v>
      </c>
      <c r="MA22">
        <v>1360</v>
      </c>
      <c r="MB22">
        <v>0.85367649999999995</v>
      </c>
      <c r="MC22">
        <v>1161</v>
      </c>
      <c r="MD22">
        <v>0.52799309999999999</v>
      </c>
      <c r="ME22">
        <v>1161</v>
      </c>
      <c r="MF22">
        <v>0.15848409999999999</v>
      </c>
      <c r="MG22">
        <v>1161</v>
      </c>
      <c r="MH22">
        <v>0.31352279999999999</v>
      </c>
      <c r="MI22">
        <v>1360</v>
      </c>
      <c r="MJ22">
        <v>0.1463235</v>
      </c>
      <c r="MK22">
        <v>126905</v>
      </c>
      <c r="ML22">
        <v>0.785107</v>
      </c>
      <c r="MM22">
        <v>99634</v>
      </c>
      <c r="MN22">
        <v>0.84057649999999995</v>
      </c>
      <c r="MO22">
        <v>83750</v>
      </c>
      <c r="MP22">
        <v>0.46298509999999998</v>
      </c>
      <c r="MQ22">
        <v>83750</v>
      </c>
      <c r="MR22">
        <v>0.46298509999999998</v>
      </c>
      <c r="MS22">
        <v>83750</v>
      </c>
      <c r="MT22">
        <v>0.46298509999999998</v>
      </c>
      <c r="MU22">
        <v>83750</v>
      </c>
      <c r="MV22">
        <v>0.46298509999999998</v>
      </c>
      <c r="MW22">
        <v>83750</v>
      </c>
      <c r="MX22">
        <v>0.53701489999999996</v>
      </c>
      <c r="MY22">
        <v>99634</v>
      </c>
      <c r="MZ22">
        <v>0.1594235</v>
      </c>
      <c r="NA22">
        <v>15884</v>
      </c>
      <c r="NB22">
        <v>0.36275499999999999</v>
      </c>
      <c r="NC22">
        <v>5762</v>
      </c>
      <c r="ND22">
        <v>0.4076709</v>
      </c>
      <c r="NE22">
        <v>2349</v>
      </c>
      <c r="NF22">
        <v>0.25755640000000002</v>
      </c>
      <c r="NG22">
        <v>2349</v>
      </c>
      <c r="NH22">
        <v>0.2043423</v>
      </c>
      <c r="NI22">
        <v>2349</v>
      </c>
      <c r="NJ22">
        <v>0.5381013</v>
      </c>
      <c r="NK22">
        <v>5762</v>
      </c>
      <c r="NL22">
        <v>0.59232899999999999</v>
      </c>
      <c r="NM22">
        <v>15884</v>
      </c>
      <c r="NN22">
        <v>0.63724499999999995</v>
      </c>
      <c r="NO22">
        <v>10122</v>
      </c>
      <c r="NP22">
        <v>0.46887970000000001</v>
      </c>
      <c r="NQ22">
        <v>4746</v>
      </c>
      <c r="NR22">
        <v>0.10851239999999999</v>
      </c>
      <c r="NS22">
        <v>4746</v>
      </c>
      <c r="NT22">
        <v>6.5107499999999999E-2</v>
      </c>
      <c r="NU22">
        <v>4746</v>
      </c>
      <c r="NV22">
        <v>0.82638009999999995</v>
      </c>
      <c r="NW22">
        <v>10122</v>
      </c>
      <c r="NX22">
        <v>0.53112040000000005</v>
      </c>
    </row>
    <row r="23" spans="1:388" x14ac:dyDescent="0.25">
      <c r="A23" t="s">
        <v>133</v>
      </c>
      <c r="B23">
        <v>2011</v>
      </c>
      <c r="C23">
        <v>1</v>
      </c>
      <c r="D23" t="s">
        <v>556</v>
      </c>
      <c r="E23">
        <v>78190</v>
      </c>
      <c r="F23">
        <v>0.47266910000000001</v>
      </c>
      <c r="G23">
        <v>36958</v>
      </c>
      <c r="H23">
        <v>0.15090100000000001</v>
      </c>
      <c r="I23">
        <v>36958</v>
      </c>
      <c r="J23">
        <v>2.2024999999999999E-2</v>
      </c>
      <c r="K23">
        <v>36958</v>
      </c>
      <c r="L23">
        <v>0.1589372</v>
      </c>
      <c r="M23">
        <v>36958</v>
      </c>
      <c r="N23">
        <v>8.2255499999999995E-2</v>
      </c>
      <c r="O23">
        <v>36958</v>
      </c>
      <c r="P23">
        <v>8.9832000000000002E-3</v>
      </c>
      <c r="Q23">
        <v>36958</v>
      </c>
      <c r="R23">
        <v>4.6728699999999998E-2</v>
      </c>
      <c r="S23">
        <v>36958</v>
      </c>
      <c r="T23">
        <v>0.1084745</v>
      </c>
      <c r="U23">
        <v>36958</v>
      </c>
      <c r="V23">
        <v>0.12148929999999999</v>
      </c>
      <c r="W23">
        <v>36958</v>
      </c>
      <c r="X23">
        <v>0.1111803</v>
      </c>
      <c r="Y23">
        <v>36958</v>
      </c>
      <c r="Z23">
        <v>9.14822E-2</v>
      </c>
      <c r="AA23">
        <v>36958</v>
      </c>
      <c r="AB23">
        <v>7.1730100000000005E-2</v>
      </c>
      <c r="AC23">
        <v>36958</v>
      </c>
      <c r="AD23">
        <v>1.02819E-2</v>
      </c>
      <c r="AE23">
        <v>36958</v>
      </c>
      <c r="AF23">
        <v>1.5531100000000001E-2</v>
      </c>
      <c r="AG23">
        <v>78190</v>
      </c>
      <c r="AH23">
        <v>0.52733090000000005</v>
      </c>
      <c r="AI23">
        <v>41232</v>
      </c>
      <c r="AJ23">
        <v>0.1180636</v>
      </c>
      <c r="AK23">
        <v>41232</v>
      </c>
      <c r="AL23">
        <v>1.21023E-2</v>
      </c>
      <c r="AM23">
        <v>41232</v>
      </c>
      <c r="AN23">
        <v>0.1225504</v>
      </c>
      <c r="AO23">
        <v>41232</v>
      </c>
      <c r="AP23">
        <v>7.4456700000000001E-2</v>
      </c>
      <c r="AQ23">
        <v>41232</v>
      </c>
      <c r="AR23">
        <v>1.2005200000000001E-2</v>
      </c>
      <c r="AS23">
        <v>41232</v>
      </c>
      <c r="AT23">
        <v>3.65493E-2</v>
      </c>
      <c r="AU23">
        <v>41232</v>
      </c>
      <c r="AV23">
        <v>9.1482300000000003E-2</v>
      </c>
      <c r="AW23">
        <v>41232</v>
      </c>
      <c r="AX23">
        <v>0.17896290000000001</v>
      </c>
      <c r="AY23">
        <v>41232</v>
      </c>
      <c r="AZ23">
        <v>0.1048943</v>
      </c>
      <c r="BA23">
        <v>41232</v>
      </c>
      <c r="BB23">
        <v>9.9558599999999997E-2</v>
      </c>
      <c r="BC23">
        <v>41232</v>
      </c>
      <c r="BD23">
        <v>8.4497500000000003E-2</v>
      </c>
      <c r="BE23">
        <v>41232</v>
      </c>
      <c r="BF23">
        <v>3.4390799999999999E-2</v>
      </c>
      <c r="BG23">
        <v>41232</v>
      </c>
      <c r="BH23">
        <v>3.0485999999999999E-2</v>
      </c>
      <c r="BI23">
        <v>609307</v>
      </c>
      <c r="BJ23">
        <v>0.49687100000000001</v>
      </c>
      <c r="BK23">
        <v>302747</v>
      </c>
      <c r="BL23">
        <v>5.8719E-2</v>
      </c>
      <c r="BM23">
        <v>302747</v>
      </c>
      <c r="BN23">
        <v>1.3288299999999999E-2</v>
      </c>
      <c r="BO23">
        <v>302747</v>
      </c>
      <c r="BP23">
        <v>9.3464199999999997E-2</v>
      </c>
      <c r="BQ23">
        <v>302747</v>
      </c>
      <c r="BR23">
        <v>4.4951699999999997E-2</v>
      </c>
      <c r="BS23">
        <v>302747</v>
      </c>
      <c r="BT23">
        <v>1.7612099999999999E-2</v>
      </c>
      <c r="BU23">
        <v>302747</v>
      </c>
      <c r="BV23">
        <v>3.4573399999999997E-2</v>
      </c>
      <c r="BW23">
        <v>302747</v>
      </c>
      <c r="BX23">
        <v>7.9336900000000002E-2</v>
      </c>
      <c r="BY23">
        <v>302747</v>
      </c>
      <c r="BZ23">
        <v>0.1122191</v>
      </c>
      <c r="CA23">
        <v>302747</v>
      </c>
      <c r="CB23">
        <v>0.1419106</v>
      </c>
      <c r="CC23">
        <v>302747</v>
      </c>
      <c r="CD23">
        <v>0.1730323</v>
      </c>
      <c r="CE23">
        <v>302747</v>
      </c>
      <c r="CF23">
        <v>0.12644549999999999</v>
      </c>
      <c r="CG23">
        <v>302747</v>
      </c>
      <c r="CH23">
        <v>6.54111E-2</v>
      </c>
      <c r="CI23">
        <v>302747</v>
      </c>
      <c r="CJ23">
        <v>3.9035899999999998E-2</v>
      </c>
      <c r="CK23">
        <v>609307</v>
      </c>
      <c r="CL23">
        <v>0.50312889999999999</v>
      </c>
      <c r="CM23">
        <v>306560</v>
      </c>
      <c r="CN23">
        <v>5.7137300000000002E-2</v>
      </c>
      <c r="CO23">
        <v>306560</v>
      </c>
      <c r="CP23">
        <v>1.3628700000000001E-2</v>
      </c>
      <c r="CQ23">
        <v>306560</v>
      </c>
      <c r="CR23">
        <v>8.19579E-2</v>
      </c>
      <c r="CS23">
        <v>306560</v>
      </c>
      <c r="CT23">
        <v>4.7693800000000001E-2</v>
      </c>
      <c r="CU23">
        <v>306560</v>
      </c>
      <c r="CV23">
        <v>1.37526E-2</v>
      </c>
      <c r="CW23">
        <v>306560</v>
      </c>
      <c r="CX23">
        <v>3.4720800000000003E-2</v>
      </c>
      <c r="CY23">
        <v>306560</v>
      </c>
      <c r="CZ23">
        <v>7.4288900000000005E-2</v>
      </c>
      <c r="DA23">
        <v>306560</v>
      </c>
      <c r="DB23">
        <v>0.10469729999999999</v>
      </c>
      <c r="DC23">
        <v>306560</v>
      </c>
      <c r="DD23">
        <v>0.14744260000000001</v>
      </c>
      <c r="DE23">
        <v>306560</v>
      </c>
      <c r="DF23">
        <v>0.1742987</v>
      </c>
      <c r="DG23">
        <v>306560</v>
      </c>
      <c r="DH23">
        <v>0.1262363</v>
      </c>
      <c r="DI23">
        <v>306560</v>
      </c>
      <c r="DJ23">
        <v>6.70766E-2</v>
      </c>
      <c r="DK23">
        <v>306560</v>
      </c>
      <c r="DL23">
        <v>5.7068800000000003E-2</v>
      </c>
      <c r="DM23">
        <v>444263</v>
      </c>
      <c r="DN23">
        <v>8.4528800000000001E-2</v>
      </c>
      <c r="DO23">
        <v>37553</v>
      </c>
      <c r="DP23">
        <v>0.41501349999999998</v>
      </c>
      <c r="DQ23">
        <v>15585</v>
      </c>
      <c r="DR23">
        <v>0.32101380000000002</v>
      </c>
      <c r="DS23">
        <v>15585</v>
      </c>
      <c r="DT23">
        <v>0.3252486</v>
      </c>
      <c r="DU23">
        <v>15585</v>
      </c>
      <c r="DV23">
        <v>0.2146295</v>
      </c>
      <c r="DW23">
        <v>15585</v>
      </c>
      <c r="DX23">
        <v>0.13910810000000001</v>
      </c>
      <c r="DY23">
        <v>37553</v>
      </c>
      <c r="DZ23">
        <v>0.58498660000000002</v>
      </c>
      <c r="EA23">
        <v>21968</v>
      </c>
      <c r="EB23">
        <v>0.28318460000000001</v>
      </c>
      <c r="EC23">
        <v>21968</v>
      </c>
      <c r="ED23">
        <v>0.2876457</v>
      </c>
      <c r="EE23">
        <v>21968</v>
      </c>
      <c r="EF23">
        <v>0.27216859999999998</v>
      </c>
      <c r="EG23">
        <v>21968</v>
      </c>
      <c r="EH23">
        <v>0.1570011</v>
      </c>
      <c r="EI23">
        <v>444263</v>
      </c>
      <c r="EJ23">
        <v>0.91547129999999999</v>
      </c>
      <c r="EK23">
        <v>406710</v>
      </c>
      <c r="EL23">
        <v>0.48984290000000003</v>
      </c>
      <c r="EM23">
        <v>199224</v>
      </c>
      <c r="EN23">
        <v>0.1077079</v>
      </c>
      <c r="EO23">
        <v>199224</v>
      </c>
      <c r="EP23">
        <v>0.20561280000000001</v>
      </c>
      <c r="EQ23">
        <v>199224</v>
      </c>
      <c r="ER23">
        <v>0.2257961</v>
      </c>
      <c r="ES23">
        <v>199224</v>
      </c>
      <c r="ET23">
        <v>0.46088319999999999</v>
      </c>
      <c r="EU23">
        <v>406710</v>
      </c>
      <c r="EV23">
        <v>0.51015710000000003</v>
      </c>
      <c r="EW23">
        <v>207486</v>
      </c>
      <c r="EX23">
        <v>8.4800899999999999E-2</v>
      </c>
      <c r="EY23">
        <v>207486</v>
      </c>
      <c r="EZ23">
        <v>0.20768629999999999</v>
      </c>
      <c r="FA23">
        <v>207486</v>
      </c>
      <c r="FB23">
        <v>0.26843260000000002</v>
      </c>
      <c r="FC23">
        <v>207486</v>
      </c>
      <c r="FD23">
        <v>0.43908019999999998</v>
      </c>
      <c r="FE23">
        <v>523182</v>
      </c>
      <c r="FF23">
        <v>9.2831899999999995E-2</v>
      </c>
      <c r="FG23">
        <v>48568</v>
      </c>
      <c r="FH23">
        <v>0.43899270000000001</v>
      </c>
      <c r="FI23">
        <v>21321</v>
      </c>
      <c r="FJ23">
        <v>0.16898830000000001</v>
      </c>
      <c r="FK23">
        <v>21321</v>
      </c>
      <c r="FL23">
        <v>0.36719659999999998</v>
      </c>
      <c r="FM23">
        <v>21321</v>
      </c>
      <c r="FN23">
        <v>0.46381499999999998</v>
      </c>
      <c r="FO23">
        <v>21276</v>
      </c>
      <c r="FP23">
        <v>0.61924230000000002</v>
      </c>
      <c r="FQ23">
        <v>21276</v>
      </c>
      <c r="FR23">
        <v>0.38075769999999998</v>
      </c>
      <c r="FS23">
        <v>13175</v>
      </c>
      <c r="FT23">
        <v>0.65814039999999996</v>
      </c>
      <c r="FU23">
        <v>13175</v>
      </c>
      <c r="FV23">
        <v>0.34185959999999999</v>
      </c>
      <c r="FW23">
        <v>48568</v>
      </c>
      <c r="FX23">
        <v>0.56100729999999999</v>
      </c>
      <c r="FY23">
        <v>27247</v>
      </c>
      <c r="FZ23">
        <v>6.2502299999999997E-2</v>
      </c>
      <c r="GA23">
        <v>27247</v>
      </c>
      <c r="GB23">
        <v>0.3496532</v>
      </c>
      <c r="GC23">
        <v>27247</v>
      </c>
      <c r="GD23">
        <v>0.58784460000000005</v>
      </c>
      <c r="GE23">
        <v>27247</v>
      </c>
      <c r="GF23">
        <v>0.47873159999999998</v>
      </c>
      <c r="GG23">
        <v>27247</v>
      </c>
      <c r="GH23">
        <v>0.52126839999999997</v>
      </c>
      <c r="GI23">
        <v>13044</v>
      </c>
      <c r="GJ23">
        <v>0.64995400000000003</v>
      </c>
      <c r="GK23">
        <v>13044</v>
      </c>
      <c r="GL23">
        <v>0.35004600000000002</v>
      </c>
      <c r="GM23">
        <v>523182</v>
      </c>
      <c r="GN23">
        <v>0.90716799999999997</v>
      </c>
      <c r="GO23">
        <v>474614</v>
      </c>
      <c r="GP23">
        <v>0.4924212</v>
      </c>
      <c r="GQ23">
        <v>233710</v>
      </c>
      <c r="GR23">
        <v>0.56274440000000003</v>
      </c>
      <c r="GS23">
        <v>233710</v>
      </c>
      <c r="GT23">
        <v>0.233456</v>
      </c>
      <c r="GU23">
        <v>233710</v>
      </c>
      <c r="GV23">
        <v>0.2037996</v>
      </c>
      <c r="GW23">
        <v>232318</v>
      </c>
      <c r="GX23">
        <v>0.79592629999999998</v>
      </c>
      <c r="GY23">
        <v>232318</v>
      </c>
      <c r="GZ23">
        <v>0.2040737</v>
      </c>
      <c r="HA23">
        <v>184908</v>
      </c>
      <c r="HB23">
        <v>0.90458499999999997</v>
      </c>
      <c r="HC23">
        <v>184908</v>
      </c>
      <c r="HD23">
        <v>9.5415E-2</v>
      </c>
      <c r="HE23">
        <v>474614</v>
      </c>
      <c r="HF23">
        <v>0.5075788</v>
      </c>
      <c r="HG23">
        <v>240904</v>
      </c>
      <c r="HH23">
        <v>0.37832080000000001</v>
      </c>
      <c r="HI23">
        <v>240904</v>
      </c>
      <c r="HJ23">
        <v>0.28537089999999998</v>
      </c>
      <c r="HK23">
        <v>240904</v>
      </c>
      <c r="HL23">
        <v>0.3363082</v>
      </c>
      <c r="HM23">
        <v>240904</v>
      </c>
      <c r="HN23">
        <v>0.64715400000000001</v>
      </c>
      <c r="HO23">
        <v>240904</v>
      </c>
      <c r="HP23">
        <v>0.35284589999999999</v>
      </c>
      <c r="HQ23">
        <v>155902</v>
      </c>
      <c r="HR23">
        <v>0.92383680000000001</v>
      </c>
      <c r="HS23">
        <v>155902</v>
      </c>
      <c r="HT23">
        <v>7.61632E-2</v>
      </c>
      <c r="HU23">
        <v>180305</v>
      </c>
      <c r="HV23">
        <v>0.11919250000000001</v>
      </c>
      <c r="HW23">
        <v>21491</v>
      </c>
      <c r="HX23">
        <v>0.43450749999999999</v>
      </c>
      <c r="HY23">
        <v>9338</v>
      </c>
      <c r="HZ23">
        <v>0.79256800000000005</v>
      </c>
      <c r="IA23">
        <v>9338</v>
      </c>
      <c r="IB23">
        <v>0.79256800000000005</v>
      </c>
      <c r="IC23">
        <v>9338</v>
      </c>
      <c r="ID23">
        <v>0.79256800000000005</v>
      </c>
      <c r="IE23">
        <v>9338</v>
      </c>
      <c r="IF23">
        <v>0.79256800000000005</v>
      </c>
      <c r="IG23">
        <v>9338</v>
      </c>
      <c r="IH23">
        <v>0.20743200000000001</v>
      </c>
      <c r="II23">
        <v>21491</v>
      </c>
      <c r="IJ23">
        <v>0.56549249999999995</v>
      </c>
      <c r="IK23">
        <v>12153</v>
      </c>
      <c r="IL23">
        <v>0.19484899999999999</v>
      </c>
      <c r="IM23">
        <v>2368</v>
      </c>
      <c r="IN23">
        <v>0.76182430000000001</v>
      </c>
      <c r="IO23">
        <v>1804</v>
      </c>
      <c r="IP23">
        <v>0.2050998</v>
      </c>
      <c r="IQ23">
        <v>1804</v>
      </c>
      <c r="IR23">
        <v>0.24168510000000001</v>
      </c>
      <c r="IS23">
        <v>1804</v>
      </c>
      <c r="IT23">
        <v>0.55321509999999996</v>
      </c>
      <c r="IU23">
        <v>2368</v>
      </c>
      <c r="IV23">
        <v>0.23817569999999999</v>
      </c>
      <c r="IW23">
        <v>12153</v>
      </c>
      <c r="IX23">
        <v>0.80515099999999995</v>
      </c>
      <c r="IY23">
        <v>9785</v>
      </c>
      <c r="IZ23">
        <v>0.85487990000000003</v>
      </c>
      <c r="JA23">
        <v>8365</v>
      </c>
      <c r="JB23">
        <v>0.1507472</v>
      </c>
      <c r="JC23">
        <v>8365</v>
      </c>
      <c r="JD23">
        <v>0.25128509999999998</v>
      </c>
      <c r="JE23">
        <v>8365</v>
      </c>
      <c r="JF23">
        <v>0.59796769999999999</v>
      </c>
      <c r="JG23">
        <v>9785</v>
      </c>
      <c r="JH23">
        <v>0.1451201</v>
      </c>
      <c r="JI23">
        <v>180305</v>
      </c>
      <c r="JJ23">
        <v>1.85519E-2</v>
      </c>
      <c r="JK23">
        <v>3345</v>
      </c>
      <c r="JL23">
        <v>0.57578470000000004</v>
      </c>
      <c r="JM23">
        <v>1926</v>
      </c>
      <c r="JN23">
        <v>0.76220140000000003</v>
      </c>
      <c r="JO23">
        <v>1926</v>
      </c>
      <c r="JP23">
        <v>0.76220140000000003</v>
      </c>
      <c r="JQ23">
        <v>1926</v>
      </c>
      <c r="JR23">
        <v>0.76220140000000003</v>
      </c>
      <c r="JS23">
        <v>1926</v>
      </c>
      <c r="JT23">
        <v>0.76220140000000003</v>
      </c>
      <c r="JU23">
        <v>1926</v>
      </c>
      <c r="JV23">
        <v>0.2377985</v>
      </c>
      <c r="JW23">
        <v>3345</v>
      </c>
      <c r="JX23">
        <v>0.42421530000000002</v>
      </c>
      <c r="JY23">
        <v>1419</v>
      </c>
      <c r="JZ23">
        <v>0.31430580000000002</v>
      </c>
      <c r="KA23">
        <v>446</v>
      </c>
      <c r="KB23">
        <v>0.64798210000000001</v>
      </c>
      <c r="KC23">
        <v>289</v>
      </c>
      <c r="KD23">
        <v>0</v>
      </c>
      <c r="KE23">
        <v>289</v>
      </c>
      <c r="KF23">
        <v>0</v>
      </c>
      <c r="KG23">
        <v>289</v>
      </c>
      <c r="KH23">
        <v>1</v>
      </c>
      <c r="KI23">
        <v>446</v>
      </c>
      <c r="KJ23">
        <v>0.35201789999999999</v>
      </c>
      <c r="KK23">
        <v>1419</v>
      </c>
      <c r="KL23">
        <v>0.68569420000000003</v>
      </c>
      <c r="KM23">
        <v>973</v>
      </c>
      <c r="KN23">
        <v>0.86433709999999997</v>
      </c>
      <c r="KO23">
        <v>841</v>
      </c>
      <c r="KP23">
        <v>6.7776500000000003E-2</v>
      </c>
      <c r="KQ23">
        <v>841</v>
      </c>
      <c r="KR23">
        <v>0.1391201</v>
      </c>
      <c r="KS23">
        <v>841</v>
      </c>
      <c r="KT23">
        <v>0.79310349999999996</v>
      </c>
      <c r="KU23">
        <v>973</v>
      </c>
      <c r="KV23">
        <v>0.1356629</v>
      </c>
      <c r="KW23">
        <v>180305</v>
      </c>
      <c r="KX23">
        <v>4.6937100000000002E-2</v>
      </c>
      <c r="KY23">
        <v>8463</v>
      </c>
      <c r="KZ23">
        <v>0.58289020000000002</v>
      </c>
      <c r="LA23">
        <v>4933</v>
      </c>
      <c r="LB23">
        <v>0.73545510000000003</v>
      </c>
      <c r="LC23">
        <v>4933</v>
      </c>
      <c r="LD23">
        <v>0.73545510000000003</v>
      </c>
      <c r="LE23">
        <v>4933</v>
      </c>
      <c r="LF23">
        <v>0.73545510000000003</v>
      </c>
      <c r="LG23">
        <v>4933</v>
      </c>
      <c r="LH23">
        <v>0.73545510000000003</v>
      </c>
      <c r="LI23">
        <v>4933</v>
      </c>
      <c r="LJ23">
        <v>0.26454490000000003</v>
      </c>
      <c r="LK23">
        <v>8463</v>
      </c>
      <c r="LL23">
        <v>0.41710979999999998</v>
      </c>
      <c r="LM23">
        <v>3530</v>
      </c>
      <c r="LN23">
        <v>0.45920680000000003</v>
      </c>
      <c r="LO23">
        <v>1621</v>
      </c>
      <c r="LP23">
        <v>0.75077110000000002</v>
      </c>
      <c r="LQ23">
        <v>1217</v>
      </c>
      <c r="LR23">
        <v>0.21857019999999999</v>
      </c>
      <c r="LS23">
        <v>1217</v>
      </c>
      <c r="LT23">
        <v>9.4494700000000001E-2</v>
      </c>
      <c r="LU23">
        <v>1217</v>
      </c>
      <c r="LV23">
        <v>0.68693510000000002</v>
      </c>
      <c r="LW23">
        <v>1621</v>
      </c>
      <c r="LX23">
        <v>0.2492289</v>
      </c>
      <c r="LY23">
        <v>3530</v>
      </c>
      <c r="LZ23">
        <v>0.54079319999999997</v>
      </c>
      <c r="MA23">
        <v>1909</v>
      </c>
      <c r="MB23">
        <v>0.77213200000000004</v>
      </c>
      <c r="MC23">
        <v>1474</v>
      </c>
      <c r="MD23">
        <v>0.13025780000000001</v>
      </c>
      <c r="ME23">
        <v>1474</v>
      </c>
      <c r="MF23">
        <v>6.2415199999999997E-2</v>
      </c>
      <c r="MG23">
        <v>1474</v>
      </c>
      <c r="MH23">
        <v>0.80732700000000002</v>
      </c>
      <c r="MI23">
        <v>1909</v>
      </c>
      <c r="MJ23">
        <v>0.22786799999999999</v>
      </c>
      <c r="MK23">
        <v>180305</v>
      </c>
      <c r="ML23">
        <v>0.81531849999999995</v>
      </c>
      <c r="MM23">
        <v>147006</v>
      </c>
      <c r="MN23">
        <v>0.85644129999999996</v>
      </c>
      <c r="MO23">
        <v>125902</v>
      </c>
      <c r="MP23">
        <v>0.4942336</v>
      </c>
      <c r="MQ23">
        <v>125902</v>
      </c>
      <c r="MR23">
        <v>0.4942336</v>
      </c>
      <c r="MS23">
        <v>125902</v>
      </c>
      <c r="MT23">
        <v>0.4942336</v>
      </c>
      <c r="MU23">
        <v>125902</v>
      </c>
      <c r="MV23">
        <v>0.4942336</v>
      </c>
      <c r="MW23">
        <v>125902</v>
      </c>
      <c r="MX23">
        <v>0.50576639999999995</v>
      </c>
      <c r="MY23">
        <v>147006</v>
      </c>
      <c r="MZ23">
        <v>0.14355879999999999</v>
      </c>
      <c r="NA23">
        <v>21104</v>
      </c>
      <c r="NB23">
        <v>0.31913380000000002</v>
      </c>
      <c r="NC23">
        <v>6735</v>
      </c>
      <c r="ND23">
        <v>0.50541939999999996</v>
      </c>
      <c r="NE23">
        <v>3404</v>
      </c>
      <c r="NF23">
        <v>0.2024089</v>
      </c>
      <c r="NG23">
        <v>3404</v>
      </c>
      <c r="NH23">
        <v>9.1069300000000006E-2</v>
      </c>
      <c r="NI23">
        <v>3404</v>
      </c>
      <c r="NJ23">
        <v>0.70652170000000003</v>
      </c>
      <c r="NK23">
        <v>6735</v>
      </c>
      <c r="NL23">
        <v>0.49458049999999998</v>
      </c>
      <c r="NM23">
        <v>21104</v>
      </c>
      <c r="NN23">
        <v>0.68086619999999998</v>
      </c>
      <c r="NO23">
        <v>14369</v>
      </c>
      <c r="NP23">
        <v>0.46495930000000002</v>
      </c>
      <c r="NQ23">
        <v>6681</v>
      </c>
      <c r="NR23">
        <v>0.207454</v>
      </c>
      <c r="NS23">
        <v>6681</v>
      </c>
      <c r="NT23">
        <v>8.2322999999999997E-3</v>
      </c>
      <c r="NU23">
        <v>6681</v>
      </c>
      <c r="NV23">
        <v>0.7843137</v>
      </c>
      <c r="NW23">
        <v>14369</v>
      </c>
      <c r="NX23">
        <v>0.53504070000000004</v>
      </c>
    </row>
    <row r="24" spans="1:388" x14ac:dyDescent="0.25">
      <c r="A24" t="s">
        <v>132</v>
      </c>
      <c r="B24">
        <v>2011</v>
      </c>
      <c r="C24">
        <v>1</v>
      </c>
      <c r="D24" t="s">
        <v>557</v>
      </c>
      <c r="E24">
        <v>28226</v>
      </c>
      <c r="F24">
        <v>0.47675899999999999</v>
      </c>
      <c r="G24">
        <v>13457</v>
      </c>
      <c r="H24">
        <v>9.6826899999999994E-2</v>
      </c>
      <c r="I24">
        <v>13457</v>
      </c>
      <c r="J24">
        <v>1.6497000000000001E-2</v>
      </c>
      <c r="K24">
        <v>13457</v>
      </c>
      <c r="L24">
        <v>0.15493799999999999</v>
      </c>
      <c r="M24">
        <v>13457</v>
      </c>
      <c r="N24">
        <v>5.4767000000000003E-2</v>
      </c>
      <c r="O24">
        <v>13457</v>
      </c>
      <c r="P24">
        <v>2.4299600000000001E-2</v>
      </c>
      <c r="Q24">
        <v>13457</v>
      </c>
      <c r="R24">
        <v>5.6922E-2</v>
      </c>
      <c r="S24">
        <v>13457</v>
      </c>
      <c r="T24">
        <v>0.128409</v>
      </c>
      <c r="U24">
        <v>13457</v>
      </c>
      <c r="V24">
        <v>9.5638000000000001E-2</v>
      </c>
      <c r="W24">
        <v>13457</v>
      </c>
      <c r="X24">
        <v>0.15776180000000001</v>
      </c>
      <c r="Y24">
        <v>13457</v>
      </c>
      <c r="Z24">
        <v>8.4640000000000007E-2</v>
      </c>
      <c r="AA24">
        <v>13457</v>
      </c>
      <c r="AB24">
        <v>7.0000699999999999E-2</v>
      </c>
      <c r="AC24">
        <v>13457</v>
      </c>
      <c r="AD24">
        <v>3.4405900000000003E-2</v>
      </c>
      <c r="AE24">
        <v>13457</v>
      </c>
      <c r="AF24">
        <v>2.4894099999999999E-2</v>
      </c>
      <c r="AG24">
        <v>28226</v>
      </c>
      <c r="AH24">
        <v>0.52324099999999996</v>
      </c>
      <c r="AI24">
        <v>14769</v>
      </c>
      <c r="AJ24">
        <v>0.1155122</v>
      </c>
      <c r="AK24">
        <v>14769</v>
      </c>
      <c r="AL24">
        <v>6.5001E-3</v>
      </c>
      <c r="AM24">
        <v>14769</v>
      </c>
      <c r="AN24">
        <v>9.4589999999999994E-2</v>
      </c>
      <c r="AO24">
        <v>14769</v>
      </c>
      <c r="AP24">
        <v>6.9402099999999994E-2</v>
      </c>
      <c r="AQ24">
        <v>14769</v>
      </c>
      <c r="AR24">
        <v>2.4781600000000001E-2</v>
      </c>
      <c r="AS24">
        <v>14769</v>
      </c>
      <c r="AT24">
        <v>2.4104500000000001E-2</v>
      </c>
      <c r="AU24">
        <v>14769</v>
      </c>
      <c r="AV24">
        <v>0.10522040000000001</v>
      </c>
      <c r="AW24">
        <v>14769</v>
      </c>
      <c r="AX24">
        <v>0.1226894</v>
      </c>
      <c r="AY24">
        <v>14769</v>
      </c>
      <c r="AZ24">
        <v>0.12560089999999999</v>
      </c>
      <c r="BA24">
        <v>14769</v>
      </c>
      <c r="BB24">
        <v>0.13975219999999999</v>
      </c>
      <c r="BC24">
        <v>14769</v>
      </c>
      <c r="BD24">
        <v>0.10725170000000001</v>
      </c>
      <c r="BE24">
        <v>14769</v>
      </c>
      <c r="BF24">
        <v>1.99066E-2</v>
      </c>
      <c r="BG24">
        <v>14769</v>
      </c>
      <c r="BH24">
        <v>4.4688199999999997E-2</v>
      </c>
      <c r="BI24">
        <v>278879</v>
      </c>
      <c r="BJ24">
        <v>0.50270550000000003</v>
      </c>
      <c r="BK24">
        <v>140194</v>
      </c>
      <c r="BL24">
        <v>5.9175100000000001E-2</v>
      </c>
      <c r="BM24">
        <v>140194</v>
      </c>
      <c r="BN24">
        <v>1.8545699999999998E-2</v>
      </c>
      <c r="BO24">
        <v>140194</v>
      </c>
      <c r="BP24">
        <v>9.09026E-2</v>
      </c>
      <c r="BQ24">
        <v>140194</v>
      </c>
      <c r="BR24">
        <v>4.51089E-2</v>
      </c>
      <c r="BS24">
        <v>140194</v>
      </c>
      <c r="BT24">
        <v>1.75114E-2</v>
      </c>
      <c r="BU24">
        <v>140194</v>
      </c>
      <c r="BV24">
        <v>3.15135E-2</v>
      </c>
      <c r="BW24">
        <v>140194</v>
      </c>
      <c r="BX24">
        <v>7.8405600000000006E-2</v>
      </c>
      <c r="BY24">
        <v>140194</v>
      </c>
      <c r="BZ24">
        <v>0.1132502</v>
      </c>
      <c r="CA24">
        <v>140194</v>
      </c>
      <c r="CB24">
        <v>0.1426809</v>
      </c>
      <c r="CC24">
        <v>140194</v>
      </c>
      <c r="CD24">
        <v>0.18094930000000001</v>
      </c>
      <c r="CE24">
        <v>140194</v>
      </c>
      <c r="CF24">
        <v>0.12223779999999999</v>
      </c>
      <c r="CG24">
        <v>140194</v>
      </c>
      <c r="CH24">
        <v>6.3483499999999998E-2</v>
      </c>
      <c r="CI24">
        <v>140194</v>
      </c>
      <c r="CJ24">
        <v>3.6235499999999997E-2</v>
      </c>
      <c r="CK24">
        <v>278879</v>
      </c>
      <c r="CL24">
        <v>0.49729449999999997</v>
      </c>
      <c r="CM24">
        <v>138685</v>
      </c>
      <c r="CN24">
        <v>5.0632700000000003E-2</v>
      </c>
      <c r="CO24">
        <v>138685</v>
      </c>
      <c r="CP24">
        <v>1.8632200000000002E-2</v>
      </c>
      <c r="CQ24">
        <v>138685</v>
      </c>
      <c r="CR24">
        <v>9.4999500000000001E-2</v>
      </c>
      <c r="CS24">
        <v>138685</v>
      </c>
      <c r="CT24">
        <v>3.7725799999999997E-2</v>
      </c>
      <c r="CU24">
        <v>138685</v>
      </c>
      <c r="CV24">
        <v>1.34261E-2</v>
      </c>
      <c r="CW24">
        <v>138685</v>
      </c>
      <c r="CX24">
        <v>3.3997899999999998E-2</v>
      </c>
      <c r="CY24">
        <v>138685</v>
      </c>
      <c r="CZ24">
        <v>7.0822399999999994E-2</v>
      </c>
      <c r="DA24">
        <v>138685</v>
      </c>
      <c r="DB24">
        <v>0.10844719999999999</v>
      </c>
      <c r="DC24">
        <v>138685</v>
      </c>
      <c r="DD24">
        <v>0.1544363</v>
      </c>
      <c r="DE24">
        <v>138685</v>
      </c>
      <c r="DF24">
        <v>0.1776616</v>
      </c>
      <c r="DG24">
        <v>138685</v>
      </c>
      <c r="DH24">
        <v>0.1225511</v>
      </c>
      <c r="DI24">
        <v>138685</v>
      </c>
      <c r="DJ24">
        <v>7.0526699999999998E-2</v>
      </c>
      <c r="DK24">
        <v>138685</v>
      </c>
      <c r="DL24">
        <v>4.6140500000000001E-2</v>
      </c>
      <c r="DM24">
        <v>201196</v>
      </c>
      <c r="DN24">
        <v>7.2357299999999999E-2</v>
      </c>
      <c r="DO24">
        <v>14558</v>
      </c>
      <c r="DP24">
        <v>0.4319962</v>
      </c>
      <c r="DQ24">
        <v>6289</v>
      </c>
      <c r="DR24">
        <v>0.28192080000000003</v>
      </c>
      <c r="DS24">
        <v>6289</v>
      </c>
      <c r="DT24">
        <v>0.43456830000000002</v>
      </c>
      <c r="DU24">
        <v>6289</v>
      </c>
      <c r="DV24">
        <v>0.15503259999999999</v>
      </c>
      <c r="DW24">
        <v>6289</v>
      </c>
      <c r="DX24">
        <v>0.12847829999999999</v>
      </c>
      <c r="DY24">
        <v>14558</v>
      </c>
      <c r="DZ24">
        <v>0.56800379999999995</v>
      </c>
      <c r="EA24">
        <v>8269</v>
      </c>
      <c r="EB24">
        <v>0.2197364</v>
      </c>
      <c r="EC24">
        <v>8269</v>
      </c>
      <c r="ED24">
        <v>0.40706249999999999</v>
      </c>
      <c r="EE24">
        <v>8269</v>
      </c>
      <c r="EF24">
        <v>0.25976539999999998</v>
      </c>
      <c r="EG24">
        <v>8269</v>
      </c>
      <c r="EH24">
        <v>0.1134357</v>
      </c>
      <c r="EI24">
        <v>201196</v>
      </c>
      <c r="EJ24">
        <v>0.92764270000000004</v>
      </c>
      <c r="EK24">
        <v>186638</v>
      </c>
      <c r="EL24">
        <v>0.49488850000000001</v>
      </c>
      <c r="EM24">
        <v>92365</v>
      </c>
      <c r="EN24">
        <v>8.5172999999999999E-2</v>
      </c>
      <c r="EO24">
        <v>92365</v>
      </c>
      <c r="EP24">
        <v>0.23527310000000001</v>
      </c>
      <c r="EQ24">
        <v>92365</v>
      </c>
      <c r="ER24">
        <v>0.3493639</v>
      </c>
      <c r="ES24">
        <v>92365</v>
      </c>
      <c r="ET24">
        <v>0.33018999999999998</v>
      </c>
      <c r="EU24">
        <v>186638</v>
      </c>
      <c r="EV24">
        <v>0.50511150000000005</v>
      </c>
      <c r="EW24">
        <v>94273</v>
      </c>
      <c r="EX24">
        <v>6.6551399999999997E-2</v>
      </c>
      <c r="EY24">
        <v>94273</v>
      </c>
      <c r="EZ24">
        <v>0.26809369999999999</v>
      </c>
      <c r="FA24">
        <v>94273</v>
      </c>
      <c r="FB24">
        <v>0.36265950000000002</v>
      </c>
      <c r="FC24">
        <v>94273</v>
      </c>
      <c r="FD24">
        <v>0.3026954</v>
      </c>
      <c r="FE24">
        <v>235547</v>
      </c>
      <c r="FF24">
        <v>8.0502000000000004E-2</v>
      </c>
      <c r="FG24">
        <v>18962</v>
      </c>
      <c r="FH24">
        <v>0.46318949999999998</v>
      </c>
      <c r="FI24">
        <v>8783</v>
      </c>
      <c r="FJ24">
        <v>7.0590899999999998E-2</v>
      </c>
      <c r="FK24">
        <v>8783</v>
      </c>
      <c r="FL24">
        <v>0.48161219999999999</v>
      </c>
      <c r="FM24">
        <v>8783</v>
      </c>
      <c r="FN24">
        <v>0.4477969</v>
      </c>
      <c r="FO24">
        <v>8783</v>
      </c>
      <c r="FP24">
        <v>0.69896389999999997</v>
      </c>
      <c r="FQ24">
        <v>8783</v>
      </c>
      <c r="FR24">
        <v>0.30103609999999997</v>
      </c>
      <c r="FS24">
        <v>6139</v>
      </c>
      <c r="FT24">
        <v>0.5324972</v>
      </c>
      <c r="FU24">
        <v>6139</v>
      </c>
      <c r="FV24">
        <v>0.4675029</v>
      </c>
      <c r="FW24">
        <v>18962</v>
      </c>
      <c r="FX24">
        <v>0.53681049999999997</v>
      </c>
      <c r="FY24">
        <v>10179</v>
      </c>
      <c r="FZ24">
        <v>8.1442200000000006E-2</v>
      </c>
      <c r="GA24">
        <v>10179</v>
      </c>
      <c r="GB24">
        <v>0.3647706</v>
      </c>
      <c r="GC24">
        <v>10179</v>
      </c>
      <c r="GD24">
        <v>0.55378720000000003</v>
      </c>
      <c r="GE24">
        <v>10179</v>
      </c>
      <c r="GF24">
        <v>0.51940269999999999</v>
      </c>
      <c r="GG24">
        <v>10179</v>
      </c>
      <c r="GH24">
        <v>0.48059730000000001</v>
      </c>
      <c r="GI24">
        <v>5287</v>
      </c>
      <c r="GJ24">
        <v>0.58785699999999996</v>
      </c>
      <c r="GK24">
        <v>5287</v>
      </c>
      <c r="GL24">
        <v>0.41214299999999998</v>
      </c>
      <c r="GM24">
        <v>235547</v>
      </c>
      <c r="GN24">
        <v>0.91949800000000004</v>
      </c>
      <c r="GO24">
        <v>216585</v>
      </c>
      <c r="GP24">
        <v>0.49761060000000001</v>
      </c>
      <c r="GQ24">
        <v>107775</v>
      </c>
      <c r="GR24">
        <v>0.57605200000000001</v>
      </c>
      <c r="GS24">
        <v>107775</v>
      </c>
      <c r="GT24">
        <v>0.22449549999999999</v>
      </c>
      <c r="GU24">
        <v>107775</v>
      </c>
      <c r="GV24">
        <v>0.19945260000000001</v>
      </c>
      <c r="GW24">
        <v>107478</v>
      </c>
      <c r="GX24">
        <v>0.80874219999999997</v>
      </c>
      <c r="GY24">
        <v>107478</v>
      </c>
      <c r="GZ24">
        <v>0.1912577</v>
      </c>
      <c r="HA24">
        <v>86922</v>
      </c>
      <c r="HB24">
        <v>0.90458110000000003</v>
      </c>
      <c r="HC24">
        <v>86922</v>
      </c>
      <c r="HD24">
        <v>9.5418900000000001E-2</v>
      </c>
      <c r="HE24">
        <v>216585</v>
      </c>
      <c r="HF24">
        <v>0.50238939999999999</v>
      </c>
      <c r="HG24">
        <v>108810</v>
      </c>
      <c r="HH24">
        <v>0.3967099</v>
      </c>
      <c r="HI24">
        <v>108810</v>
      </c>
      <c r="HJ24">
        <v>0.25787149999999998</v>
      </c>
      <c r="HK24">
        <v>108810</v>
      </c>
      <c r="HL24">
        <v>0.34541860000000002</v>
      </c>
      <c r="HM24">
        <v>108810</v>
      </c>
      <c r="HN24">
        <v>0.6623656</v>
      </c>
      <c r="HO24">
        <v>108810</v>
      </c>
      <c r="HP24">
        <v>0.3376344</v>
      </c>
      <c r="HQ24">
        <v>72072</v>
      </c>
      <c r="HR24">
        <v>0.90053000000000005</v>
      </c>
      <c r="HS24">
        <v>72072</v>
      </c>
      <c r="HT24">
        <v>9.9470000000000003E-2</v>
      </c>
      <c r="HU24">
        <v>81722</v>
      </c>
      <c r="HV24">
        <v>9.6522399999999994E-2</v>
      </c>
      <c r="HW24">
        <v>7888</v>
      </c>
      <c r="HX24">
        <v>0.53486310000000004</v>
      </c>
      <c r="HY24">
        <v>4219</v>
      </c>
      <c r="HZ24">
        <v>0.7404598</v>
      </c>
      <c r="IA24">
        <v>4219</v>
      </c>
      <c r="IB24">
        <v>0.7404598</v>
      </c>
      <c r="IC24">
        <v>4219</v>
      </c>
      <c r="ID24">
        <v>0.7404598</v>
      </c>
      <c r="IE24">
        <v>4219</v>
      </c>
      <c r="IF24">
        <v>0.7404598</v>
      </c>
      <c r="IG24">
        <v>4219</v>
      </c>
      <c r="IH24">
        <v>0.2595402</v>
      </c>
      <c r="II24">
        <v>7888</v>
      </c>
      <c r="IJ24">
        <v>0.46513690000000002</v>
      </c>
      <c r="IK24">
        <v>3669</v>
      </c>
      <c r="IL24">
        <v>0.24066499999999999</v>
      </c>
      <c r="IM24">
        <v>883</v>
      </c>
      <c r="IN24">
        <v>0.90600230000000004</v>
      </c>
      <c r="IO24">
        <v>800</v>
      </c>
      <c r="IP24">
        <v>0</v>
      </c>
      <c r="IQ24">
        <v>800</v>
      </c>
      <c r="IR24">
        <v>0.375</v>
      </c>
      <c r="IS24">
        <v>800</v>
      </c>
      <c r="IT24">
        <v>0.625</v>
      </c>
      <c r="IU24">
        <v>883</v>
      </c>
      <c r="IV24">
        <v>9.3997700000000003E-2</v>
      </c>
      <c r="IW24">
        <v>3669</v>
      </c>
      <c r="IX24">
        <v>0.75933499999999998</v>
      </c>
      <c r="IY24">
        <v>2786</v>
      </c>
      <c r="IZ24">
        <v>0.81765969999999999</v>
      </c>
      <c r="JA24">
        <v>2278</v>
      </c>
      <c r="JB24">
        <v>0.2923617</v>
      </c>
      <c r="JC24">
        <v>2278</v>
      </c>
      <c r="JD24">
        <v>0.1922739</v>
      </c>
      <c r="JE24">
        <v>2278</v>
      </c>
      <c r="JF24">
        <v>0.5153643</v>
      </c>
      <c r="JG24">
        <v>2786</v>
      </c>
      <c r="JH24">
        <v>0.18234030000000001</v>
      </c>
      <c r="JI24">
        <v>81722</v>
      </c>
      <c r="JJ24">
        <v>1.5785199999999999E-2</v>
      </c>
      <c r="JK24">
        <v>1290</v>
      </c>
      <c r="JL24">
        <v>0.55658909999999995</v>
      </c>
      <c r="JM24">
        <v>718</v>
      </c>
      <c r="JN24">
        <v>0.68245120000000004</v>
      </c>
      <c r="JO24">
        <v>718</v>
      </c>
      <c r="JP24">
        <v>0.68245120000000004</v>
      </c>
      <c r="JQ24">
        <v>718</v>
      </c>
      <c r="JR24">
        <v>0.68245120000000004</v>
      </c>
      <c r="JS24">
        <v>718</v>
      </c>
      <c r="JT24">
        <v>0.68245120000000004</v>
      </c>
      <c r="JU24">
        <v>718</v>
      </c>
      <c r="JV24">
        <v>0.31754880000000002</v>
      </c>
      <c r="JW24">
        <v>1290</v>
      </c>
      <c r="JX24">
        <v>0.44341079999999999</v>
      </c>
      <c r="JY24">
        <v>572</v>
      </c>
      <c r="JZ24">
        <v>0</v>
      </c>
      <c r="KA24">
        <v>0</v>
      </c>
      <c r="KB24"/>
      <c r="KC24">
        <v>0</v>
      </c>
      <c r="KD24"/>
      <c r="KE24">
        <v>0</v>
      </c>
      <c r="KF24"/>
      <c r="KG24">
        <v>0</v>
      </c>
      <c r="KH24"/>
      <c r="KI24">
        <v>0</v>
      </c>
      <c r="KJ24"/>
      <c r="KK24">
        <v>572</v>
      </c>
      <c r="KL24">
        <v>1</v>
      </c>
      <c r="KM24">
        <v>572</v>
      </c>
      <c r="KN24">
        <v>0.73426570000000002</v>
      </c>
      <c r="KO24">
        <v>420</v>
      </c>
      <c r="KP24">
        <v>0</v>
      </c>
      <c r="KQ24">
        <v>420</v>
      </c>
      <c r="KR24">
        <v>0.26428570000000001</v>
      </c>
      <c r="KS24">
        <v>420</v>
      </c>
      <c r="KT24">
        <v>0.73571430000000004</v>
      </c>
      <c r="KU24">
        <v>572</v>
      </c>
      <c r="KV24">
        <v>0.26573429999999998</v>
      </c>
      <c r="KW24">
        <v>81722</v>
      </c>
      <c r="KX24">
        <v>3.6085800000000001E-2</v>
      </c>
      <c r="KY24">
        <v>2949</v>
      </c>
      <c r="KZ24">
        <v>0.6378433</v>
      </c>
      <c r="LA24">
        <v>1881</v>
      </c>
      <c r="LB24">
        <v>0.45667200000000002</v>
      </c>
      <c r="LC24">
        <v>1881</v>
      </c>
      <c r="LD24">
        <v>0.45667200000000002</v>
      </c>
      <c r="LE24">
        <v>1881</v>
      </c>
      <c r="LF24">
        <v>0.45667200000000002</v>
      </c>
      <c r="LG24">
        <v>1881</v>
      </c>
      <c r="LH24">
        <v>0.45667200000000002</v>
      </c>
      <c r="LI24">
        <v>1881</v>
      </c>
      <c r="LJ24">
        <v>0.54332800000000003</v>
      </c>
      <c r="LK24">
        <v>2949</v>
      </c>
      <c r="LL24">
        <v>0.3621567</v>
      </c>
      <c r="LM24">
        <v>1068</v>
      </c>
      <c r="LN24">
        <v>0.1638577</v>
      </c>
      <c r="LO24">
        <v>175</v>
      </c>
      <c r="LP24">
        <v>0.73142859999999998</v>
      </c>
      <c r="LQ24">
        <v>128</v>
      </c>
      <c r="LR24">
        <v>0.375</v>
      </c>
      <c r="LS24">
        <v>128</v>
      </c>
      <c r="LT24">
        <v>0</v>
      </c>
      <c r="LU24">
        <v>128</v>
      </c>
      <c r="LV24">
        <v>0.625</v>
      </c>
      <c r="LW24">
        <v>175</v>
      </c>
      <c r="LX24">
        <v>0.26857140000000002</v>
      </c>
      <c r="LY24">
        <v>1068</v>
      </c>
      <c r="LZ24">
        <v>0.8361423</v>
      </c>
      <c r="MA24">
        <v>893</v>
      </c>
      <c r="MB24">
        <v>0.88353870000000001</v>
      </c>
      <c r="MC24">
        <v>789</v>
      </c>
      <c r="MD24">
        <v>6.5906199999999998E-2</v>
      </c>
      <c r="ME24">
        <v>789</v>
      </c>
      <c r="MF24">
        <v>9.8859299999999997E-2</v>
      </c>
      <c r="MG24">
        <v>789</v>
      </c>
      <c r="MH24">
        <v>0.83523449999999999</v>
      </c>
      <c r="MI24">
        <v>893</v>
      </c>
      <c r="MJ24">
        <v>0.11646140000000001</v>
      </c>
      <c r="MK24">
        <v>81722</v>
      </c>
      <c r="ML24">
        <v>0.85160670000000005</v>
      </c>
      <c r="MM24">
        <v>69595</v>
      </c>
      <c r="MN24">
        <v>0.85579430000000001</v>
      </c>
      <c r="MO24">
        <v>59559</v>
      </c>
      <c r="MP24">
        <v>0.47989389999999998</v>
      </c>
      <c r="MQ24">
        <v>59559</v>
      </c>
      <c r="MR24">
        <v>0.47989389999999998</v>
      </c>
      <c r="MS24">
        <v>59559</v>
      </c>
      <c r="MT24">
        <v>0.47989389999999998</v>
      </c>
      <c r="MU24">
        <v>59559</v>
      </c>
      <c r="MV24">
        <v>0.47989389999999998</v>
      </c>
      <c r="MW24">
        <v>59559</v>
      </c>
      <c r="MX24">
        <v>0.52010610000000002</v>
      </c>
      <c r="MY24">
        <v>69595</v>
      </c>
      <c r="MZ24">
        <v>0.1442058</v>
      </c>
      <c r="NA24">
        <v>10036</v>
      </c>
      <c r="NB24">
        <v>0.27172180000000001</v>
      </c>
      <c r="NC24">
        <v>2727</v>
      </c>
      <c r="ND24">
        <v>0.64906489999999994</v>
      </c>
      <c r="NE24">
        <v>1770</v>
      </c>
      <c r="NF24">
        <v>0.1</v>
      </c>
      <c r="NG24">
        <v>1770</v>
      </c>
      <c r="NH24">
        <v>6.1581900000000002E-2</v>
      </c>
      <c r="NI24">
        <v>1770</v>
      </c>
      <c r="NJ24">
        <v>0.83841810000000005</v>
      </c>
      <c r="NK24">
        <v>2727</v>
      </c>
      <c r="NL24">
        <v>0.3509351</v>
      </c>
      <c r="NM24">
        <v>10036</v>
      </c>
      <c r="NN24">
        <v>0.72827819999999999</v>
      </c>
      <c r="NO24">
        <v>7309</v>
      </c>
      <c r="NP24">
        <v>0.48378710000000003</v>
      </c>
      <c r="NQ24">
        <v>3536</v>
      </c>
      <c r="NR24">
        <v>2.14932E-2</v>
      </c>
      <c r="NS24">
        <v>3536</v>
      </c>
      <c r="NT24">
        <v>8.1448000000000007E-2</v>
      </c>
      <c r="NU24">
        <v>3536</v>
      </c>
      <c r="NV24">
        <v>0.89705880000000005</v>
      </c>
      <c r="NW24">
        <v>7309</v>
      </c>
      <c r="NX24">
        <v>0.51621289999999997</v>
      </c>
    </row>
    <row r="25" spans="1:388" x14ac:dyDescent="0.25">
      <c r="A25" t="s">
        <v>131</v>
      </c>
      <c r="B25">
        <v>2011</v>
      </c>
      <c r="C25">
        <v>1</v>
      </c>
      <c r="D25" t="s">
        <v>558</v>
      </c>
      <c r="E25">
        <v>55089</v>
      </c>
      <c r="F25">
        <v>0.45254040000000001</v>
      </c>
      <c r="G25">
        <v>24930</v>
      </c>
      <c r="H25">
        <v>0.13594059999999999</v>
      </c>
      <c r="I25">
        <v>24930</v>
      </c>
      <c r="J25">
        <v>5.3750999999999998E-3</v>
      </c>
      <c r="K25">
        <v>24930</v>
      </c>
      <c r="L25">
        <v>0.17152029999999999</v>
      </c>
      <c r="M25">
        <v>24930</v>
      </c>
      <c r="N25">
        <v>8.0385100000000001E-2</v>
      </c>
      <c r="O25">
        <v>24930</v>
      </c>
      <c r="P25">
        <v>1.22343E-2</v>
      </c>
      <c r="Q25">
        <v>24930</v>
      </c>
      <c r="R25">
        <v>2.04172E-2</v>
      </c>
      <c r="S25">
        <v>24930</v>
      </c>
      <c r="T25">
        <v>0.10497389999999999</v>
      </c>
      <c r="U25">
        <v>24930</v>
      </c>
      <c r="V25">
        <v>0.14296030000000001</v>
      </c>
      <c r="W25">
        <v>24930</v>
      </c>
      <c r="X25">
        <v>0.12647410000000001</v>
      </c>
      <c r="Y25">
        <v>24930</v>
      </c>
      <c r="Z25">
        <v>0.10072200000000001</v>
      </c>
      <c r="AA25">
        <v>24930</v>
      </c>
      <c r="AB25">
        <v>7.7095899999999995E-2</v>
      </c>
      <c r="AC25">
        <v>24930</v>
      </c>
      <c r="AD25">
        <v>2.1901299999999999E-2</v>
      </c>
      <c r="AE25">
        <v>24930</v>
      </c>
      <c r="AF25">
        <v>0</v>
      </c>
      <c r="AG25">
        <v>55089</v>
      </c>
      <c r="AH25">
        <v>0.54745949999999999</v>
      </c>
      <c r="AI25">
        <v>30159</v>
      </c>
      <c r="AJ25">
        <v>0.14940809999999999</v>
      </c>
      <c r="AK25">
        <v>30159</v>
      </c>
      <c r="AL25">
        <v>2.8979700000000001E-2</v>
      </c>
      <c r="AM25">
        <v>30159</v>
      </c>
      <c r="AN25">
        <v>9.4366500000000006E-2</v>
      </c>
      <c r="AO25">
        <v>30159</v>
      </c>
      <c r="AP25">
        <v>2.3939800000000001E-2</v>
      </c>
      <c r="AQ25">
        <v>30159</v>
      </c>
      <c r="AR25">
        <v>1.37936E-2</v>
      </c>
      <c r="AS25">
        <v>30159</v>
      </c>
      <c r="AT25">
        <v>4.5956400000000001E-2</v>
      </c>
      <c r="AU25">
        <v>30159</v>
      </c>
      <c r="AV25">
        <v>9.5328099999999999E-2</v>
      </c>
      <c r="AW25">
        <v>30159</v>
      </c>
      <c r="AX25">
        <v>0.14649029999999999</v>
      </c>
      <c r="AY25">
        <v>30159</v>
      </c>
      <c r="AZ25">
        <v>0.1354156</v>
      </c>
      <c r="BA25">
        <v>30159</v>
      </c>
      <c r="BB25">
        <v>0.11346530000000001</v>
      </c>
      <c r="BC25">
        <v>30159</v>
      </c>
      <c r="BD25">
        <v>7.3278300000000005E-2</v>
      </c>
      <c r="BE25">
        <v>30159</v>
      </c>
      <c r="BF25">
        <v>2.75871E-2</v>
      </c>
      <c r="BG25">
        <v>30159</v>
      </c>
      <c r="BH25">
        <v>5.1991099999999998E-2</v>
      </c>
      <c r="BI25">
        <v>619029</v>
      </c>
      <c r="BJ25">
        <v>0.49706879999999998</v>
      </c>
      <c r="BK25">
        <v>307700</v>
      </c>
      <c r="BL25">
        <v>6.4374399999999998E-2</v>
      </c>
      <c r="BM25">
        <v>307700</v>
      </c>
      <c r="BN25">
        <v>1.76568E-2</v>
      </c>
      <c r="BO25">
        <v>307700</v>
      </c>
      <c r="BP25">
        <v>0.1004355</v>
      </c>
      <c r="BQ25">
        <v>307700</v>
      </c>
      <c r="BR25">
        <v>4.7855099999999998E-2</v>
      </c>
      <c r="BS25">
        <v>307700</v>
      </c>
      <c r="BT25">
        <v>1.85635E-2</v>
      </c>
      <c r="BU25">
        <v>307700</v>
      </c>
      <c r="BV25">
        <v>3.4452400000000001E-2</v>
      </c>
      <c r="BW25">
        <v>307700</v>
      </c>
      <c r="BX25">
        <v>8.1800499999999998E-2</v>
      </c>
      <c r="BY25">
        <v>307700</v>
      </c>
      <c r="BZ25">
        <v>0.11797530000000001</v>
      </c>
      <c r="CA25">
        <v>307700</v>
      </c>
      <c r="CB25">
        <v>0.158414</v>
      </c>
      <c r="CC25">
        <v>307700</v>
      </c>
      <c r="CD25">
        <v>0.159415</v>
      </c>
      <c r="CE25">
        <v>307700</v>
      </c>
      <c r="CF25">
        <v>0.10823199999999999</v>
      </c>
      <c r="CG25">
        <v>307700</v>
      </c>
      <c r="CH25">
        <v>5.7903799999999998E-2</v>
      </c>
      <c r="CI25">
        <v>307700</v>
      </c>
      <c r="CJ25">
        <v>3.2921699999999998E-2</v>
      </c>
      <c r="CK25">
        <v>619029</v>
      </c>
      <c r="CL25">
        <v>0.50293120000000002</v>
      </c>
      <c r="CM25">
        <v>311329</v>
      </c>
      <c r="CN25">
        <v>6.2557600000000005E-2</v>
      </c>
      <c r="CO25">
        <v>311329</v>
      </c>
      <c r="CP25">
        <v>1.26458E-2</v>
      </c>
      <c r="CQ25">
        <v>311329</v>
      </c>
      <c r="CR25">
        <v>9.4006699999999999E-2</v>
      </c>
      <c r="CS25">
        <v>311329</v>
      </c>
      <c r="CT25">
        <v>5.31014E-2</v>
      </c>
      <c r="CU25">
        <v>311329</v>
      </c>
      <c r="CV25">
        <v>1.08278E-2</v>
      </c>
      <c r="CW25">
        <v>311329</v>
      </c>
      <c r="CX25">
        <v>3.7481199999999999E-2</v>
      </c>
      <c r="CY25">
        <v>311329</v>
      </c>
      <c r="CZ25">
        <v>7.5775099999999998E-2</v>
      </c>
      <c r="DA25">
        <v>311329</v>
      </c>
      <c r="DB25">
        <v>0.11770509999999999</v>
      </c>
      <c r="DC25">
        <v>311329</v>
      </c>
      <c r="DD25">
        <v>0.16134699999999999</v>
      </c>
      <c r="DE25">
        <v>311329</v>
      </c>
      <c r="DF25">
        <v>0.1562045</v>
      </c>
      <c r="DG25">
        <v>311329</v>
      </c>
      <c r="DH25">
        <v>0.1120519</v>
      </c>
      <c r="DI25">
        <v>311329</v>
      </c>
      <c r="DJ25">
        <v>6.0347699999999997E-2</v>
      </c>
      <c r="DK25">
        <v>311329</v>
      </c>
      <c r="DL25">
        <v>4.5948200000000002E-2</v>
      </c>
      <c r="DM25">
        <v>427063</v>
      </c>
      <c r="DN25">
        <v>6.61027E-2</v>
      </c>
      <c r="DO25">
        <v>28230</v>
      </c>
      <c r="DP25">
        <v>0.41431099999999998</v>
      </c>
      <c r="DQ25">
        <v>11696</v>
      </c>
      <c r="DR25">
        <v>0.28146369999999998</v>
      </c>
      <c r="DS25">
        <v>11696</v>
      </c>
      <c r="DT25">
        <v>0.38252399999999998</v>
      </c>
      <c r="DU25">
        <v>11696</v>
      </c>
      <c r="DV25">
        <v>0.1708276</v>
      </c>
      <c r="DW25">
        <v>11696</v>
      </c>
      <c r="DX25">
        <v>0.16518469999999999</v>
      </c>
      <c r="DY25">
        <v>28230</v>
      </c>
      <c r="DZ25">
        <v>0.58568900000000002</v>
      </c>
      <c r="EA25">
        <v>16534</v>
      </c>
      <c r="EB25">
        <v>0.20914479999999999</v>
      </c>
      <c r="EC25">
        <v>16534</v>
      </c>
      <c r="ED25">
        <v>0.3434741</v>
      </c>
      <c r="EE25">
        <v>16534</v>
      </c>
      <c r="EF25">
        <v>0.27543240000000002</v>
      </c>
      <c r="EG25">
        <v>16534</v>
      </c>
      <c r="EH25">
        <v>0.17194870000000001</v>
      </c>
      <c r="EI25">
        <v>427063</v>
      </c>
      <c r="EJ25">
        <v>0.93389730000000004</v>
      </c>
      <c r="EK25">
        <v>398833</v>
      </c>
      <c r="EL25">
        <v>0.48979650000000002</v>
      </c>
      <c r="EM25">
        <v>195347</v>
      </c>
      <c r="EN25">
        <v>8.7470000000000006E-2</v>
      </c>
      <c r="EO25">
        <v>195347</v>
      </c>
      <c r="EP25">
        <v>0.26373069999999998</v>
      </c>
      <c r="EQ25">
        <v>195347</v>
      </c>
      <c r="ER25">
        <v>0.29283789999999998</v>
      </c>
      <c r="ES25">
        <v>195347</v>
      </c>
      <c r="ET25">
        <v>0.35596139999999998</v>
      </c>
      <c r="EU25">
        <v>398833</v>
      </c>
      <c r="EV25">
        <v>0.51020350000000003</v>
      </c>
      <c r="EW25">
        <v>203486</v>
      </c>
      <c r="EX25">
        <v>8.5951899999999998E-2</v>
      </c>
      <c r="EY25">
        <v>203486</v>
      </c>
      <c r="EZ25">
        <v>0.27226440000000002</v>
      </c>
      <c r="FA25">
        <v>203486</v>
      </c>
      <c r="FB25">
        <v>0.29873309999999997</v>
      </c>
      <c r="FC25">
        <v>203486</v>
      </c>
      <c r="FD25">
        <v>0.34305059999999998</v>
      </c>
      <c r="FE25">
        <v>505481</v>
      </c>
      <c r="FF25">
        <v>7.0461599999999999E-2</v>
      </c>
      <c r="FG25">
        <v>35617</v>
      </c>
      <c r="FH25">
        <v>0.41614960000000001</v>
      </c>
      <c r="FI25">
        <v>14822</v>
      </c>
      <c r="FJ25">
        <v>0.1723114</v>
      </c>
      <c r="FK25">
        <v>14822</v>
      </c>
      <c r="FL25">
        <v>0.34300360000000002</v>
      </c>
      <c r="FM25">
        <v>14822</v>
      </c>
      <c r="FN25">
        <v>0.48468489999999997</v>
      </c>
      <c r="FO25">
        <v>14822</v>
      </c>
      <c r="FP25">
        <v>0.58224260000000005</v>
      </c>
      <c r="FQ25">
        <v>14822</v>
      </c>
      <c r="FR25">
        <v>0.4177574</v>
      </c>
      <c r="FS25">
        <v>8630</v>
      </c>
      <c r="FT25">
        <v>0.69154110000000002</v>
      </c>
      <c r="FU25">
        <v>8630</v>
      </c>
      <c r="FV25">
        <v>0.30845889999999998</v>
      </c>
      <c r="FW25">
        <v>35617</v>
      </c>
      <c r="FX25">
        <v>0.58385039999999999</v>
      </c>
      <c r="FY25">
        <v>20795</v>
      </c>
      <c r="FZ25">
        <v>3.4719899999999998E-2</v>
      </c>
      <c r="GA25">
        <v>20795</v>
      </c>
      <c r="GB25">
        <v>0.3372445</v>
      </c>
      <c r="GC25">
        <v>20795</v>
      </c>
      <c r="GD25">
        <v>0.62803560000000003</v>
      </c>
      <c r="GE25">
        <v>20795</v>
      </c>
      <c r="GF25">
        <v>0.44068289999999999</v>
      </c>
      <c r="GG25">
        <v>20795</v>
      </c>
      <c r="GH25">
        <v>0.55931719999999996</v>
      </c>
      <c r="GI25">
        <v>9164</v>
      </c>
      <c r="GJ25">
        <v>0.58849850000000004</v>
      </c>
      <c r="GK25">
        <v>9164</v>
      </c>
      <c r="GL25">
        <v>0.41150150000000002</v>
      </c>
      <c r="GM25">
        <v>505481</v>
      </c>
      <c r="GN25">
        <v>0.92953839999999999</v>
      </c>
      <c r="GO25">
        <v>469864</v>
      </c>
      <c r="GP25">
        <v>0.49188280000000001</v>
      </c>
      <c r="GQ25">
        <v>231118</v>
      </c>
      <c r="GR25">
        <v>0.55272200000000005</v>
      </c>
      <c r="GS25">
        <v>231118</v>
      </c>
      <c r="GT25">
        <v>0.22393759999999999</v>
      </c>
      <c r="GU25">
        <v>231118</v>
      </c>
      <c r="GV25">
        <v>0.2233405</v>
      </c>
      <c r="GW25">
        <v>230398</v>
      </c>
      <c r="GX25">
        <v>0.77143030000000001</v>
      </c>
      <c r="GY25">
        <v>230398</v>
      </c>
      <c r="GZ25">
        <v>0.22856969999999999</v>
      </c>
      <c r="HA25">
        <v>177736</v>
      </c>
      <c r="HB25">
        <v>0.91193120000000005</v>
      </c>
      <c r="HC25">
        <v>177736</v>
      </c>
      <c r="HD25">
        <v>8.8068800000000003E-2</v>
      </c>
      <c r="HE25">
        <v>469864</v>
      </c>
      <c r="HF25">
        <v>0.50811729999999999</v>
      </c>
      <c r="HG25">
        <v>238746</v>
      </c>
      <c r="HH25">
        <v>0.37510159999999998</v>
      </c>
      <c r="HI25">
        <v>238746</v>
      </c>
      <c r="HJ25">
        <v>0.2874352</v>
      </c>
      <c r="HK25">
        <v>238746</v>
      </c>
      <c r="HL25">
        <v>0.33746330000000002</v>
      </c>
      <c r="HM25">
        <v>238746</v>
      </c>
      <c r="HN25">
        <v>0.66266239999999998</v>
      </c>
      <c r="HO25">
        <v>238746</v>
      </c>
      <c r="HP25">
        <v>0.33733760000000002</v>
      </c>
      <c r="HQ25">
        <v>158208</v>
      </c>
      <c r="HR25">
        <v>0.91181230000000002</v>
      </c>
      <c r="HS25">
        <v>158208</v>
      </c>
      <c r="HT25">
        <v>8.8187699999999994E-2</v>
      </c>
      <c r="HU25">
        <v>171175</v>
      </c>
      <c r="HV25">
        <v>9.7508399999999995E-2</v>
      </c>
      <c r="HW25">
        <v>16691</v>
      </c>
      <c r="HX25">
        <v>0.40117429999999998</v>
      </c>
      <c r="HY25">
        <v>6696</v>
      </c>
      <c r="HZ25">
        <v>0.79599759999999997</v>
      </c>
      <c r="IA25">
        <v>6696</v>
      </c>
      <c r="IB25">
        <v>0.79599759999999997</v>
      </c>
      <c r="IC25">
        <v>6696</v>
      </c>
      <c r="ID25">
        <v>0.79599759999999997</v>
      </c>
      <c r="IE25">
        <v>6696</v>
      </c>
      <c r="IF25">
        <v>0.79599759999999997</v>
      </c>
      <c r="IG25">
        <v>6696</v>
      </c>
      <c r="IH25">
        <v>0.2040024</v>
      </c>
      <c r="II25">
        <v>16691</v>
      </c>
      <c r="IJ25">
        <v>0.59882570000000002</v>
      </c>
      <c r="IK25">
        <v>9995</v>
      </c>
      <c r="IL25">
        <v>0.1513757</v>
      </c>
      <c r="IM25">
        <v>1513</v>
      </c>
      <c r="IN25">
        <v>0.8122935</v>
      </c>
      <c r="IO25">
        <v>1229</v>
      </c>
      <c r="IP25">
        <v>0.3393002</v>
      </c>
      <c r="IQ25">
        <v>1229</v>
      </c>
      <c r="IR25">
        <v>0.2082994</v>
      </c>
      <c r="IS25">
        <v>1229</v>
      </c>
      <c r="IT25">
        <v>0.45240029999999998</v>
      </c>
      <c r="IU25">
        <v>1513</v>
      </c>
      <c r="IV25">
        <v>0.1877065</v>
      </c>
      <c r="IW25">
        <v>9995</v>
      </c>
      <c r="IX25">
        <v>0.8486243</v>
      </c>
      <c r="IY25">
        <v>8482</v>
      </c>
      <c r="IZ25">
        <v>0.86099979999999998</v>
      </c>
      <c r="JA25">
        <v>7303</v>
      </c>
      <c r="JB25">
        <v>0.1170752</v>
      </c>
      <c r="JC25">
        <v>7303</v>
      </c>
      <c r="JD25">
        <v>0.41010540000000001</v>
      </c>
      <c r="JE25">
        <v>7303</v>
      </c>
      <c r="JF25">
        <v>0.4728194</v>
      </c>
      <c r="JG25">
        <v>8482</v>
      </c>
      <c r="JH25">
        <v>0.13900019999999999</v>
      </c>
      <c r="JI25">
        <v>171175</v>
      </c>
      <c r="JJ25">
        <v>2.58975E-2</v>
      </c>
      <c r="JK25">
        <v>4433</v>
      </c>
      <c r="JL25">
        <v>0.52966389999999997</v>
      </c>
      <c r="JM25">
        <v>2348</v>
      </c>
      <c r="JN25">
        <v>0.78747869999999998</v>
      </c>
      <c r="JO25">
        <v>2348</v>
      </c>
      <c r="JP25">
        <v>0.78747869999999998</v>
      </c>
      <c r="JQ25">
        <v>2348</v>
      </c>
      <c r="JR25">
        <v>0.78747869999999998</v>
      </c>
      <c r="JS25">
        <v>2348</v>
      </c>
      <c r="JT25">
        <v>0.78747869999999998</v>
      </c>
      <c r="JU25">
        <v>2348</v>
      </c>
      <c r="JV25">
        <v>0.2125213</v>
      </c>
      <c r="JW25">
        <v>4433</v>
      </c>
      <c r="JX25">
        <v>0.47033609999999998</v>
      </c>
      <c r="JY25">
        <v>2085</v>
      </c>
      <c r="JZ25">
        <v>9.0167899999999995E-2</v>
      </c>
      <c r="KA25">
        <v>188</v>
      </c>
      <c r="KB25">
        <v>1</v>
      </c>
      <c r="KC25">
        <v>188</v>
      </c>
      <c r="KD25">
        <v>0</v>
      </c>
      <c r="KE25">
        <v>188</v>
      </c>
      <c r="KF25">
        <v>1</v>
      </c>
      <c r="KG25">
        <v>188</v>
      </c>
      <c r="KH25">
        <v>0</v>
      </c>
      <c r="KI25">
        <v>188</v>
      </c>
      <c r="KJ25">
        <v>0</v>
      </c>
      <c r="KK25">
        <v>2085</v>
      </c>
      <c r="KL25">
        <v>0.90983210000000003</v>
      </c>
      <c r="KM25">
        <v>1897</v>
      </c>
      <c r="KN25">
        <v>0.73589879999999996</v>
      </c>
      <c r="KO25">
        <v>1396</v>
      </c>
      <c r="KP25">
        <v>4.36963E-2</v>
      </c>
      <c r="KQ25">
        <v>1396</v>
      </c>
      <c r="KR25">
        <v>0</v>
      </c>
      <c r="KS25">
        <v>1396</v>
      </c>
      <c r="KT25">
        <v>0.95630369999999998</v>
      </c>
      <c r="KU25">
        <v>1897</v>
      </c>
      <c r="KV25">
        <v>0.26410119999999998</v>
      </c>
      <c r="KW25">
        <v>171175</v>
      </c>
      <c r="KX25">
        <v>3.3865899999999997E-2</v>
      </c>
      <c r="KY25">
        <v>5797</v>
      </c>
      <c r="KZ25">
        <v>0.52682419999999996</v>
      </c>
      <c r="LA25">
        <v>3054</v>
      </c>
      <c r="LB25">
        <v>0.44990180000000002</v>
      </c>
      <c r="LC25">
        <v>3054</v>
      </c>
      <c r="LD25">
        <v>0.44990180000000002</v>
      </c>
      <c r="LE25">
        <v>3054</v>
      </c>
      <c r="LF25">
        <v>0.44990180000000002</v>
      </c>
      <c r="LG25">
        <v>3054</v>
      </c>
      <c r="LH25">
        <v>0.44990180000000002</v>
      </c>
      <c r="LI25">
        <v>3054</v>
      </c>
      <c r="LJ25">
        <v>0.55009819999999998</v>
      </c>
      <c r="LK25">
        <v>5797</v>
      </c>
      <c r="LL25">
        <v>0.47317579999999998</v>
      </c>
      <c r="LM25">
        <v>2743</v>
      </c>
      <c r="LN25">
        <v>0.28873500000000002</v>
      </c>
      <c r="LO25">
        <v>792</v>
      </c>
      <c r="LP25">
        <v>0.78156570000000003</v>
      </c>
      <c r="LQ25">
        <v>619</v>
      </c>
      <c r="LR25">
        <v>0</v>
      </c>
      <c r="LS25">
        <v>619</v>
      </c>
      <c r="LT25">
        <v>0.39579969999999998</v>
      </c>
      <c r="LU25">
        <v>619</v>
      </c>
      <c r="LV25">
        <v>0.60420030000000002</v>
      </c>
      <c r="LW25">
        <v>792</v>
      </c>
      <c r="LX25">
        <v>0.2184343</v>
      </c>
      <c r="LY25">
        <v>2743</v>
      </c>
      <c r="LZ25">
        <v>0.71126500000000004</v>
      </c>
      <c r="MA25">
        <v>1951</v>
      </c>
      <c r="MB25">
        <v>0.64172220000000002</v>
      </c>
      <c r="MC25">
        <v>1252</v>
      </c>
      <c r="MD25">
        <v>0</v>
      </c>
      <c r="ME25">
        <v>1252</v>
      </c>
      <c r="MF25">
        <v>0.13258790000000001</v>
      </c>
      <c r="MG25">
        <v>1252</v>
      </c>
      <c r="MH25">
        <v>0.86741210000000002</v>
      </c>
      <c r="MI25">
        <v>1951</v>
      </c>
      <c r="MJ25">
        <v>0.35827779999999998</v>
      </c>
      <c r="MK25">
        <v>171175</v>
      </c>
      <c r="ML25">
        <v>0.84272820000000004</v>
      </c>
      <c r="MM25">
        <v>144254</v>
      </c>
      <c r="MN25">
        <v>0.85861739999999998</v>
      </c>
      <c r="MO25">
        <v>123859</v>
      </c>
      <c r="MP25">
        <v>0.52717199999999997</v>
      </c>
      <c r="MQ25">
        <v>123859</v>
      </c>
      <c r="MR25">
        <v>0.52717199999999997</v>
      </c>
      <c r="MS25">
        <v>123859</v>
      </c>
      <c r="MT25">
        <v>0.52717199999999997</v>
      </c>
      <c r="MU25">
        <v>123859</v>
      </c>
      <c r="MV25">
        <v>0.52717199999999997</v>
      </c>
      <c r="MW25">
        <v>123859</v>
      </c>
      <c r="MX25">
        <v>0.47282800000000003</v>
      </c>
      <c r="MY25">
        <v>144254</v>
      </c>
      <c r="MZ25">
        <v>0.1413826</v>
      </c>
      <c r="NA25">
        <v>20395</v>
      </c>
      <c r="NB25">
        <v>0.33640599999999998</v>
      </c>
      <c r="NC25">
        <v>6861</v>
      </c>
      <c r="ND25">
        <v>0.48972450000000001</v>
      </c>
      <c r="NE25">
        <v>3360</v>
      </c>
      <c r="NF25">
        <v>6.25E-2</v>
      </c>
      <c r="NG25">
        <v>3360</v>
      </c>
      <c r="NH25">
        <v>0.20386899999999999</v>
      </c>
      <c r="NI25">
        <v>3360</v>
      </c>
      <c r="NJ25">
        <v>0.73363100000000003</v>
      </c>
      <c r="NK25">
        <v>6861</v>
      </c>
      <c r="NL25">
        <v>0.51027549999999999</v>
      </c>
      <c r="NM25">
        <v>20395</v>
      </c>
      <c r="NN25">
        <v>0.66359400000000002</v>
      </c>
      <c r="NO25">
        <v>13534</v>
      </c>
      <c r="NP25">
        <v>0.56273090000000003</v>
      </c>
      <c r="NQ25">
        <v>7616</v>
      </c>
      <c r="NR25">
        <v>0.1638656</v>
      </c>
      <c r="NS25">
        <v>7616</v>
      </c>
      <c r="NT25">
        <v>8.2064100000000001E-2</v>
      </c>
      <c r="NU25">
        <v>7616</v>
      </c>
      <c r="NV25">
        <v>0.75407040000000003</v>
      </c>
      <c r="NW25">
        <v>13534</v>
      </c>
      <c r="NX25">
        <v>0.43726910000000002</v>
      </c>
    </row>
    <row r="26" spans="1:388" x14ac:dyDescent="0.25">
      <c r="A26" t="s">
        <v>136</v>
      </c>
      <c r="B26">
        <v>2012</v>
      </c>
      <c r="C26">
        <v>1</v>
      </c>
      <c r="D26" t="s">
        <v>559</v>
      </c>
      <c r="E26">
        <v>923158</v>
      </c>
      <c r="F26">
        <v>0.44584679999999999</v>
      </c>
      <c r="G26">
        <v>411587</v>
      </c>
      <c r="H26">
        <v>0.1115317</v>
      </c>
      <c r="I26">
        <v>411587</v>
      </c>
      <c r="J26">
        <v>2.1723200000000002E-2</v>
      </c>
      <c r="K26">
        <v>411587</v>
      </c>
      <c r="L26">
        <v>0.1327933</v>
      </c>
      <c r="M26">
        <v>411587</v>
      </c>
      <c r="N26">
        <v>6.2101099999999999E-2</v>
      </c>
      <c r="O26">
        <v>411587</v>
      </c>
      <c r="P26">
        <v>2.0880200000000002E-2</v>
      </c>
      <c r="Q26">
        <v>411587</v>
      </c>
      <c r="R26">
        <v>3.6172200000000002E-2</v>
      </c>
      <c r="S26">
        <v>411587</v>
      </c>
      <c r="T26">
        <v>0.1385199</v>
      </c>
      <c r="U26">
        <v>411587</v>
      </c>
      <c r="V26">
        <v>0.13022520000000001</v>
      </c>
      <c r="W26">
        <v>411587</v>
      </c>
      <c r="X26">
        <v>0.1001562</v>
      </c>
      <c r="Y26">
        <v>411587</v>
      </c>
      <c r="Z26">
        <v>0.1041748</v>
      </c>
      <c r="AA26">
        <v>411587</v>
      </c>
      <c r="AB26">
        <v>8.0376699999999995E-2</v>
      </c>
      <c r="AC26">
        <v>411587</v>
      </c>
      <c r="AD26">
        <v>3.8837499999999997E-2</v>
      </c>
      <c r="AE26">
        <v>411587</v>
      </c>
      <c r="AF26">
        <v>2.2508E-2</v>
      </c>
      <c r="AG26">
        <v>923158</v>
      </c>
      <c r="AH26">
        <v>0.55415329999999996</v>
      </c>
      <c r="AI26">
        <v>511571</v>
      </c>
      <c r="AJ26">
        <v>8.7614399999999995E-2</v>
      </c>
      <c r="AK26">
        <v>511571</v>
      </c>
      <c r="AL26">
        <v>1.7225399999999998E-2</v>
      </c>
      <c r="AM26">
        <v>511571</v>
      </c>
      <c r="AN26">
        <v>9.8136899999999999E-2</v>
      </c>
      <c r="AO26">
        <v>511571</v>
      </c>
      <c r="AP26">
        <v>4.7794000000000003E-2</v>
      </c>
      <c r="AQ26">
        <v>511571</v>
      </c>
      <c r="AR26">
        <v>1.45767E-2</v>
      </c>
      <c r="AS26">
        <v>511571</v>
      </c>
      <c r="AT26">
        <v>3.4937500000000003E-2</v>
      </c>
      <c r="AU26">
        <v>511571</v>
      </c>
      <c r="AV26">
        <v>0.13059180000000001</v>
      </c>
      <c r="AW26">
        <v>511571</v>
      </c>
      <c r="AX26">
        <v>0.15772</v>
      </c>
      <c r="AY26">
        <v>511571</v>
      </c>
      <c r="AZ26">
        <v>0.1238616</v>
      </c>
      <c r="BA26">
        <v>511571</v>
      </c>
      <c r="BB26">
        <v>9.9356700000000006E-2</v>
      </c>
      <c r="BC26">
        <v>511571</v>
      </c>
      <c r="BD26">
        <v>8.6076E-2</v>
      </c>
      <c r="BE26">
        <v>511571</v>
      </c>
      <c r="BF26">
        <v>4.99794E-2</v>
      </c>
      <c r="BG26">
        <v>511571</v>
      </c>
      <c r="BH26">
        <v>5.2129599999999998E-2</v>
      </c>
      <c r="BI26">
        <v>4228379</v>
      </c>
      <c r="BJ26">
        <v>0.4932995</v>
      </c>
      <c r="BK26">
        <v>2085857</v>
      </c>
      <c r="BL26">
        <v>6.0985499999999998E-2</v>
      </c>
      <c r="BM26">
        <v>2085857</v>
      </c>
      <c r="BN26">
        <v>1.1314299999999999E-2</v>
      </c>
      <c r="BO26">
        <v>2085857</v>
      </c>
      <c r="BP26">
        <v>6.9618399999999997E-2</v>
      </c>
      <c r="BQ26">
        <v>2085857</v>
      </c>
      <c r="BR26">
        <v>3.6379799999999997E-2</v>
      </c>
      <c r="BS26">
        <v>2085857</v>
      </c>
      <c r="BT26">
        <v>1.35935E-2</v>
      </c>
      <c r="BU26">
        <v>2085857</v>
      </c>
      <c r="BV26">
        <v>2.5429400000000001E-2</v>
      </c>
      <c r="BW26">
        <v>2085857</v>
      </c>
      <c r="BX26">
        <v>8.7021799999999996E-2</v>
      </c>
      <c r="BY26">
        <v>2085857</v>
      </c>
      <c r="BZ26">
        <v>0.1744405</v>
      </c>
      <c r="CA26">
        <v>2085857</v>
      </c>
      <c r="CB26">
        <v>0.1477369</v>
      </c>
      <c r="CC26">
        <v>2085857</v>
      </c>
      <c r="CD26">
        <v>0.14166409999999999</v>
      </c>
      <c r="CE26">
        <v>2085857</v>
      </c>
      <c r="CF26">
        <v>0.1187498</v>
      </c>
      <c r="CG26">
        <v>2085857</v>
      </c>
      <c r="CH26">
        <v>6.5979099999999999E-2</v>
      </c>
      <c r="CI26">
        <v>2085857</v>
      </c>
      <c r="CJ26">
        <v>4.70871E-2</v>
      </c>
      <c r="CK26">
        <v>4228379</v>
      </c>
      <c r="CL26">
        <v>0.50670059999999995</v>
      </c>
      <c r="CM26">
        <v>2142522</v>
      </c>
      <c r="CN26">
        <v>5.73964E-2</v>
      </c>
      <c r="CO26">
        <v>2142522</v>
      </c>
      <c r="CP26">
        <v>1.12928E-2</v>
      </c>
      <c r="CQ26">
        <v>2142522</v>
      </c>
      <c r="CR26">
        <v>6.6955200000000006E-2</v>
      </c>
      <c r="CS26">
        <v>2142522</v>
      </c>
      <c r="CT26">
        <v>3.3184699999999998E-2</v>
      </c>
      <c r="CU26">
        <v>2142522</v>
      </c>
      <c r="CV26">
        <v>1.1260600000000001E-2</v>
      </c>
      <c r="CW26">
        <v>2142522</v>
      </c>
      <c r="CX26">
        <v>2.4222400000000002E-2</v>
      </c>
      <c r="CY26">
        <v>2142522</v>
      </c>
      <c r="CZ26">
        <v>8.0736600000000006E-2</v>
      </c>
      <c r="DA26">
        <v>2142522</v>
      </c>
      <c r="DB26">
        <v>0.1615162</v>
      </c>
      <c r="DC26">
        <v>2142522</v>
      </c>
      <c r="DD26">
        <v>0.13667960000000001</v>
      </c>
      <c r="DE26">
        <v>2142522</v>
      </c>
      <c r="DF26">
        <v>0.14359710000000001</v>
      </c>
      <c r="DG26">
        <v>2142522</v>
      </c>
      <c r="DH26">
        <v>0.1267838</v>
      </c>
      <c r="DI26">
        <v>2142522</v>
      </c>
      <c r="DJ26">
        <v>7.7878299999999998E-2</v>
      </c>
      <c r="DK26">
        <v>2142522</v>
      </c>
      <c r="DL26">
        <v>6.8496399999999999E-2</v>
      </c>
      <c r="DM26">
        <v>3470018</v>
      </c>
      <c r="DN26">
        <v>0.1403961</v>
      </c>
      <c r="DO26">
        <v>487177</v>
      </c>
      <c r="DP26">
        <v>0.4023794</v>
      </c>
      <c r="DQ26">
        <v>196030</v>
      </c>
      <c r="DR26">
        <v>0.31664540000000002</v>
      </c>
      <c r="DS26">
        <v>196030</v>
      </c>
      <c r="DT26">
        <v>0.3063052</v>
      </c>
      <c r="DU26">
        <v>196030</v>
      </c>
      <c r="DV26">
        <v>0.22787840000000001</v>
      </c>
      <c r="DW26">
        <v>196030</v>
      </c>
      <c r="DX26">
        <v>0.149171</v>
      </c>
      <c r="DY26">
        <v>487177</v>
      </c>
      <c r="DZ26">
        <v>0.59762059999999995</v>
      </c>
      <c r="EA26">
        <v>291147</v>
      </c>
      <c r="EB26">
        <v>0.28829080000000001</v>
      </c>
      <c r="EC26">
        <v>291147</v>
      </c>
      <c r="ED26">
        <v>0.29456599999999999</v>
      </c>
      <c r="EE26">
        <v>291147</v>
      </c>
      <c r="EF26">
        <v>0.26360220000000001</v>
      </c>
      <c r="EG26">
        <v>291147</v>
      </c>
      <c r="EH26">
        <v>0.15354100000000001</v>
      </c>
      <c r="EI26">
        <v>3470018</v>
      </c>
      <c r="EJ26">
        <v>0.85960389999999998</v>
      </c>
      <c r="EK26">
        <v>2982841</v>
      </c>
      <c r="EL26">
        <v>0.48646309999999998</v>
      </c>
      <c r="EM26">
        <v>1451042</v>
      </c>
      <c r="EN26">
        <v>0.13625100000000001</v>
      </c>
      <c r="EO26">
        <v>1451042</v>
      </c>
      <c r="EP26">
        <v>0.2359146</v>
      </c>
      <c r="EQ26">
        <v>1451042</v>
      </c>
      <c r="ER26">
        <v>0.25305680000000003</v>
      </c>
      <c r="ES26">
        <v>1451042</v>
      </c>
      <c r="ET26">
        <v>0.37477759999999999</v>
      </c>
      <c r="EU26">
        <v>2982841</v>
      </c>
      <c r="EV26">
        <v>0.51353689999999996</v>
      </c>
      <c r="EW26">
        <v>1531799</v>
      </c>
      <c r="EX26">
        <v>0.1163521</v>
      </c>
      <c r="EY26">
        <v>1531799</v>
      </c>
      <c r="EZ26">
        <v>0.22289410000000001</v>
      </c>
      <c r="FA26">
        <v>1531799</v>
      </c>
      <c r="FB26">
        <v>0.26740979999999998</v>
      </c>
      <c r="FC26">
        <v>1531799</v>
      </c>
      <c r="FD26">
        <v>0.39334400000000003</v>
      </c>
      <c r="FE26">
        <v>4086033</v>
      </c>
      <c r="FF26">
        <v>0.15755089999999999</v>
      </c>
      <c r="FG26">
        <v>643758</v>
      </c>
      <c r="FH26">
        <v>0.41619830000000002</v>
      </c>
      <c r="FI26">
        <v>267931</v>
      </c>
      <c r="FJ26">
        <v>0.1168062</v>
      </c>
      <c r="FK26">
        <v>267931</v>
      </c>
      <c r="FL26">
        <v>0.29523650000000001</v>
      </c>
      <c r="FM26">
        <v>267931</v>
      </c>
      <c r="FN26">
        <v>0.58795730000000002</v>
      </c>
      <c r="FO26">
        <v>267931</v>
      </c>
      <c r="FP26">
        <v>0.51250879999999999</v>
      </c>
      <c r="FQ26">
        <v>267931</v>
      </c>
      <c r="FR26">
        <v>0.48749120000000001</v>
      </c>
      <c r="FS26">
        <v>137317</v>
      </c>
      <c r="FT26">
        <v>0.61374039999999996</v>
      </c>
      <c r="FU26">
        <v>137317</v>
      </c>
      <c r="FV26">
        <v>0.38625949999999998</v>
      </c>
      <c r="FW26">
        <v>643758</v>
      </c>
      <c r="FX26">
        <v>0.58380169999999998</v>
      </c>
      <c r="FY26">
        <v>375827</v>
      </c>
      <c r="FZ26">
        <v>6.3962900000000003E-2</v>
      </c>
      <c r="GA26">
        <v>375827</v>
      </c>
      <c r="GB26">
        <v>0.27989740000000002</v>
      </c>
      <c r="GC26">
        <v>375827</v>
      </c>
      <c r="GD26">
        <v>0.65613969999999999</v>
      </c>
      <c r="GE26">
        <v>375827</v>
      </c>
      <c r="GF26">
        <v>0.43425570000000002</v>
      </c>
      <c r="GG26">
        <v>375827</v>
      </c>
      <c r="GH26">
        <v>0.56574429999999998</v>
      </c>
      <c r="GI26">
        <v>163205</v>
      </c>
      <c r="GJ26">
        <v>0.60482219999999998</v>
      </c>
      <c r="GK26">
        <v>163205</v>
      </c>
      <c r="GL26">
        <v>0.39517780000000002</v>
      </c>
      <c r="GM26">
        <v>4086033</v>
      </c>
      <c r="GN26">
        <v>0.84244909999999995</v>
      </c>
      <c r="GO26">
        <v>3442275</v>
      </c>
      <c r="GP26">
        <v>0.4896759</v>
      </c>
      <c r="GQ26">
        <v>1685599</v>
      </c>
      <c r="GR26">
        <v>0.54624919999999999</v>
      </c>
      <c r="GS26">
        <v>1685599</v>
      </c>
      <c r="GT26">
        <v>0.20401710000000001</v>
      </c>
      <c r="GU26">
        <v>1685599</v>
      </c>
      <c r="GV26">
        <v>0.24973380000000001</v>
      </c>
      <c r="GW26">
        <v>1685203</v>
      </c>
      <c r="GX26">
        <v>0.76216340000000005</v>
      </c>
      <c r="GY26">
        <v>1685203</v>
      </c>
      <c r="GZ26">
        <v>0.23783660000000001</v>
      </c>
      <c r="HA26">
        <v>1284400</v>
      </c>
      <c r="HB26">
        <v>0.90787530000000005</v>
      </c>
      <c r="HC26">
        <v>1284400</v>
      </c>
      <c r="HD26">
        <v>9.2124700000000004E-2</v>
      </c>
      <c r="HE26">
        <v>3442275</v>
      </c>
      <c r="HF26">
        <v>0.51032409999999995</v>
      </c>
      <c r="HG26">
        <v>1756676</v>
      </c>
      <c r="HH26">
        <v>0.42451080000000002</v>
      </c>
      <c r="HI26">
        <v>1756676</v>
      </c>
      <c r="HJ26">
        <v>0.241838</v>
      </c>
      <c r="HK26">
        <v>1756676</v>
      </c>
      <c r="HL26">
        <v>0.33365119999999998</v>
      </c>
      <c r="HM26">
        <v>1756495</v>
      </c>
      <c r="HN26">
        <v>0.66666110000000001</v>
      </c>
      <c r="HO26">
        <v>1756495</v>
      </c>
      <c r="HP26">
        <v>0.33333879999999999</v>
      </c>
      <c r="HQ26">
        <v>1170987</v>
      </c>
      <c r="HR26">
        <v>0.91802899999999998</v>
      </c>
      <c r="HS26">
        <v>1170987</v>
      </c>
      <c r="HT26">
        <v>8.1971000000000002E-2</v>
      </c>
      <c r="HU26">
        <v>1180383</v>
      </c>
      <c r="HV26">
        <v>0.19078210000000001</v>
      </c>
      <c r="HW26">
        <v>225196</v>
      </c>
      <c r="HX26">
        <v>0.35389619999999999</v>
      </c>
      <c r="HY26">
        <v>79696</v>
      </c>
      <c r="HZ26">
        <v>0.68343449999999994</v>
      </c>
      <c r="IA26">
        <v>79696</v>
      </c>
      <c r="IB26">
        <v>0.68343449999999994</v>
      </c>
      <c r="IC26">
        <v>79696</v>
      </c>
      <c r="ID26">
        <v>0.68343449999999994</v>
      </c>
      <c r="IE26">
        <v>79696</v>
      </c>
      <c r="IF26">
        <v>0.68343449999999994</v>
      </c>
      <c r="IG26">
        <v>79696</v>
      </c>
      <c r="IH26">
        <v>0.3165655</v>
      </c>
      <c r="II26">
        <v>225196</v>
      </c>
      <c r="IJ26">
        <v>0.64610389999999995</v>
      </c>
      <c r="IK26">
        <v>145500</v>
      </c>
      <c r="IL26">
        <v>0.1698007</v>
      </c>
      <c r="IM26">
        <v>24706</v>
      </c>
      <c r="IN26">
        <v>0.69934430000000003</v>
      </c>
      <c r="IO26">
        <v>17278</v>
      </c>
      <c r="IP26">
        <v>0.2054057</v>
      </c>
      <c r="IQ26">
        <v>17278</v>
      </c>
      <c r="IR26">
        <v>0.33788629999999997</v>
      </c>
      <c r="IS26">
        <v>17278</v>
      </c>
      <c r="IT26">
        <v>0.456708</v>
      </c>
      <c r="IU26">
        <v>24706</v>
      </c>
      <c r="IV26">
        <v>0.30065570000000003</v>
      </c>
      <c r="IW26">
        <v>145500</v>
      </c>
      <c r="IX26">
        <v>0.83019929999999997</v>
      </c>
      <c r="IY26">
        <v>120794</v>
      </c>
      <c r="IZ26">
        <v>0.80668740000000005</v>
      </c>
      <c r="JA26">
        <v>97443</v>
      </c>
      <c r="JB26">
        <v>0.1698018</v>
      </c>
      <c r="JC26">
        <v>97443</v>
      </c>
      <c r="JD26">
        <v>0.25787379999999999</v>
      </c>
      <c r="JE26">
        <v>97443</v>
      </c>
      <c r="JF26">
        <v>0.57232430000000001</v>
      </c>
      <c r="JG26">
        <v>120794</v>
      </c>
      <c r="JH26">
        <v>0.1933126</v>
      </c>
      <c r="JI26">
        <v>1180383</v>
      </c>
      <c r="JJ26">
        <v>3.2635200000000003E-2</v>
      </c>
      <c r="JK26">
        <v>38522</v>
      </c>
      <c r="JL26">
        <v>0.5276206</v>
      </c>
      <c r="JM26">
        <v>20325</v>
      </c>
      <c r="JN26">
        <v>0.64703569999999999</v>
      </c>
      <c r="JO26">
        <v>20325</v>
      </c>
      <c r="JP26">
        <v>0.64703569999999999</v>
      </c>
      <c r="JQ26">
        <v>20325</v>
      </c>
      <c r="JR26">
        <v>0.64703569999999999</v>
      </c>
      <c r="JS26">
        <v>20325</v>
      </c>
      <c r="JT26">
        <v>0.64703569999999999</v>
      </c>
      <c r="JU26">
        <v>20325</v>
      </c>
      <c r="JV26">
        <v>0.35296430000000001</v>
      </c>
      <c r="JW26">
        <v>38522</v>
      </c>
      <c r="JX26">
        <v>0.4723794</v>
      </c>
      <c r="JY26">
        <v>18197</v>
      </c>
      <c r="JZ26">
        <v>0.2381162</v>
      </c>
      <c r="KA26">
        <v>4333</v>
      </c>
      <c r="KB26">
        <v>0.64320330000000003</v>
      </c>
      <c r="KC26">
        <v>2787</v>
      </c>
      <c r="KD26">
        <v>0.2389666</v>
      </c>
      <c r="KE26">
        <v>2787</v>
      </c>
      <c r="KF26">
        <v>0.31216359999999999</v>
      </c>
      <c r="KG26">
        <v>2787</v>
      </c>
      <c r="KH26">
        <v>0.44886979999999999</v>
      </c>
      <c r="KI26">
        <v>4333</v>
      </c>
      <c r="KJ26">
        <v>0.35679670000000002</v>
      </c>
      <c r="KK26">
        <v>18197</v>
      </c>
      <c r="KL26">
        <v>0.76188389999999995</v>
      </c>
      <c r="KM26">
        <v>13864</v>
      </c>
      <c r="KN26">
        <v>0.65010100000000004</v>
      </c>
      <c r="KO26">
        <v>9013</v>
      </c>
      <c r="KP26">
        <v>9.1090599999999994E-2</v>
      </c>
      <c r="KQ26">
        <v>9013</v>
      </c>
      <c r="KR26">
        <v>0.2420948</v>
      </c>
      <c r="KS26">
        <v>9013</v>
      </c>
      <c r="KT26">
        <v>0.66681460000000004</v>
      </c>
      <c r="KU26">
        <v>13864</v>
      </c>
      <c r="KV26">
        <v>0.34989900000000002</v>
      </c>
      <c r="KW26">
        <v>1180383</v>
      </c>
      <c r="KX26">
        <v>6.1590199999999998E-2</v>
      </c>
      <c r="KY26">
        <v>72700</v>
      </c>
      <c r="KZ26">
        <v>0.58386519999999997</v>
      </c>
      <c r="LA26">
        <v>42447</v>
      </c>
      <c r="LB26">
        <v>0.56734280000000004</v>
      </c>
      <c r="LC26">
        <v>42447</v>
      </c>
      <c r="LD26">
        <v>0.56734280000000004</v>
      </c>
      <c r="LE26">
        <v>42447</v>
      </c>
      <c r="LF26">
        <v>0.56734280000000004</v>
      </c>
      <c r="LG26">
        <v>42447</v>
      </c>
      <c r="LH26">
        <v>0.56734280000000004</v>
      </c>
      <c r="LI26">
        <v>42447</v>
      </c>
      <c r="LJ26">
        <v>0.43265720000000002</v>
      </c>
      <c r="LK26">
        <v>72700</v>
      </c>
      <c r="LL26">
        <v>0.41613480000000003</v>
      </c>
      <c r="LM26">
        <v>30253</v>
      </c>
      <c r="LN26">
        <v>0.2454963</v>
      </c>
      <c r="LO26">
        <v>7427</v>
      </c>
      <c r="LP26">
        <v>0.70364890000000002</v>
      </c>
      <c r="LQ26">
        <v>5226</v>
      </c>
      <c r="LR26">
        <v>0.1900115</v>
      </c>
      <c r="LS26">
        <v>5226</v>
      </c>
      <c r="LT26">
        <v>0.27171830000000002</v>
      </c>
      <c r="LU26">
        <v>5226</v>
      </c>
      <c r="LV26">
        <v>0.53827020000000003</v>
      </c>
      <c r="LW26">
        <v>7427</v>
      </c>
      <c r="LX26">
        <v>0.29635119999999998</v>
      </c>
      <c r="LY26">
        <v>30253</v>
      </c>
      <c r="LZ26">
        <v>0.7545037</v>
      </c>
      <c r="MA26">
        <v>22826</v>
      </c>
      <c r="MB26">
        <v>0.64220630000000001</v>
      </c>
      <c r="MC26">
        <v>14659</v>
      </c>
      <c r="MD26">
        <v>0.14475750000000001</v>
      </c>
      <c r="ME26">
        <v>14659</v>
      </c>
      <c r="MF26">
        <v>0.18882599999999999</v>
      </c>
      <c r="MG26">
        <v>14659</v>
      </c>
      <c r="MH26">
        <v>0.66641649999999997</v>
      </c>
      <c r="MI26">
        <v>22826</v>
      </c>
      <c r="MJ26">
        <v>0.35779369999999999</v>
      </c>
      <c r="MK26">
        <v>1180383</v>
      </c>
      <c r="ML26">
        <v>0.71499250000000003</v>
      </c>
      <c r="MM26">
        <v>843965</v>
      </c>
      <c r="MN26">
        <v>0.75871040000000001</v>
      </c>
      <c r="MO26">
        <v>640325</v>
      </c>
      <c r="MP26">
        <v>0.42519030000000002</v>
      </c>
      <c r="MQ26">
        <v>640325</v>
      </c>
      <c r="MR26">
        <v>0.42519030000000002</v>
      </c>
      <c r="MS26">
        <v>640325</v>
      </c>
      <c r="MT26">
        <v>0.42519030000000002</v>
      </c>
      <c r="MU26">
        <v>640325</v>
      </c>
      <c r="MV26">
        <v>0.42519030000000002</v>
      </c>
      <c r="MW26">
        <v>640325</v>
      </c>
      <c r="MX26">
        <v>0.57480969999999998</v>
      </c>
      <c r="MY26">
        <v>843965</v>
      </c>
      <c r="MZ26">
        <v>0.24128959999999999</v>
      </c>
      <c r="NA26">
        <v>203640</v>
      </c>
      <c r="NB26">
        <v>0.31059219999999998</v>
      </c>
      <c r="NC26">
        <v>63249</v>
      </c>
      <c r="ND26">
        <v>0.38811679999999998</v>
      </c>
      <c r="NE26">
        <v>24548</v>
      </c>
      <c r="NF26">
        <v>0.24612999999999999</v>
      </c>
      <c r="NG26">
        <v>24548</v>
      </c>
      <c r="NH26">
        <v>9.9071199999999998E-2</v>
      </c>
      <c r="NI26">
        <v>24548</v>
      </c>
      <c r="NJ26">
        <v>0.65479869999999996</v>
      </c>
      <c r="NK26">
        <v>63249</v>
      </c>
      <c r="NL26">
        <v>0.61188319999999996</v>
      </c>
      <c r="NM26">
        <v>203640</v>
      </c>
      <c r="NN26">
        <v>0.68940780000000002</v>
      </c>
      <c r="NO26">
        <v>140391</v>
      </c>
      <c r="NP26">
        <v>0.45771450000000002</v>
      </c>
      <c r="NQ26">
        <v>64259</v>
      </c>
      <c r="NR26">
        <v>0.1495822</v>
      </c>
      <c r="NS26">
        <v>64259</v>
      </c>
      <c r="NT26">
        <v>8.3241300000000004E-2</v>
      </c>
      <c r="NU26">
        <v>64259</v>
      </c>
      <c r="NV26">
        <v>0.76717659999999999</v>
      </c>
      <c r="NW26">
        <v>140391</v>
      </c>
      <c r="NX26">
        <v>0.54228549999999998</v>
      </c>
    </row>
    <row r="27" spans="1:388" x14ac:dyDescent="0.25">
      <c r="A27" t="s">
        <v>135</v>
      </c>
      <c r="B27">
        <v>2012</v>
      </c>
      <c r="C27">
        <v>1</v>
      </c>
      <c r="D27" t="s">
        <v>560</v>
      </c>
      <c r="E27">
        <v>65626</v>
      </c>
      <c r="F27">
        <v>0.4535093</v>
      </c>
      <c r="G27">
        <v>29762</v>
      </c>
      <c r="H27">
        <v>0.1039245</v>
      </c>
      <c r="I27">
        <v>29762</v>
      </c>
      <c r="J27">
        <v>6.9887999999999999E-3</v>
      </c>
      <c r="K27">
        <v>29762</v>
      </c>
      <c r="L27">
        <v>0.13050200000000001</v>
      </c>
      <c r="M27">
        <v>29762</v>
      </c>
      <c r="N27">
        <v>6.2059000000000003E-2</v>
      </c>
      <c r="O27">
        <v>29762</v>
      </c>
      <c r="P27">
        <v>1.7169500000000001E-2</v>
      </c>
      <c r="Q27">
        <v>29762</v>
      </c>
      <c r="R27">
        <v>4.1059100000000001E-2</v>
      </c>
      <c r="S27">
        <v>29762</v>
      </c>
      <c r="T27">
        <v>0.1622875</v>
      </c>
      <c r="U27">
        <v>29762</v>
      </c>
      <c r="V27">
        <v>0.1000605</v>
      </c>
      <c r="W27">
        <v>29762</v>
      </c>
      <c r="X27">
        <v>0.11390359999999999</v>
      </c>
      <c r="Y27">
        <v>29762</v>
      </c>
      <c r="Z27">
        <v>9.5490900000000004E-2</v>
      </c>
      <c r="AA27">
        <v>29762</v>
      </c>
      <c r="AB27">
        <v>8.2218899999999998E-2</v>
      </c>
      <c r="AC27">
        <v>29762</v>
      </c>
      <c r="AD27">
        <v>4.7577399999999999E-2</v>
      </c>
      <c r="AE27">
        <v>29762</v>
      </c>
      <c r="AF27">
        <v>3.6758300000000001E-2</v>
      </c>
      <c r="AG27">
        <v>65626</v>
      </c>
      <c r="AH27">
        <v>0.5464907</v>
      </c>
      <c r="AI27">
        <v>35864</v>
      </c>
      <c r="AJ27">
        <v>8.15023E-2</v>
      </c>
      <c r="AK27">
        <v>35864</v>
      </c>
      <c r="AL27">
        <v>2.21113E-2</v>
      </c>
      <c r="AM27">
        <v>35864</v>
      </c>
      <c r="AN27">
        <v>0.10556550000000001</v>
      </c>
      <c r="AO27">
        <v>35864</v>
      </c>
      <c r="AP27">
        <v>5.74671E-2</v>
      </c>
      <c r="AQ27">
        <v>35864</v>
      </c>
      <c r="AR27">
        <v>1.6674100000000001E-2</v>
      </c>
      <c r="AS27">
        <v>35864</v>
      </c>
      <c r="AT27">
        <v>3.5021200000000002E-2</v>
      </c>
      <c r="AU27">
        <v>35864</v>
      </c>
      <c r="AV27">
        <v>0.1125641</v>
      </c>
      <c r="AW27">
        <v>35864</v>
      </c>
      <c r="AX27">
        <v>0.16810729999999999</v>
      </c>
      <c r="AY27">
        <v>35864</v>
      </c>
      <c r="AZ27">
        <v>0.13138520000000001</v>
      </c>
      <c r="BA27">
        <v>35864</v>
      </c>
      <c r="BB27">
        <v>8.4736800000000001E-2</v>
      </c>
      <c r="BC27">
        <v>35864</v>
      </c>
      <c r="BD27">
        <v>7.6371800000000004E-2</v>
      </c>
      <c r="BE27">
        <v>35864</v>
      </c>
      <c r="BF27">
        <v>4.8544499999999997E-2</v>
      </c>
      <c r="BG27">
        <v>35864</v>
      </c>
      <c r="BH27">
        <v>5.9948700000000001E-2</v>
      </c>
      <c r="BI27">
        <v>849705</v>
      </c>
      <c r="BJ27">
        <v>0.49525419999999998</v>
      </c>
      <c r="BK27">
        <v>420820</v>
      </c>
      <c r="BL27">
        <v>5.9528999999999999E-2</v>
      </c>
      <c r="BM27">
        <v>420820</v>
      </c>
      <c r="BN27">
        <v>1.47688E-2</v>
      </c>
      <c r="BO27">
        <v>420820</v>
      </c>
      <c r="BP27">
        <v>7.5580999999999995E-2</v>
      </c>
      <c r="BQ27">
        <v>420820</v>
      </c>
      <c r="BR27">
        <v>4.60577E-2</v>
      </c>
      <c r="BS27">
        <v>420820</v>
      </c>
      <c r="BT27">
        <v>1.38563E-2</v>
      </c>
      <c r="BU27">
        <v>420820</v>
      </c>
      <c r="BV27">
        <v>3.1837799999999999E-2</v>
      </c>
      <c r="BW27">
        <v>420820</v>
      </c>
      <c r="BX27">
        <v>8.1029900000000002E-2</v>
      </c>
      <c r="BY27">
        <v>420820</v>
      </c>
      <c r="BZ27">
        <v>0.13785939999999999</v>
      </c>
      <c r="CA27">
        <v>420820</v>
      </c>
      <c r="CB27">
        <v>0.13617219999999999</v>
      </c>
      <c r="CC27">
        <v>420820</v>
      </c>
      <c r="CD27">
        <v>0.1592557</v>
      </c>
      <c r="CE27">
        <v>420820</v>
      </c>
      <c r="CF27">
        <v>0.13363910000000001</v>
      </c>
      <c r="CG27">
        <v>420820</v>
      </c>
      <c r="CH27">
        <v>6.9949200000000003E-2</v>
      </c>
      <c r="CI27">
        <v>420820</v>
      </c>
      <c r="CJ27">
        <v>4.0463899999999997E-2</v>
      </c>
      <c r="CK27">
        <v>849705</v>
      </c>
      <c r="CL27">
        <v>0.50474580000000002</v>
      </c>
      <c r="CM27">
        <v>428885</v>
      </c>
      <c r="CN27">
        <v>5.4996099999999999E-2</v>
      </c>
      <c r="CO27">
        <v>428885</v>
      </c>
      <c r="CP27">
        <v>1.2581500000000001E-2</v>
      </c>
      <c r="CQ27">
        <v>428885</v>
      </c>
      <c r="CR27">
        <v>7.6624300000000006E-2</v>
      </c>
      <c r="CS27">
        <v>428885</v>
      </c>
      <c r="CT27">
        <v>3.8119800000000002E-2</v>
      </c>
      <c r="CU27">
        <v>428885</v>
      </c>
      <c r="CV27">
        <v>1.23786E-2</v>
      </c>
      <c r="CW27">
        <v>428885</v>
      </c>
      <c r="CX27">
        <v>3.06003E-2</v>
      </c>
      <c r="CY27">
        <v>428885</v>
      </c>
      <c r="CZ27">
        <v>7.1744199999999994E-2</v>
      </c>
      <c r="DA27">
        <v>428885</v>
      </c>
      <c r="DB27">
        <v>0.12399830000000001</v>
      </c>
      <c r="DC27">
        <v>428885</v>
      </c>
      <c r="DD27">
        <v>0.13561210000000001</v>
      </c>
      <c r="DE27">
        <v>428885</v>
      </c>
      <c r="DF27">
        <v>0.1677932</v>
      </c>
      <c r="DG27">
        <v>428885</v>
      </c>
      <c r="DH27">
        <v>0.1381443</v>
      </c>
      <c r="DI27">
        <v>428885</v>
      </c>
      <c r="DJ27">
        <v>7.6218599999999997E-2</v>
      </c>
      <c r="DK27">
        <v>428885</v>
      </c>
      <c r="DL27">
        <v>6.1188899999999997E-2</v>
      </c>
      <c r="DM27">
        <v>621102</v>
      </c>
      <c r="DN27">
        <v>5.5670400000000002E-2</v>
      </c>
      <c r="DO27">
        <v>34577</v>
      </c>
      <c r="DP27">
        <v>0.40972320000000001</v>
      </c>
      <c r="DQ27">
        <v>14167</v>
      </c>
      <c r="DR27">
        <v>0.27881699999999998</v>
      </c>
      <c r="DS27">
        <v>14167</v>
      </c>
      <c r="DT27">
        <v>0.28404040000000003</v>
      </c>
      <c r="DU27">
        <v>14167</v>
      </c>
      <c r="DV27">
        <v>0.16990189999999999</v>
      </c>
      <c r="DW27">
        <v>14167</v>
      </c>
      <c r="DX27">
        <v>0.2672408</v>
      </c>
      <c r="DY27">
        <v>34577</v>
      </c>
      <c r="DZ27">
        <v>0.59027680000000005</v>
      </c>
      <c r="EA27">
        <v>20410</v>
      </c>
      <c r="EB27">
        <v>0.23664869999999999</v>
      </c>
      <c r="EC27">
        <v>20410</v>
      </c>
      <c r="ED27">
        <v>0.25051440000000003</v>
      </c>
      <c r="EE27">
        <v>20410</v>
      </c>
      <c r="EF27">
        <v>0.27996080000000001</v>
      </c>
      <c r="EG27">
        <v>20410</v>
      </c>
      <c r="EH27">
        <v>0.232876</v>
      </c>
      <c r="EI27">
        <v>621102</v>
      </c>
      <c r="EJ27">
        <v>0.94432959999999999</v>
      </c>
      <c r="EK27">
        <v>586525</v>
      </c>
      <c r="EL27">
        <v>0.48597760000000001</v>
      </c>
      <c r="EM27">
        <v>285038</v>
      </c>
      <c r="EN27">
        <v>6.0237600000000002E-2</v>
      </c>
      <c r="EO27">
        <v>285038</v>
      </c>
      <c r="EP27">
        <v>0.1801304</v>
      </c>
      <c r="EQ27">
        <v>285038</v>
      </c>
      <c r="ER27">
        <v>0.26584180000000002</v>
      </c>
      <c r="ES27">
        <v>285038</v>
      </c>
      <c r="ET27">
        <v>0.49379030000000002</v>
      </c>
      <c r="EU27">
        <v>586525</v>
      </c>
      <c r="EV27">
        <v>0.51402239999999999</v>
      </c>
      <c r="EW27">
        <v>301487</v>
      </c>
      <c r="EX27">
        <v>6.3641199999999995E-2</v>
      </c>
      <c r="EY27">
        <v>301487</v>
      </c>
      <c r="EZ27">
        <v>0.19372639999999999</v>
      </c>
      <c r="FA27">
        <v>301487</v>
      </c>
      <c r="FB27">
        <v>0.2758892</v>
      </c>
      <c r="FC27">
        <v>301487</v>
      </c>
      <c r="FD27">
        <v>0.46674320000000002</v>
      </c>
      <c r="FE27">
        <v>723838</v>
      </c>
      <c r="FF27">
        <v>6.3442399999999996E-2</v>
      </c>
      <c r="FG27">
        <v>45922</v>
      </c>
      <c r="FH27">
        <v>0.44029010000000002</v>
      </c>
      <c r="FI27">
        <v>20219</v>
      </c>
      <c r="FJ27">
        <v>0.115436</v>
      </c>
      <c r="FK27">
        <v>20219</v>
      </c>
      <c r="FL27">
        <v>0.36802020000000002</v>
      </c>
      <c r="FM27">
        <v>20219</v>
      </c>
      <c r="FN27">
        <v>0.51654389999999994</v>
      </c>
      <c r="FO27">
        <v>20219</v>
      </c>
      <c r="FP27">
        <v>0.57698199999999999</v>
      </c>
      <c r="FQ27">
        <v>20219</v>
      </c>
      <c r="FR27">
        <v>0.4230179</v>
      </c>
      <c r="FS27">
        <v>11666</v>
      </c>
      <c r="FT27">
        <v>0.58606210000000003</v>
      </c>
      <c r="FU27">
        <v>11666</v>
      </c>
      <c r="FV27">
        <v>0.41393790000000003</v>
      </c>
      <c r="FW27">
        <v>45922</v>
      </c>
      <c r="FX27">
        <v>0.55971000000000004</v>
      </c>
      <c r="FY27">
        <v>25703</v>
      </c>
      <c r="FZ27">
        <v>7.2442900000000005E-2</v>
      </c>
      <c r="GA27">
        <v>25703</v>
      </c>
      <c r="GB27">
        <v>0.32093529999999998</v>
      </c>
      <c r="GC27">
        <v>25703</v>
      </c>
      <c r="GD27">
        <v>0.60662179999999999</v>
      </c>
      <c r="GE27">
        <v>25703</v>
      </c>
      <c r="GF27">
        <v>0.46597670000000002</v>
      </c>
      <c r="GG27">
        <v>25703</v>
      </c>
      <c r="GH27">
        <v>0.53402329999999998</v>
      </c>
      <c r="GI27">
        <v>11977</v>
      </c>
      <c r="GJ27">
        <v>0.66911580000000004</v>
      </c>
      <c r="GK27">
        <v>11977</v>
      </c>
      <c r="GL27">
        <v>0.33088420000000002</v>
      </c>
      <c r="GM27">
        <v>723838</v>
      </c>
      <c r="GN27">
        <v>0.93655770000000005</v>
      </c>
      <c r="GO27">
        <v>677916</v>
      </c>
      <c r="GP27">
        <v>0.4905254</v>
      </c>
      <c r="GQ27">
        <v>332535</v>
      </c>
      <c r="GR27">
        <v>0.57891049999999999</v>
      </c>
      <c r="GS27">
        <v>332535</v>
      </c>
      <c r="GT27">
        <v>0.21905359999999999</v>
      </c>
      <c r="GU27">
        <v>332535</v>
      </c>
      <c r="GV27">
        <v>0.20203589999999999</v>
      </c>
      <c r="GW27">
        <v>332345</v>
      </c>
      <c r="GX27">
        <v>0.79034439999999995</v>
      </c>
      <c r="GY27">
        <v>332345</v>
      </c>
      <c r="GZ27">
        <v>0.2096556</v>
      </c>
      <c r="HA27">
        <v>262667</v>
      </c>
      <c r="HB27">
        <v>0.92981990000000003</v>
      </c>
      <c r="HC27">
        <v>262667</v>
      </c>
      <c r="HD27">
        <v>7.0180099999999995E-2</v>
      </c>
      <c r="HE27">
        <v>677916</v>
      </c>
      <c r="HF27">
        <v>0.5094746</v>
      </c>
      <c r="HG27">
        <v>345381</v>
      </c>
      <c r="HH27">
        <v>0.3972019</v>
      </c>
      <c r="HI27">
        <v>345381</v>
      </c>
      <c r="HJ27">
        <v>0.28238669999999999</v>
      </c>
      <c r="HK27">
        <v>345381</v>
      </c>
      <c r="HL27">
        <v>0.32041140000000001</v>
      </c>
      <c r="HM27">
        <v>345276</v>
      </c>
      <c r="HN27">
        <v>0.6670431</v>
      </c>
      <c r="HO27">
        <v>345276</v>
      </c>
      <c r="HP27">
        <v>0.3329568</v>
      </c>
      <c r="HQ27">
        <v>230314</v>
      </c>
      <c r="HR27">
        <v>0.92967860000000002</v>
      </c>
      <c r="HS27">
        <v>230314</v>
      </c>
      <c r="HT27">
        <v>7.0321400000000006E-2</v>
      </c>
      <c r="HU27">
        <v>238170</v>
      </c>
      <c r="HV27">
        <v>7.8658099999999995E-2</v>
      </c>
      <c r="HW27">
        <v>18734</v>
      </c>
      <c r="HX27">
        <v>0.5116366</v>
      </c>
      <c r="HY27">
        <v>9585</v>
      </c>
      <c r="HZ27">
        <v>0.72947309999999999</v>
      </c>
      <c r="IA27">
        <v>9585</v>
      </c>
      <c r="IB27">
        <v>0.72947309999999999</v>
      </c>
      <c r="IC27">
        <v>9585</v>
      </c>
      <c r="ID27">
        <v>0.72947309999999999</v>
      </c>
      <c r="IE27">
        <v>9585</v>
      </c>
      <c r="IF27">
        <v>0.72947309999999999</v>
      </c>
      <c r="IG27">
        <v>9585</v>
      </c>
      <c r="IH27">
        <v>0.27052690000000001</v>
      </c>
      <c r="II27">
        <v>18734</v>
      </c>
      <c r="IJ27">
        <v>0.4883634</v>
      </c>
      <c r="IK27">
        <v>9149</v>
      </c>
      <c r="IL27">
        <v>0.17958250000000001</v>
      </c>
      <c r="IM27">
        <v>1643</v>
      </c>
      <c r="IN27">
        <v>0.62994519999999998</v>
      </c>
      <c r="IO27">
        <v>1035</v>
      </c>
      <c r="IP27">
        <v>0.16811590000000001</v>
      </c>
      <c r="IQ27">
        <v>1035</v>
      </c>
      <c r="IR27">
        <v>0.39613530000000002</v>
      </c>
      <c r="IS27">
        <v>1035</v>
      </c>
      <c r="IT27">
        <v>0.43574879999999999</v>
      </c>
      <c r="IU27">
        <v>1643</v>
      </c>
      <c r="IV27">
        <v>0.37005480000000002</v>
      </c>
      <c r="IW27">
        <v>9149</v>
      </c>
      <c r="IX27">
        <v>0.82041750000000002</v>
      </c>
      <c r="IY27">
        <v>7506</v>
      </c>
      <c r="IZ27">
        <v>0.81774579999999997</v>
      </c>
      <c r="JA27">
        <v>6138</v>
      </c>
      <c r="JB27">
        <v>0.212447</v>
      </c>
      <c r="JC27">
        <v>6138</v>
      </c>
      <c r="JD27">
        <v>0.24600849999999999</v>
      </c>
      <c r="JE27">
        <v>6138</v>
      </c>
      <c r="JF27">
        <v>0.54154449999999998</v>
      </c>
      <c r="JG27">
        <v>7506</v>
      </c>
      <c r="JH27">
        <v>0.18225420000000001</v>
      </c>
      <c r="JI27">
        <v>238170</v>
      </c>
      <c r="JJ27">
        <v>2.0993399999999999E-2</v>
      </c>
      <c r="JK27">
        <v>5000</v>
      </c>
      <c r="JL27">
        <v>0.56240000000000001</v>
      </c>
      <c r="JM27">
        <v>2812</v>
      </c>
      <c r="JN27">
        <v>0.59957329999999998</v>
      </c>
      <c r="JO27">
        <v>2812</v>
      </c>
      <c r="JP27">
        <v>0.59957329999999998</v>
      </c>
      <c r="JQ27">
        <v>2812</v>
      </c>
      <c r="JR27">
        <v>0.59957329999999998</v>
      </c>
      <c r="JS27">
        <v>2812</v>
      </c>
      <c r="JT27">
        <v>0.59957329999999998</v>
      </c>
      <c r="JU27">
        <v>2812</v>
      </c>
      <c r="JV27">
        <v>0.40042670000000002</v>
      </c>
      <c r="JW27">
        <v>5000</v>
      </c>
      <c r="JX27">
        <v>0.43759999999999999</v>
      </c>
      <c r="JY27">
        <v>2188</v>
      </c>
      <c r="JZ27">
        <v>7.2212100000000001E-2</v>
      </c>
      <c r="KA27">
        <v>158</v>
      </c>
      <c r="KB27">
        <v>0.71518990000000005</v>
      </c>
      <c r="KC27">
        <v>113</v>
      </c>
      <c r="KD27">
        <v>0</v>
      </c>
      <c r="KE27">
        <v>113</v>
      </c>
      <c r="KF27">
        <v>0</v>
      </c>
      <c r="KG27">
        <v>113</v>
      </c>
      <c r="KH27">
        <v>1</v>
      </c>
      <c r="KI27">
        <v>158</v>
      </c>
      <c r="KJ27">
        <v>0.28481010000000001</v>
      </c>
      <c r="KK27">
        <v>2188</v>
      </c>
      <c r="KL27">
        <v>0.92778799999999995</v>
      </c>
      <c r="KM27">
        <v>2030</v>
      </c>
      <c r="KN27">
        <v>0.67339899999999997</v>
      </c>
      <c r="KO27">
        <v>1367</v>
      </c>
      <c r="KP27">
        <v>7.8273599999999999E-2</v>
      </c>
      <c r="KQ27">
        <v>1367</v>
      </c>
      <c r="KR27">
        <v>0.11850769999999999</v>
      </c>
      <c r="KS27">
        <v>1367</v>
      </c>
      <c r="KT27">
        <v>0.80321869999999995</v>
      </c>
      <c r="KU27">
        <v>2030</v>
      </c>
      <c r="KV27">
        <v>0.32660099999999997</v>
      </c>
      <c r="KW27">
        <v>238170</v>
      </c>
      <c r="KX27">
        <v>3.2648900000000002E-2</v>
      </c>
      <c r="KY27">
        <v>7776</v>
      </c>
      <c r="KZ27">
        <v>0.71296300000000001</v>
      </c>
      <c r="LA27">
        <v>5544</v>
      </c>
      <c r="LB27">
        <v>0.65800860000000005</v>
      </c>
      <c r="LC27">
        <v>5544</v>
      </c>
      <c r="LD27">
        <v>0.65800860000000005</v>
      </c>
      <c r="LE27">
        <v>5544</v>
      </c>
      <c r="LF27">
        <v>0.65800860000000005</v>
      </c>
      <c r="LG27">
        <v>5544</v>
      </c>
      <c r="LH27">
        <v>0.65800860000000005</v>
      </c>
      <c r="LI27">
        <v>5544</v>
      </c>
      <c r="LJ27">
        <v>0.3419913</v>
      </c>
      <c r="LK27">
        <v>7776</v>
      </c>
      <c r="LL27">
        <v>0.28703699999999999</v>
      </c>
      <c r="LM27">
        <v>2232</v>
      </c>
      <c r="LN27">
        <v>0.265681</v>
      </c>
      <c r="LO27">
        <v>593</v>
      </c>
      <c r="LP27">
        <v>0.36256329999999998</v>
      </c>
      <c r="LQ27">
        <v>215</v>
      </c>
      <c r="LR27">
        <v>0.32558140000000002</v>
      </c>
      <c r="LS27">
        <v>215</v>
      </c>
      <c r="LT27">
        <v>0.18139540000000001</v>
      </c>
      <c r="LU27">
        <v>215</v>
      </c>
      <c r="LV27">
        <v>0.49302319999999999</v>
      </c>
      <c r="LW27">
        <v>593</v>
      </c>
      <c r="LX27">
        <v>0.63743669999999997</v>
      </c>
      <c r="LY27">
        <v>2232</v>
      </c>
      <c r="LZ27">
        <v>0.73431900000000006</v>
      </c>
      <c r="MA27">
        <v>1639</v>
      </c>
      <c r="MB27">
        <v>0.60768759999999999</v>
      </c>
      <c r="MC27">
        <v>996</v>
      </c>
      <c r="MD27">
        <v>0.12650600000000001</v>
      </c>
      <c r="ME27">
        <v>996</v>
      </c>
      <c r="MF27">
        <v>0.16867470000000001</v>
      </c>
      <c r="MG27">
        <v>996</v>
      </c>
      <c r="MH27">
        <v>0.70481930000000004</v>
      </c>
      <c r="MI27">
        <v>1639</v>
      </c>
      <c r="MJ27">
        <v>0.39231240000000001</v>
      </c>
      <c r="MK27">
        <v>238170</v>
      </c>
      <c r="ML27">
        <v>0.86769960000000002</v>
      </c>
      <c r="MM27">
        <v>206660</v>
      </c>
      <c r="MN27">
        <v>0.84890160000000003</v>
      </c>
      <c r="MO27">
        <v>175434</v>
      </c>
      <c r="MP27">
        <v>0.4599451</v>
      </c>
      <c r="MQ27">
        <v>175434</v>
      </c>
      <c r="MR27">
        <v>0.4599451</v>
      </c>
      <c r="MS27">
        <v>175434</v>
      </c>
      <c r="MT27">
        <v>0.4599451</v>
      </c>
      <c r="MU27">
        <v>175434</v>
      </c>
      <c r="MV27">
        <v>0.4599451</v>
      </c>
      <c r="MW27">
        <v>175434</v>
      </c>
      <c r="MX27">
        <v>0.54005499999999995</v>
      </c>
      <c r="MY27">
        <v>206660</v>
      </c>
      <c r="MZ27">
        <v>0.15109839999999999</v>
      </c>
      <c r="NA27">
        <v>31226</v>
      </c>
      <c r="NB27">
        <v>0.30260039999999999</v>
      </c>
      <c r="NC27">
        <v>9449</v>
      </c>
      <c r="ND27">
        <v>0.4830141</v>
      </c>
      <c r="NE27">
        <v>4564</v>
      </c>
      <c r="NF27">
        <v>0.2517529</v>
      </c>
      <c r="NG27">
        <v>4564</v>
      </c>
      <c r="NH27">
        <v>5.9158599999999999E-2</v>
      </c>
      <c r="NI27">
        <v>4564</v>
      </c>
      <c r="NJ27">
        <v>0.68908849999999999</v>
      </c>
      <c r="NK27">
        <v>9449</v>
      </c>
      <c r="NL27">
        <v>0.51698599999999995</v>
      </c>
      <c r="NM27">
        <v>31226</v>
      </c>
      <c r="NN27">
        <v>0.69739960000000001</v>
      </c>
      <c r="NO27">
        <v>21777</v>
      </c>
      <c r="NP27">
        <v>0.42645909999999998</v>
      </c>
      <c r="NQ27">
        <v>9287</v>
      </c>
      <c r="NR27">
        <v>9.8094100000000004E-2</v>
      </c>
      <c r="NS27">
        <v>9287</v>
      </c>
      <c r="NT27">
        <v>6.8590499999999999E-2</v>
      </c>
      <c r="NU27">
        <v>9287</v>
      </c>
      <c r="NV27">
        <v>0.83331540000000004</v>
      </c>
      <c r="NW27">
        <v>21777</v>
      </c>
      <c r="NX27">
        <v>0.57354090000000002</v>
      </c>
    </row>
    <row r="28" spans="1:388" x14ac:dyDescent="0.25">
      <c r="A28" t="s">
        <v>134</v>
      </c>
      <c r="B28">
        <v>2012</v>
      </c>
      <c r="C28">
        <v>1</v>
      </c>
      <c r="D28" t="s">
        <v>561</v>
      </c>
      <c r="E28">
        <v>62207</v>
      </c>
      <c r="F28">
        <v>0.48529909999999998</v>
      </c>
      <c r="G28">
        <v>30189</v>
      </c>
      <c r="H28">
        <v>0.13806350000000001</v>
      </c>
      <c r="I28">
        <v>30189</v>
      </c>
      <c r="J28">
        <v>2.5174700000000001E-2</v>
      </c>
      <c r="K28">
        <v>30189</v>
      </c>
      <c r="L28">
        <v>0.2148796</v>
      </c>
      <c r="M28">
        <v>30189</v>
      </c>
      <c r="N28">
        <v>9.5398999999999998E-2</v>
      </c>
      <c r="O28">
        <v>30189</v>
      </c>
      <c r="P28">
        <v>1.6462999999999998E-2</v>
      </c>
      <c r="Q28">
        <v>30189</v>
      </c>
      <c r="R28">
        <v>2.8818400000000001E-2</v>
      </c>
      <c r="S28">
        <v>30189</v>
      </c>
      <c r="T28">
        <v>6.4029900000000001E-2</v>
      </c>
      <c r="U28">
        <v>30189</v>
      </c>
      <c r="V28">
        <v>0.1031502</v>
      </c>
      <c r="W28">
        <v>30189</v>
      </c>
      <c r="X28">
        <v>0.15399650000000001</v>
      </c>
      <c r="Y28">
        <v>30189</v>
      </c>
      <c r="Z28">
        <v>7.8604800000000002E-2</v>
      </c>
      <c r="AA28">
        <v>30189</v>
      </c>
      <c r="AB28">
        <v>5.68088E-2</v>
      </c>
      <c r="AC28">
        <v>30189</v>
      </c>
      <c r="AD28">
        <v>1.11299E-2</v>
      </c>
      <c r="AE28">
        <v>30189</v>
      </c>
      <c r="AF28">
        <v>1.3481699999999999E-2</v>
      </c>
      <c r="AG28">
        <v>62207</v>
      </c>
      <c r="AH28">
        <v>0.51470090000000002</v>
      </c>
      <c r="AI28">
        <v>32018</v>
      </c>
      <c r="AJ28">
        <v>9.8350900000000005E-2</v>
      </c>
      <c r="AK28">
        <v>32018</v>
      </c>
      <c r="AL28">
        <v>3.0045599999999999E-2</v>
      </c>
      <c r="AM28">
        <v>32018</v>
      </c>
      <c r="AN28">
        <v>0.1372353</v>
      </c>
      <c r="AO28">
        <v>32018</v>
      </c>
      <c r="AP28">
        <v>3.8915600000000002E-2</v>
      </c>
      <c r="AQ28">
        <v>32018</v>
      </c>
      <c r="AR28">
        <v>1.2992699999999999E-2</v>
      </c>
      <c r="AS28">
        <v>32018</v>
      </c>
      <c r="AT28">
        <v>3.2544200000000002E-2</v>
      </c>
      <c r="AU28">
        <v>32018</v>
      </c>
      <c r="AV28">
        <v>0.119589</v>
      </c>
      <c r="AW28">
        <v>32018</v>
      </c>
      <c r="AX28">
        <v>0.20869509999999999</v>
      </c>
      <c r="AY28">
        <v>32018</v>
      </c>
      <c r="AZ28">
        <v>0.13489290000000001</v>
      </c>
      <c r="BA28">
        <v>32018</v>
      </c>
      <c r="BB28">
        <v>8.3265699999999998E-2</v>
      </c>
      <c r="BC28">
        <v>32018</v>
      </c>
      <c r="BD28">
        <v>4.8847500000000002E-2</v>
      </c>
      <c r="BE28">
        <v>32018</v>
      </c>
      <c r="BF28">
        <v>3.1451100000000003E-2</v>
      </c>
      <c r="BG28">
        <v>32018</v>
      </c>
      <c r="BH28">
        <v>2.3174500000000001E-2</v>
      </c>
      <c r="BI28">
        <v>453694</v>
      </c>
      <c r="BJ28">
        <v>0.50267139999999999</v>
      </c>
      <c r="BK28">
        <v>228059</v>
      </c>
      <c r="BL28">
        <v>6.6456500000000002E-2</v>
      </c>
      <c r="BM28">
        <v>228059</v>
      </c>
      <c r="BN28">
        <v>1.0470999999999999E-2</v>
      </c>
      <c r="BO28">
        <v>228059</v>
      </c>
      <c r="BP28">
        <v>9.3107499999999996E-2</v>
      </c>
      <c r="BQ28">
        <v>228059</v>
      </c>
      <c r="BR28">
        <v>4.0107999999999998E-2</v>
      </c>
      <c r="BS28">
        <v>228059</v>
      </c>
      <c r="BT28">
        <v>1.5671399999999999E-2</v>
      </c>
      <c r="BU28">
        <v>228059</v>
      </c>
      <c r="BV28">
        <v>3.3315900000000002E-2</v>
      </c>
      <c r="BW28">
        <v>228059</v>
      </c>
      <c r="BX28">
        <v>9.3708200000000005E-2</v>
      </c>
      <c r="BY28">
        <v>228059</v>
      </c>
      <c r="BZ28">
        <v>0.12965070000000001</v>
      </c>
      <c r="CA28">
        <v>228059</v>
      </c>
      <c r="CB28">
        <v>0.14482220000000001</v>
      </c>
      <c r="CC28">
        <v>228059</v>
      </c>
      <c r="CD28">
        <v>0.15412239999999999</v>
      </c>
      <c r="CE28">
        <v>228059</v>
      </c>
      <c r="CF28">
        <v>0.1149527</v>
      </c>
      <c r="CG28">
        <v>228059</v>
      </c>
      <c r="CH28">
        <v>6.4342999999999997E-2</v>
      </c>
      <c r="CI28">
        <v>228059</v>
      </c>
      <c r="CJ28">
        <v>3.92705E-2</v>
      </c>
      <c r="CK28">
        <v>453694</v>
      </c>
      <c r="CL28">
        <v>0.49732860000000001</v>
      </c>
      <c r="CM28">
        <v>225635</v>
      </c>
      <c r="CN28">
        <v>6.3895199999999999E-2</v>
      </c>
      <c r="CO28">
        <v>225635</v>
      </c>
      <c r="CP28">
        <v>1.5875199999999999E-2</v>
      </c>
      <c r="CQ28">
        <v>225635</v>
      </c>
      <c r="CR28">
        <v>8.5740200000000003E-2</v>
      </c>
      <c r="CS28">
        <v>225635</v>
      </c>
      <c r="CT28">
        <v>4.7554699999999998E-2</v>
      </c>
      <c r="CU28">
        <v>225635</v>
      </c>
      <c r="CV28">
        <v>1.20815E-2</v>
      </c>
      <c r="CW28">
        <v>225635</v>
      </c>
      <c r="CX28">
        <v>3.5553000000000001E-2</v>
      </c>
      <c r="CY28">
        <v>225635</v>
      </c>
      <c r="CZ28">
        <v>7.4562900000000001E-2</v>
      </c>
      <c r="DA28">
        <v>225635</v>
      </c>
      <c r="DB28">
        <v>0.114734</v>
      </c>
      <c r="DC28">
        <v>225635</v>
      </c>
      <c r="DD28">
        <v>0.1492588</v>
      </c>
      <c r="DE28">
        <v>225635</v>
      </c>
      <c r="DF28">
        <v>0.1522104</v>
      </c>
      <c r="DG28">
        <v>225635</v>
      </c>
      <c r="DH28">
        <v>0.1225253</v>
      </c>
      <c r="DI28">
        <v>225635</v>
      </c>
      <c r="DJ28">
        <v>6.9173700000000005E-2</v>
      </c>
      <c r="DK28">
        <v>225635</v>
      </c>
      <c r="DL28">
        <v>5.6835200000000002E-2</v>
      </c>
      <c r="DM28">
        <v>327153</v>
      </c>
      <c r="DN28">
        <v>9.0398099999999995E-2</v>
      </c>
      <c r="DO28">
        <v>29574</v>
      </c>
      <c r="DP28">
        <v>0.42584699999999998</v>
      </c>
      <c r="DQ28">
        <v>12594</v>
      </c>
      <c r="DR28">
        <v>0.4421947</v>
      </c>
      <c r="DS28">
        <v>12594</v>
      </c>
      <c r="DT28">
        <v>0.2051771</v>
      </c>
      <c r="DU28">
        <v>12594</v>
      </c>
      <c r="DV28">
        <v>0.2229633</v>
      </c>
      <c r="DW28">
        <v>12594</v>
      </c>
      <c r="DX28">
        <v>0.1296649</v>
      </c>
      <c r="DY28">
        <v>29574</v>
      </c>
      <c r="DZ28">
        <v>0.57415289999999997</v>
      </c>
      <c r="EA28">
        <v>16980</v>
      </c>
      <c r="EB28">
        <v>0.36177860000000001</v>
      </c>
      <c r="EC28">
        <v>16980</v>
      </c>
      <c r="ED28">
        <v>0.33156649999999999</v>
      </c>
      <c r="EE28">
        <v>16980</v>
      </c>
      <c r="EF28">
        <v>0.20541809999999999</v>
      </c>
      <c r="EG28">
        <v>16980</v>
      </c>
      <c r="EH28">
        <v>0.1012367</v>
      </c>
      <c r="EI28">
        <v>327153</v>
      </c>
      <c r="EJ28">
        <v>0.90960189999999996</v>
      </c>
      <c r="EK28">
        <v>297579</v>
      </c>
      <c r="EL28">
        <v>0.49597249999999998</v>
      </c>
      <c r="EM28">
        <v>147591</v>
      </c>
      <c r="EN28">
        <v>0.15623580000000001</v>
      </c>
      <c r="EO28">
        <v>147591</v>
      </c>
      <c r="EP28">
        <v>0.2372435</v>
      </c>
      <c r="EQ28">
        <v>147591</v>
      </c>
      <c r="ER28">
        <v>0.2704433</v>
      </c>
      <c r="ES28">
        <v>147591</v>
      </c>
      <c r="ET28">
        <v>0.33607740000000003</v>
      </c>
      <c r="EU28">
        <v>297579</v>
      </c>
      <c r="EV28">
        <v>0.50402749999999996</v>
      </c>
      <c r="EW28">
        <v>149988</v>
      </c>
      <c r="EX28">
        <v>0.1384444</v>
      </c>
      <c r="EY28">
        <v>149988</v>
      </c>
      <c r="EZ28">
        <v>0.23642560000000001</v>
      </c>
      <c r="FA28">
        <v>149988</v>
      </c>
      <c r="FB28">
        <v>0.28565620000000003</v>
      </c>
      <c r="FC28">
        <v>149988</v>
      </c>
      <c r="FD28">
        <v>0.33947379999999999</v>
      </c>
      <c r="FE28">
        <v>388642</v>
      </c>
      <c r="FF28">
        <v>9.5841399999999993E-2</v>
      </c>
      <c r="FG28">
        <v>37248</v>
      </c>
      <c r="FH28">
        <v>0.41336450000000002</v>
      </c>
      <c r="FI28">
        <v>15397</v>
      </c>
      <c r="FJ28">
        <v>0.21530170000000001</v>
      </c>
      <c r="FK28">
        <v>15397</v>
      </c>
      <c r="FL28">
        <v>0.41326230000000003</v>
      </c>
      <c r="FM28">
        <v>15397</v>
      </c>
      <c r="FN28">
        <v>0.37143599999999999</v>
      </c>
      <c r="FO28">
        <v>15397</v>
      </c>
      <c r="FP28">
        <v>0.73345459999999996</v>
      </c>
      <c r="FQ28">
        <v>15397</v>
      </c>
      <c r="FR28">
        <v>0.26654539999999999</v>
      </c>
      <c r="FS28">
        <v>11293</v>
      </c>
      <c r="FT28">
        <v>0.69414679999999995</v>
      </c>
      <c r="FU28">
        <v>11293</v>
      </c>
      <c r="FV28">
        <v>0.30585319999999999</v>
      </c>
      <c r="FW28">
        <v>37248</v>
      </c>
      <c r="FX28">
        <v>0.58663549999999998</v>
      </c>
      <c r="FY28">
        <v>21851</v>
      </c>
      <c r="FZ28">
        <v>0.10113949999999999</v>
      </c>
      <c r="GA28">
        <v>21851</v>
      </c>
      <c r="GB28">
        <v>0.34250150000000001</v>
      </c>
      <c r="GC28">
        <v>21851</v>
      </c>
      <c r="GD28">
        <v>0.55635900000000005</v>
      </c>
      <c r="GE28">
        <v>21851</v>
      </c>
      <c r="GF28">
        <v>0.51576580000000005</v>
      </c>
      <c r="GG28">
        <v>21851</v>
      </c>
      <c r="GH28">
        <v>0.4842341</v>
      </c>
      <c r="GI28">
        <v>11270</v>
      </c>
      <c r="GJ28">
        <v>0.63274180000000002</v>
      </c>
      <c r="GK28">
        <v>11270</v>
      </c>
      <c r="GL28">
        <v>0.36725819999999998</v>
      </c>
      <c r="GM28">
        <v>388642</v>
      </c>
      <c r="GN28">
        <v>0.90415860000000003</v>
      </c>
      <c r="GO28">
        <v>351394</v>
      </c>
      <c r="GP28">
        <v>0.50245589999999996</v>
      </c>
      <c r="GQ28">
        <v>176560</v>
      </c>
      <c r="GR28">
        <v>0.55457630000000002</v>
      </c>
      <c r="GS28">
        <v>176560</v>
      </c>
      <c r="GT28">
        <v>0.23909720000000001</v>
      </c>
      <c r="GU28">
        <v>176560</v>
      </c>
      <c r="GV28">
        <v>0.2063265</v>
      </c>
      <c r="GW28">
        <v>176381</v>
      </c>
      <c r="GX28">
        <v>0.78718790000000005</v>
      </c>
      <c r="GY28">
        <v>176381</v>
      </c>
      <c r="GZ28">
        <v>0.212812</v>
      </c>
      <c r="HA28">
        <v>138845</v>
      </c>
      <c r="HB28">
        <v>0.92703369999999996</v>
      </c>
      <c r="HC28">
        <v>138845</v>
      </c>
      <c r="HD28">
        <v>7.2966299999999998E-2</v>
      </c>
      <c r="HE28">
        <v>351394</v>
      </c>
      <c r="HF28">
        <v>0.49754409999999999</v>
      </c>
      <c r="HG28">
        <v>174834</v>
      </c>
      <c r="HH28">
        <v>0.38102429999999998</v>
      </c>
      <c r="HI28">
        <v>174834</v>
      </c>
      <c r="HJ28">
        <v>0.270897</v>
      </c>
      <c r="HK28">
        <v>174834</v>
      </c>
      <c r="HL28">
        <v>0.34807880000000002</v>
      </c>
      <c r="HM28">
        <v>174834</v>
      </c>
      <c r="HN28">
        <v>0.64648749999999999</v>
      </c>
      <c r="HO28">
        <v>174834</v>
      </c>
      <c r="HP28">
        <v>0.35351250000000001</v>
      </c>
      <c r="HQ28">
        <v>113028</v>
      </c>
      <c r="HR28">
        <v>0.92126730000000001</v>
      </c>
      <c r="HS28">
        <v>113028</v>
      </c>
      <c r="HT28">
        <v>7.8732700000000003E-2</v>
      </c>
      <c r="HU28">
        <v>128876</v>
      </c>
      <c r="HV28">
        <v>0.13884669999999999</v>
      </c>
      <c r="HW28">
        <v>17894</v>
      </c>
      <c r="HX28">
        <v>0.44735659999999999</v>
      </c>
      <c r="HY28">
        <v>8005</v>
      </c>
      <c r="HZ28">
        <v>0.84971890000000005</v>
      </c>
      <c r="IA28">
        <v>8005</v>
      </c>
      <c r="IB28">
        <v>0.84971890000000005</v>
      </c>
      <c r="IC28">
        <v>8005</v>
      </c>
      <c r="ID28">
        <v>0.84971890000000005</v>
      </c>
      <c r="IE28">
        <v>8005</v>
      </c>
      <c r="IF28">
        <v>0.84971890000000005</v>
      </c>
      <c r="IG28">
        <v>8005</v>
      </c>
      <c r="IH28">
        <v>0.1502811</v>
      </c>
      <c r="II28">
        <v>17894</v>
      </c>
      <c r="IJ28">
        <v>0.55264340000000001</v>
      </c>
      <c r="IK28">
        <v>9889</v>
      </c>
      <c r="IL28">
        <v>0.26676100000000003</v>
      </c>
      <c r="IM28">
        <v>2638</v>
      </c>
      <c r="IN28">
        <v>0.79340409999999995</v>
      </c>
      <c r="IO28">
        <v>2093</v>
      </c>
      <c r="IP28">
        <v>0.21022460000000001</v>
      </c>
      <c r="IQ28">
        <v>2093</v>
      </c>
      <c r="IR28">
        <v>0.41614909999999999</v>
      </c>
      <c r="IS28">
        <v>2093</v>
      </c>
      <c r="IT28">
        <v>0.37362640000000003</v>
      </c>
      <c r="IU28">
        <v>2638</v>
      </c>
      <c r="IV28">
        <v>0.2065959</v>
      </c>
      <c r="IW28">
        <v>9889</v>
      </c>
      <c r="IX28">
        <v>0.73323890000000003</v>
      </c>
      <c r="IY28">
        <v>7251</v>
      </c>
      <c r="IZ28">
        <v>0.86457039999999996</v>
      </c>
      <c r="JA28">
        <v>6269</v>
      </c>
      <c r="JB28">
        <v>0.1244218</v>
      </c>
      <c r="JC28">
        <v>6269</v>
      </c>
      <c r="JD28">
        <v>0.2064125</v>
      </c>
      <c r="JE28">
        <v>6269</v>
      </c>
      <c r="JF28">
        <v>0.66916569999999997</v>
      </c>
      <c r="JG28">
        <v>7251</v>
      </c>
      <c r="JH28">
        <v>0.13542960000000001</v>
      </c>
      <c r="JI28">
        <v>128876</v>
      </c>
      <c r="JJ28">
        <v>3.1588499999999999E-2</v>
      </c>
      <c r="JK28">
        <v>4071</v>
      </c>
      <c r="JL28">
        <v>0.43330879999999999</v>
      </c>
      <c r="JM28">
        <v>1764</v>
      </c>
      <c r="JN28">
        <v>0.72732419999999998</v>
      </c>
      <c r="JO28">
        <v>1764</v>
      </c>
      <c r="JP28">
        <v>0.72732419999999998</v>
      </c>
      <c r="JQ28">
        <v>1764</v>
      </c>
      <c r="JR28">
        <v>0.72732419999999998</v>
      </c>
      <c r="JS28">
        <v>1764</v>
      </c>
      <c r="JT28">
        <v>0.72732419999999998</v>
      </c>
      <c r="JU28">
        <v>1764</v>
      </c>
      <c r="JV28">
        <v>0.27267570000000002</v>
      </c>
      <c r="JW28">
        <v>4071</v>
      </c>
      <c r="JX28">
        <v>0.56669119999999995</v>
      </c>
      <c r="JY28">
        <v>2307</v>
      </c>
      <c r="JZ28">
        <v>0.4117902</v>
      </c>
      <c r="KA28">
        <v>950</v>
      </c>
      <c r="KB28">
        <v>0.87684209999999996</v>
      </c>
      <c r="KC28">
        <v>833</v>
      </c>
      <c r="KD28">
        <v>0.64825929999999998</v>
      </c>
      <c r="KE28">
        <v>833</v>
      </c>
      <c r="KF28">
        <v>7.3229299999999997E-2</v>
      </c>
      <c r="KG28">
        <v>833</v>
      </c>
      <c r="KH28">
        <v>0.27851140000000002</v>
      </c>
      <c r="KI28">
        <v>950</v>
      </c>
      <c r="KJ28">
        <v>0.1231579</v>
      </c>
      <c r="KK28">
        <v>2307</v>
      </c>
      <c r="KL28">
        <v>0.5882098</v>
      </c>
      <c r="KM28">
        <v>1357</v>
      </c>
      <c r="KN28">
        <v>0.64775240000000001</v>
      </c>
      <c r="KO28">
        <v>879</v>
      </c>
      <c r="KP28">
        <v>0.38111489999999998</v>
      </c>
      <c r="KQ28">
        <v>879</v>
      </c>
      <c r="KR28">
        <v>8.0773600000000001E-2</v>
      </c>
      <c r="KS28">
        <v>879</v>
      </c>
      <c r="KT28">
        <v>0.53811149999999996</v>
      </c>
      <c r="KU28">
        <v>1357</v>
      </c>
      <c r="KV28">
        <v>0.35224759999999999</v>
      </c>
      <c r="KW28">
        <v>128876</v>
      </c>
      <c r="KX28">
        <v>5.6457399999999998E-2</v>
      </c>
      <c r="KY28">
        <v>7276</v>
      </c>
      <c r="KZ28">
        <v>0.72003850000000003</v>
      </c>
      <c r="LA28">
        <v>5239</v>
      </c>
      <c r="LB28">
        <v>0.74804349999999997</v>
      </c>
      <c r="LC28">
        <v>5239</v>
      </c>
      <c r="LD28">
        <v>0.74804349999999997</v>
      </c>
      <c r="LE28">
        <v>5239</v>
      </c>
      <c r="LF28">
        <v>0.74804349999999997</v>
      </c>
      <c r="LG28">
        <v>5239</v>
      </c>
      <c r="LH28">
        <v>0.74804349999999997</v>
      </c>
      <c r="LI28">
        <v>5239</v>
      </c>
      <c r="LJ28">
        <v>0.25195650000000003</v>
      </c>
      <c r="LK28">
        <v>7276</v>
      </c>
      <c r="LL28">
        <v>0.27996149999999997</v>
      </c>
      <c r="LM28">
        <v>2037</v>
      </c>
      <c r="LN28">
        <v>0.26755030000000002</v>
      </c>
      <c r="LO28">
        <v>545</v>
      </c>
      <c r="LP28">
        <v>0.84403669999999997</v>
      </c>
      <c r="LQ28">
        <v>460</v>
      </c>
      <c r="LR28">
        <v>0.23913039999999999</v>
      </c>
      <c r="LS28">
        <v>460</v>
      </c>
      <c r="LT28">
        <v>0.2</v>
      </c>
      <c r="LU28">
        <v>460</v>
      </c>
      <c r="LV28">
        <v>0.56086959999999997</v>
      </c>
      <c r="LW28">
        <v>545</v>
      </c>
      <c r="LX28">
        <v>0.1559633</v>
      </c>
      <c r="LY28">
        <v>2037</v>
      </c>
      <c r="LZ28">
        <v>0.73244969999999998</v>
      </c>
      <c r="MA28">
        <v>1492</v>
      </c>
      <c r="MB28">
        <v>0.86863270000000004</v>
      </c>
      <c r="MC28">
        <v>1296</v>
      </c>
      <c r="MD28">
        <v>0.12808639999999999</v>
      </c>
      <c r="ME28">
        <v>1296</v>
      </c>
      <c r="MF28">
        <v>0.25617279999999998</v>
      </c>
      <c r="MG28">
        <v>1296</v>
      </c>
      <c r="MH28">
        <v>0.61574070000000003</v>
      </c>
      <c r="MI28">
        <v>1492</v>
      </c>
      <c r="MJ28">
        <v>0.13136729999999999</v>
      </c>
      <c r="MK28">
        <v>128876</v>
      </c>
      <c r="ML28">
        <v>0.77310749999999995</v>
      </c>
      <c r="MM28">
        <v>99635</v>
      </c>
      <c r="MN28">
        <v>0.86559949999999997</v>
      </c>
      <c r="MO28">
        <v>86244</v>
      </c>
      <c r="MP28">
        <v>0.45709850000000002</v>
      </c>
      <c r="MQ28">
        <v>86244</v>
      </c>
      <c r="MR28">
        <v>0.45709850000000002</v>
      </c>
      <c r="MS28">
        <v>86244</v>
      </c>
      <c r="MT28">
        <v>0.45709850000000002</v>
      </c>
      <c r="MU28">
        <v>86244</v>
      </c>
      <c r="MV28">
        <v>0.45709850000000002</v>
      </c>
      <c r="MW28">
        <v>86244</v>
      </c>
      <c r="MX28">
        <v>0.54290150000000004</v>
      </c>
      <c r="MY28">
        <v>99635</v>
      </c>
      <c r="MZ28">
        <v>0.13440060000000001</v>
      </c>
      <c r="NA28">
        <v>13391</v>
      </c>
      <c r="NB28">
        <v>0.28578900000000002</v>
      </c>
      <c r="NC28">
        <v>3827</v>
      </c>
      <c r="ND28">
        <v>0.46302589999999999</v>
      </c>
      <c r="NE28">
        <v>1772</v>
      </c>
      <c r="NF28">
        <v>0.28498869999999998</v>
      </c>
      <c r="NG28">
        <v>1772</v>
      </c>
      <c r="NH28">
        <v>4.5711099999999998E-2</v>
      </c>
      <c r="NI28">
        <v>1772</v>
      </c>
      <c r="NJ28">
        <v>0.66930020000000001</v>
      </c>
      <c r="NK28">
        <v>3827</v>
      </c>
      <c r="NL28">
        <v>0.53697410000000001</v>
      </c>
      <c r="NM28">
        <v>13391</v>
      </c>
      <c r="NN28">
        <v>0.71421100000000004</v>
      </c>
      <c r="NO28">
        <v>9564</v>
      </c>
      <c r="NP28">
        <v>0.49466749999999998</v>
      </c>
      <c r="NQ28">
        <v>4731</v>
      </c>
      <c r="NR28">
        <v>0.20566480000000001</v>
      </c>
      <c r="NS28">
        <v>4731</v>
      </c>
      <c r="NT28">
        <v>5.8338599999999997E-2</v>
      </c>
      <c r="NU28">
        <v>4731</v>
      </c>
      <c r="NV28">
        <v>0.7359966</v>
      </c>
      <c r="NW28">
        <v>9564</v>
      </c>
      <c r="NX28">
        <v>0.50533249999999996</v>
      </c>
    </row>
    <row r="29" spans="1:388" x14ac:dyDescent="0.25">
      <c r="A29" t="s">
        <v>133</v>
      </c>
      <c r="B29">
        <v>2012</v>
      </c>
      <c r="C29">
        <v>1</v>
      </c>
      <c r="D29" t="s">
        <v>562</v>
      </c>
      <c r="E29">
        <v>63298</v>
      </c>
      <c r="F29">
        <v>0.4660337</v>
      </c>
      <c r="G29">
        <v>29499</v>
      </c>
      <c r="H29">
        <v>0.11054609999999999</v>
      </c>
      <c r="I29">
        <v>29499</v>
      </c>
      <c r="J29">
        <v>2.8577200000000001E-2</v>
      </c>
      <c r="K29">
        <v>29499</v>
      </c>
      <c r="L29">
        <v>0.13519100000000001</v>
      </c>
      <c r="M29">
        <v>29499</v>
      </c>
      <c r="N29">
        <v>4.5120199999999999E-2</v>
      </c>
      <c r="O29">
        <v>29499</v>
      </c>
      <c r="P29">
        <v>2.47805E-2</v>
      </c>
      <c r="Q29">
        <v>29499</v>
      </c>
      <c r="R29">
        <v>4.36625E-2</v>
      </c>
      <c r="S29">
        <v>29499</v>
      </c>
      <c r="T29">
        <v>0.1111224</v>
      </c>
      <c r="U29">
        <v>29499</v>
      </c>
      <c r="V29">
        <v>0.1154954</v>
      </c>
      <c r="W29">
        <v>29499</v>
      </c>
      <c r="X29">
        <v>0.12685179999999999</v>
      </c>
      <c r="Y29">
        <v>29499</v>
      </c>
      <c r="Z29">
        <v>0.1018001</v>
      </c>
      <c r="AA29">
        <v>29499</v>
      </c>
      <c r="AB29">
        <v>0.1041391</v>
      </c>
      <c r="AC29">
        <v>29499</v>
      </c>
      <c r="AD29">
        <v>3.5865599999999997E-2</v>
      </c>
      <c r="AE29">
        <v>29499</v>
      </c>
      <c r="AF29">
        <v>1.6847999999999998E-2</v>
      </c>
      <c r="AG29">
        <v>63298</v>
      </c>
      <c r="AH29">
        <v>0.5339663</v>
      </c>
      <c r="AI29">
        <v>33799</v>
      </c>
      <c r="AJ29">
        <v>0.1181692</v>
      </c>
      <c r="AK29">
        <v>33799</v>
      </c>
      <c r="AL29">
        <v>3.7841399999999997E-2</v>
      </c>
      <c r="AM29">
        <v>33799</v>
      </c>
      <c r="AN29">
        <v>0.114678</v>
      </c>
      <c r="AO29">
        <v>33799</v>
      </c>
      <c r="AP29">
        <v>6.3492999999999994E-2</v>
      </c>
      <c r="AQ29">
        <v>33799</v>
      </c>
      <c r="AR29">
        <v>6.8049E-3</v>
      </c>
      <c r="AS29">
        <v>33799</v>
      </c>
      <c r="AT29">
        <v>4.2368099999999999E-2</v>
      </c>
      <c r="AU29">
        <v>33799</v>
      </c>
      <c r="AV29">
        <v>9.7073900000000005E-2</v>
      </c>
      <c r="AW29">
        <v>33799</v>
      </c>
      <c r="AX29">
        <v>0.14956059999999999</v>
      </c>
      <c r="AY29">
        <v>33799</v>
      </c>
      <c r="AZ29">
        <v>0.114678</v>
      </c>
      <c r="BA29">
        <v>33799</v>
      </c>
      <c r="BB29">
        <v>0.1027545</v>
      </c>
      <c r="BC29">
        <v>33799</v>
      </c>
      <c r="BD29">
        <v>6.6806699999999997E-2</v>
      </c>
      <c r="BE29">
        <v>33799</v>
      </c>
      <c r="BF29">
        <v>3.6510000000000001E-2</v>
      </c>
      <c r="BG29">
        <v>33799</v>
      </c>
      <c r="BH29">
        <v>4.9261800000000001E-2</v>
      </c>
      <c r="BI29">
        <v>620887</v>
      </c>
      <c r="BJ29">
        <v>0.49720959999999997</v>
      </c>
      <c r="BK29">
        <v>308711</v>
      </c>
      <c r="BL29">
        <v>6.2608700000000003E-2</v>
      </c>
      <c r="BM29">
        <v>308711</v>
      </c>
      <c r="BN29">
        <v>1.21732E-2</v>
      </c>
      <c r="BO29">
        <v>308711</v>
      </c>
      <c r="BP29">
        <v>8.58149E-2</v>
      </c>
      <c r="BQ29">
        <v>308711</v>
      </c>
      <c r="BR29">
        <v>5.42838E-2</v>
      </c>
      <c r="BS29">
        <v>308711</v>
      </c>
      <c r="BT29">
        <v>1.76638E-2</v>
      </c>
      <c r="BU29">
        <v>308711</v>
      </c>
      <c r="BV29">
        <v>3.2347399999999998E-2</v>
      </c>
      <c r="BW29">
        <v>308711</v>
      </c>
      <c r="BX29">
        <v>8.5364599999999999E-2</v>
      </c>
      <c r="BY29">
        <v>308711</v>
      </c>
      <c r="BZ29">
        <v>0.1137893</v>
      </c>
      <c r="CA29">
        <v>308711</v>
      </c>
      <c r="CB29">
        <v>0.13822309999999999</v>
      </c>
      <c r="CC29">
        <v>308711</v>
      </c>
      <c r="CD29">
        <v>0.16638539999999999</v>
      </c>
      <c r="CE29">
        <v>308711</v>
      </c>
      <c r="CF29">
        <v>0.12590419999999999</v>
      </c>
      <c r="CG29">
        <v>308711</v>
      </c>
      <c r="CH29">
        <v>6.5799399999999994E-2</v>
      </c>
      <c r="CI29">
        <v>308711</v>
      </c>
      <c r="CJ29">
        <v>3.9642299999999998E-2</v>
      </c>
      <c r="CK29">
        <v>620887</v>
      </c>
      <c r="CL29">
        <v>0.50279039999999997</v>
      </c>
      <c r="CM29">
        <v>312176</v>
      </c>
      <c r="CN29">
        <v>5.56737E-2</v>
      </c>
      <c r="CO29">
        <v>312176</v>
      </c>
      <c r="CP29">
        <v>1.3662199999999999E-2</v>
      </c>
      <c r="CQ29">
        <v>312176</v>
      </c>
      <c r="CR29">
        <v>8.2671300000000003E-2</v>
      </c>
      <c r="CS29">
        <v>312176</v>
      </c>
      <c r="CT29">
        <v>4.4042499999999998E-2</v>
      </c>
      <c r="CU29">
        <v>312176</v>
      </c>
      <c r="CV29">
        <v>1.4597499999999999E-2</v>
      </c>
      <c r="CW29">
        <v>312176</v>
      </c>
      <c r="CX29">
        <v>3.3061500000000001E-2</v>
      </c>
      <c r="CY29">
        <v>312176</v>
      </c>
      <c r="CZ29">
        <v>7.6927800000000005E-2</v>
      </c>
      <c r="DA29">
        <v>312176</v>
      </c>
      <c r="DB29">
        <v>0.1059114</v>
      </c>
      <c r="DC29">
        <v>312176</v>
      </c>
      <c r="DD29">
        <v>0.14373939999999999</v>
      </c>
      <c r="DE29">
        <v>312176</v>
      </c>
      <c r="DF29">
        <v>0.1707979</v>
      </c>
      <c r="DG29">
        <v>312176</v>
      </c>
      <c r="DH29">
        <v>0.13200249999999999</v>
      </c>
      <c r="DI29">
        <v>312176</v>
      </c>
      <c r="DJ29">
        <v>7.1655099999999999E-2</v>
      </c>
      <c r="DK29">
        <v>312176</v>
      </c>
      <c r="DL29">
        <v>5.5257300000000002E-2</v>
      </c>
      <c r="DM29">
        <v>445004</v>
      </c>
      <c r="DN29">
        <v>7.2673500000000002E-2</v>
      </c>
      <c r="DO29">
        <v>32340</v>
      </c>
      <c r="DP29">
        <v>0.45698820000000001</v>
      </c>
      <c r="DQ29">
        <v>14779</v>
      </c>
      <c r="DR29">
        <v>0.35401579999999999</v>
      </c>
      <c r="DS29">
        <v>14779</v>
      </c>
      <c r="DT29">
        <v>0.33622030000000003</v>
      </c>
      <c r="DU29">
        <v>14779</v>
      </c>
      <c r="DV29">
        <v>0.16888829999999999</v>
      </c>
      <c r="DW29">
        <v>14779</v>
      </c>
      <c r="DX29">
        <v>0.14087559999999999</v>
      </c>
      <c r="DY29">
        <v>32340</v>
      </c>
      <c r="DZ29">
        <v>0.54301169999999999</v>
      </c>
      <c r="EA29">
        <v>17561</v>
      </c>
      <c r="EB29">
        <v>0.282501</v>
      </c>
      <c r="EC29">
        <v>17561</v>
      </c>
      <c r="ED29">
        <v>0.3104037</v>
      </c>
      <c r="EE29">
        <v>17561</v>
      </c>
      <c r="EF29">
        <v>0.27350380000000002</v>
      </c>
      <c r="EG29">
        <v>17561</v>
      </c>
      <c r="EH29">
        <v>0.1335915</v>
      </c>
      <c r="EI29">
        <v>445004</v>
      </c>
      <c r="EJ29">
        <v>0.92732650000000005</v>
      </c>
      <c r="EK29">
        <v>412664</v>
      </c>
      <c r="EL29">
        <v>0.48606860000000002</v>
      </c>
      <c r="EM29">
        <v>200583</v>
      </c>
      <c r="EN29">
        <v>0.103244</v>
      </c>
      <c r="EO29">
        <v>200583</v>
      </c>
      <c r="EP29">
        <v>0.20650299999999999</v>
      </c>
      <c r="EQ29">
        <v>200583</v>
      </c>
      <c r="ER29">
        <v>0.22968549999999999</v>
      </c>
      <c r="ES29">
        <v>200583</v>
      </c>
      <c r="ET29">
        <v>0.46056740000000002</v>
      </c>
      <c r="EU29">
        <v>412664</v>
      </c>
      <c r="EV29">
        <v>0.51393149999999999</v>
      </c>
      <c r="EW29">
        <v>212081</v>
      </c>
      <c r="EX29">
        <v>8.6405700000000002E-2</v>
      </c>
      <c r="EY29">
        <v>212081</v>
      </c>
      <c r="EZ29">
        <v>0.20491699999999999</v>
      </c>
      <c r="FA29">
        <v>212081</v>
      </c>
      <c r="FB29">
        <v>0.26723279999999999</v>
      </c>
      <c r="FC29">
        <v>212081</v>
      </c>
      <c r="FD29">
        <v>0.44144450000000002</v>
      </c>
      <c r="FE29">
        <v>524958</v>
      </c>
      <c r="FF29">
        <v>7.9280600000000007E-2</v>
      </c>
      <c r="FG29">
        <v>41619</v>
      </c>
      <c r="FH29">
        <v>0.46481169999999999</v>
      </c>
      <c r="FI29">
        <v>19345</v>
      </c>
      <c r="FJ29">
        <v>0.10819330000000001</v>
      </c>
      <c r="FK29">
        <v>19345</v>
      </c>
      <c r="FL29">
        <v>0.3775136</v>
      </c>
      <c r="FM29">
        <v>19345</v>
      </c>
      <c r="FN29">
        <v>0.51429309999999995</v>
      </c>
      <c r="FO29">
        <v>19345</v>
      </c>
      <c r="FP29">
        <v>0.62512279999999998</v>
      </c>
      <c r="FQ29">
        <v>19345</v>
      </c>
      <c r="FR29">
        <v>0.37487720000000002</v>
      </c>
      <c r="FS29">
        <v>12093</v>
      </c>
      <c r="FT29">
        <v>0.5763665</v>
      </c>
      <c r="FU29">
        <v>12093</v>
      </c>
      <c r="FV29">
        <v>0.4236335</v>
      </c>
      <c r="FW29">
        <v>41619</v>
      </c>
      <c r="FX29">
        <v>0.53518829999999995</v>
      </c>
      <c r="FY29">
        <v>22274</v>
      </c>
      <c r="FZ29">
        <v>6.5232999999999999E-2</v>
      </c>
      <c r="GA29">
        <v>22274</v>
      </c>
      <c r="GB29">
        <v>0.27835149999999997</v>
      </c>
      <c r="GC29">
        <v>22274</v>
      </c>
      <c r="GD29">
        <v>0.65641550000000004</v>
      </c>
      <c r="GE29">
        <v>22274</v>
      </c>
      <c r="GF29">
        <v>0.41882910000000001</v>
      </c>
      <c r="GG29">
        <v>22274</v>
      </c>
      <c r="GH29">
        <v>0.58117090000000005</v>
      </c>
      <c r="GI29">
        <v>9329</v>
      </c>
      <c r="GJ29">
        <v>0.68131629999999999</v>
      </c>
      <c r="GK29">
        <v>9329</v>
      </c>
      <c r="GL29">
        <v>0.31868370000000001</v>
      </c>
      <c r="GM29">
        <v>524958</v>
      </c>
      <c r="GN29">
        <v>0.92071939999999997</v>
      </c>
      <c r="GO29">
        <v>483339</v>
      </c>
      <c r="GP29">
        <v>0.49017769999999999</v>
      </c>
      <c r="GQ29">
        <v>236922</v>
      </c>
      <c r="GR29">
        <v>0.56449800000000006</v>
      </c>
      <c r="GS29">
        <v>236922</v>
      </c>
      <c r="GT29">
        <v>0.2272478</v>
      </c>
      <c r="GU29">
        <v>236922</v>
      </c>
      <c r="GV29">
        <v>0.2082542</v>
      </c>
      <c r="GW29">
        <v>235827</v>
      </c>
      <c r="GX29">
        <v>0.78850169999999997</v>
      </c>
      <c r="GY29">
        <v>235827</v>
      </c>
      <c r="GZ29">
        <v>0.2114983</v>
      </c>
      <c r="HA29">
        <v>185950</v>
      </c>
      <c r="HB29">
        <v>0.92093579999999997</v>
      </c>
      <c r="HC29">
        <v>185950</v>
      </c>
      <c r="HD29">
        <v>7.9064300000000004E-2</v>
      </c>
      <c r="HE29">
        <v>483339</v>
      </c>
      <c r="HF29">
        <v>0.50982229999999995</v>
      </c>
      <c r="HG29">
        <v>246417</v>
      </c>
      <c r="HH29">
        <v>0.39538259999999997</v>
      </c>
      <c r="HI29">
        <v>246417</v>
      </c>
      <c r="HJ29">
        <v>0.28207470000000001</v>
      </c>
      <c r="HK29">
        <v>246417</v>
      </c>
      <c r="HL29">
        <v>0.32254270000000002</v>
      </c>
      <c r="HM29">
        <v>245916</v>
      </c>
      <c r="HN29">
        <v>0.65180389999999999</v>
      </c>
      <c r="HO29">
        <v>245916</v>
      </c>
      <c r="HP29">
        <v>0.34819610000000001</v>
      </c>
      <c r="HQ29">
        <v>160289</v>
      </c>
      <c r="HR29">
        <v>0.94156799999999996</v>
      </c>
      <c r="HS29">
        <v>160289</v>
      </c>
      <c r="HT29">
        <v>5.8431999999999998E-2</v>
      </c>
      <c r="HU29">
        <v>177587</v>
      </c>
      <c r="HV29">
        <v>0.1149521</v>
      </c>
      <c r="HW29">
        <v>20414</v>
      </c>
      <c r="HX29">
        <v>0.4268149</v>
      </c>
      <c r="HY29">
        <v>8713</v>
      </c>
      <c r="HZ29">
        <v>0.74635600000000002</v>
      </c>
      <c r="IA29">
        <v>8713</v>
      </c>
      <c r="IB29">
        <v>0.74635600000000002</v>
      </c>
      <c r="IC29">
        <v>8713</v>
      </c>
      <c r="ID29">
        <v>0.74635600000000002</v>
      </c>
      <c r="IE29">
        <v>8713</v>
      </c>
      <c r="IF29">
        <v>0.74635600000000002</v>
      </c>
      <c r="IG29">
        <v>8713</v>
      </c>
      <c r="IH29">
        <v>0.25364399999999998</v>
      </c>
      <c r="II29">
        <v>20414</v>
      </c>
      <c r="IJ29">
        <v>0.5731851</v>
      </c>
      <c r="IK29">
        <v>11701</v>
      </c>
      <c r="IL29">
        <v>0.24237249999999999</v>
      </c>
      <c r="IM29">
        <v>2836</v>
      </c>
      <c r="IN29">
        <v>0.75740479999999999</v>
      </c>
      <c r="IO29">
        <v>2148</v>
      </c>
      <c r="IP29">
        <v>0.2555866</v>
      </c>
      <c r="IQ29">
        <v>2148</v>
      </c>
      <c r="IR29">
        <v>0.26862200000000003</v>
      </c>
      <c r="IS29">
        <v>2148</v>
      </c>
      <c r="IT29">
        <v>0.47579139999999998</v>
      </c>
      <c r="IU29">
        <v>2836</v>
      </c>
      <c r="IV29">
        <v>0.24259520000000001</v>
      </c>
      <c r="IW29">
        <v>11701</v>
      </c>
      <c r="IX29">
        <v>0.75762750000000001</v>
      </c>
      <c r="IY29">
        <v>8865</v>
      </c>
      <c r="IZ29">
        <v>0.85290469999999996</v>
      </c>
      <c r="JA29">
        <v>7561</v>
      </c>
      <c r="JB29">
        <v>0.31107000000000001</v>
      </c>
      <c r="JC29">
        <v>7561</v>
      </c>
      <c r="JD29">
        <v>0.27020240000000001</v>
      </c>
      <c r="JE29">
        <v>7561</v>
      </c>
      <c r="JF29">
        <v>0.41872769999999998</v>
      </c>
      <c r="JG29">
        <v>8865</v>
      </c>
      <c r="JH29">
        <v>0.14709530000000001</v>
      </c>
      <c r="JI29">
        <v>177587</v>
      </c>
      <c r="JJ29">
        <v>2.9202599999999999E-2</v>
      </c>
      <c r="JK29">
        <v>5186</v>
      </c>
      <c r="JL29">
        <v>0.72695719999999997</v>
      </c>
      <c r="JM29">
        <v>3770</v>
      </c>
      <c r="JN29">
        <v>0.86233420000000005</v>
      </c>
      <c r="JO29">
        <v>3770</v>
      </c>
      <c r="JP29">
        <v>0.86233420000000005</v>
      </c>
      <c r="JQ29">
        <v>3770</v>
      </c>
      <c r="JR29">
        <v>0.86233420000000005</v>
      </c>
      <c r="JS29">
        <v>3770</v>
      </c>
      <c r="JT29">
        <v>0.86233420000000005</v>
      </c>
      <c r="JU29">
        <v>3770</v>
      </c>
      <c r="JV29">
        <v>0.1376658</v>
      </c>
      <c r="JW29">
        <v>5186</v>
      </c>
      <c r="JX29">
        <v>0.27304279999999997</v>
      </c>
      <c r="JY29">
        <v>1416</v>
      </c>
      <c r="JZ29">
        <v>9.8870100000000002E-2</v>
      </c>
      <c r="KA29">
        <v>140</v>
      </c>
      <c r="KB29">
        <v>0.3142857</v>
      </c>
      <c r="KC29">
        <v>44</v>
      </c>
      <c r="KD29">
        <v>0</v>
      </c>
      <c r="KE29">
        <v>44</v>
      </c>
      <c r="KF29">
        <v>1</v>
      </c>
      <c r="KG29">
        <v>44</v>
      </c>
      <c r="KH29">
        <v>0</v>
      </c>
      <c r="KI29">
        <v>140</v>
      </c>
      <c r="KJ29">
        <v>0.6857143</v>
      </c>
      <c r="KK29">
        <v>1416</v>
      </c>
      <c r="KL29">
        <v>0.90112999999999999</v>
      </c>
      <c r="KM29">
        <v>1276</v>
      </c>
      <c r="KN29">
        <v>0.83934169999999997</v>
      </c>
      <c r="KO29">
        <v>1071</v>
      </c>
      <c r="KP29">
        <v>0.17647060000000001</v>
      </c>
      <c r="KQ29">
        <v>1071</v>
      </c>
      <c r="KR29">
        <v>0.16153129999999999</v>
      </c>
      <c r="KS29">
        <v>1071</v>
      </c>
      <c r="KT29">
        <v>0.66199819999999998</v>
      </c>
      <c r="KU29">
        <v>1276</v>
      </c>
      <c r="KV29">
        <v>0.1606583</v>
      </c>
      <c r="KW29">
        <v>177587</v>
      </c>
      <c r="KX29">
        <v>3.4918100000000001E-2</v>
      </c>
      <c r="KY29">
        <v>6201</v>
      </c>
      <c r="KZ29">
        <v>0.69263019999999997</v>
      </c>
      <c r="LA29">
        <v>4295</v>
      </c>
      <c r="LB29">
        <v>0.71850990000000003</v>
      </c>
      <c r="LC29">
        <v>4295</v>
      </c>
      <c r="LD29">
        <v>0.71850990000000003</v>
      </c>
      <c r="LE29">
        <v>4295</v>
      </c>
      <c r="LF29">
        <v>0.71850990000000003</v>
      </c>
      <c r="LG29">
        <v>4295</v>
      </c>
      <c r="LH29">
        <v>0.71850990000000003</v>
      </c>
      <c r="LI29">
        <v>4295</v>
      </c>
      <c r="LJ29">
        <v>0.28149010000000002</v>
      </c>
      <c r="LK29">
        <v>6201</v>
      </c>
      <c r="LL29">
        <v>0.30736980000000003</v>
      </c>
      <c r="LM29">
        <v>1906</v>
      </c>
      <c r="LN29">
        <v>0.252361</v>
      </c>
      <c r="LO29">
        <v>481</v>
      </c>
      <c r="LP29">
        <v>0.86278589999999999</v>
      </c>
      <c r="LQ29">
        <v>415</v>
      </c>
      <c r="LR29">
        <v>0.25542169999999997</v>
      </c>
      <c r="LS29">
        <v>415</v>
      </c>
      <c r="LT29">
        <v>0</v>
      </c>
      <c r="LU29">
        <v>415</v>
      </c>
      <c r="LV29">
        <v>0.74457830000000003</v>
      </c>
      <c r="LW29">
        <v>481</v>
      </c>
      <c r="LX29">
        <v>0.13721410000000001</v>
      </c>
      <c r="LY29">
        <v>1906</v>
      </c>
      <c r="LZ29">
        <v>0.7476391</v>
      </c>
      <c r="MA29">
        <v>1425</v>
      </c>
      <c r="MB29">
        <v>0.67157889999999998</v>
      </c>
      <c r="MC29">
        <v>957</v>
      </c>
      <c r="MD29">
        <v>0.17450370000000001</v>
      </c>
      <c r="ME29">
        <v>957</v>
      </c>
      <c r="MF29">
        <v>7.4190199999999998E-2</v>
      </c>
      <c r="MG29">
        <v>957</v>
      </c>
      <c r="MH29">
        <v>0.75130620000000004</v>
      </c>
      <c r="MI29">
        <v>1425</v>
      </c>
      <c r="MJ29">
        <v>0.32842110000000002</v>
      </c>
      <c r="MK29">
        <v>177587</v>
      </c>
      <c r="ML29">
        <v>0.82092719999999997</v>
      </c>
      <c r="MM29">
        <v>145786</v>
      </c>
      <c r="MN29">
        <v>0.85884110000000002</v>
      </c>
      <c r="MO29">
        <v>125207</v>
      </c>
      <c r="MP29">
        <v>0.46199489999999999</v>
      </c>
      <c r="MQ29">
        <v>125207</v>
      </c>
      <c r="MR29">
        <v>0.46199489999999999</v>
      </c>
      <c r="MS29">
        <v>125207</v>
      </c>
      <c r="MT29">
        <v>0.46199489999999999</v>
      </c>
      <c r="MU29">
        <v>125207</v>
      </c>
      <c r="MV29">
        <v>0.46199489999999999</v>
      </c>
      <c r="MW29">
        <v>125207</v>
      </c>
      <c r="MX29">
        <v>0.53800510000000001</v>
      </c>
      <c r="MY29">
        <v>145786</v>
      </c>
      <c r="MZ29">
        <v>0.14115900000000001</v>
      </c>
      <c r="NA29">
        <v>20579</v>
      </c>
      <c r="NB29">
        <v>0.28159770000000001</v>
      </c>
      <c r="NC29">
        <v>5795</v>
      </c>
      <c r="ND29">
        <v>0.40431410000000001</v>
      </c>
      <c r="NE29">
        <v>2343</v>
      </c>
      <c r="NF29">
        <v>0.1506615</v>
      </c>
      <c r="NG29">
        <v>2343</v>
      </c>
      <c r="NH29">
        <v>0.18651300000000001</v>
      </c>
      <c r="NI29">
        <v>2343</v>
      </c>
      <c r="NJ29">
        <v>0.66282549999999996</v>
      </c>
      <c r="NK29">
        <v>5795</v>
      </c>
      <c r="NL29">
        <v>0.59568600000000005</v>
      </c>
      <c r="NM29">
        <v>20579</v>
      </c>
      <c r="NN29">
        <v>0.71840230000000005</v>
      </c>
      <c r="NO29">
        <v>14784</v>
      </c>
      <c r="NP29">
        <v>0.57366070000000002</v>
      </c>
      <c r="NQ29">
        <v>8481</v>
      </c>
      <c r="NR29">
        <v>0.14255390000000001</v>
      </c>
      <c r="NS29">
        <v>8481</v>
      </c>
      <c r="NT29">
        <v>0.1821719</v>
      </c>
      <c r="NU29">
        <v>8481</v>
      </c>
      <c r="NV29">
        <v>0.67527409999999999</v>
      </c>
      <c r="NW29">
        <v>14784</v>
      </c>
      <c r="NX29">
        <v>0.42633929999999998</v>
      </c>
    </row>
    <row r="30" spans="1:388" x14ac:dyDescent="0.25">
      <c r="A30" t="s">
        <v>132</v>
      </c>
      <c r="B30">
        <v>2012</v>
      </c>
      <c r="C30">
        <v>1</v>
      </c>
      <c r="D30" t="s">
        <v>563</v>
      </c>
      <c r="E30">
        <v>24232</v>
      </c>
      <c r="F30">
        <v>0.51398969999999999</v>
      </c>
      <c r="G30">
        <v>12455</v>
      </c>
      <c r="H30">
        <v>0.1460458</v>
      </c>
      <c r="I30">
        <v>12455</v>
      </c>
      <c r="J30">
        <v>1.2042999999999999E-3</v>
      </c>
      <c r="K30">
        <v>12455</v>
      </c>
      <c r="L30">
        <v>0.1140104</v>
      </c>
      <c r="M30">
        <v>12455</v>
      </c>
      <c r="N30">
        <v>8.1573699999999999E-2</v>
      </c>
      <c r="O30">
        <v>12455</v>
      </c>
      <c r="P30">
        <v>5.9414000000000003E-3</v>
      </c>
      <c r="Q30">
        <v>12455</v>
      </c>
      <c r="R30">
        <v>6.61582E-2</v>
      </c>
      <c r="S30">
        <v>12455</v>
      </c>
      <c r="T30">
        <v>0.13311919999999999</v>
      </c>
      <c r="U30">
        <v>12455</v>
      </c>
      <c r="V30">
        <v>9.8514699999999997E-2</v>
      </c>
      <c r="W30">
        <v>12455</v>
      </c>
      <c r="X30">
        <v>7.5150499999999995E-2</v>
      </c>
      <c r="Y30">
        <v>12455</v>
      </c>
      <c r="Z30">
        <v>0.16041749999999999</v>
      </c>
      <c r="AA30">
        <v>12455</v>
      </c>
      <c r="AB30">
        <v>7.6114000000000001E-2</v>
      </c>
      <c r="AC30">
        <v>12455</v>
      </c>
      <c r="AD30">
        <v>2.0794900000000002E-2</v>
      </c>
      <c r="AE30">
        <v>12455</v>
      </c>
      <c r="AF30">
        <v>2.0955399999999999E-2</v>
      </c>
      <c r="AG30">
        <v>24232</v>
      </c>
      <c r="AH30">
        <v>0.4860102</v>
      </c>
      <c r="AI30">
        <v>11777</v>
      </c>
      <c r="AJ30">
        <v>8.8562500000000002E-2</v>
      </c>
      <c r="AK30">
        <v>11777</v>
      </c>
      <c r="AL30">
        <v>1.55388E-2</v>
      </c>
      <c r="AM30">
        <v>11777</v>
      </c>
      <c r="AN30">
        <v>7.9137299999999994E-2</v>
      </c>
      <c r="AO30">
        <v>11777</v>
      </c>
      <c r="AP30">
        <v>6.5976099999999996E-2</v>
      </c>
      <c r="AQ30">
        <v>11777</v>
      </c>
      <c r="AR30">
        <v>5.0522200000000003E-2</v>
      </c>
      <c r="AS30">
        <v>11777</v>
      </c>
      <c r="AT30">
        <v>2.2161799999999999E-2</v>
      </c>
      <c r="AU30">
        <v>11777</v>
      </c>
      <c r="AV30">
        <v>0.1513119</v>
      </c>
      <c r="AW30">
        <v>11777</v>
      </c>
      <c r="AX30">
        <v>0.1136113</v>
      </c>
      <c r="AY30">
        <v>11777</v>
      </c>
      <c r="AZ30">
        <v>0.1238006</v>
      </c>
      <c r="BA30">
        <v>11777</v>
      </c>
      <c r="BB30">
        <v>6.8523399999999998E-2</v>
      </c>
      <c r="BC30">
        <v>11777</v>
      </c>
      <c r="BD30">
        <v>0.1046107</v>
      </c>
      <c r="BE30">
        <v>11777</v>
      </c>
      <c r="BF30">
        <v>6.0711599999999998E-2</v>
      </c>
      <c r="BG30">
        <v>11777</v>
      </c>
      <c r="BH30">
        <v>5.5531999999999998E-2</v>
      </c>
      <c r="BI30">
        <v>281958</v>
      </c>
      <c r="BJ30">
        <v>0.4949035</v>
      </c>
      <c r="BK30">
        <v>139542</v>
      </c>
      <c r="BL30">
        <v>5.1912699999999999E-2</v>
      </c>
      <c r="BM30">
        <v>139542</v>
      </c>
      <c r="BN30">
        <v>1.1150800000000001E-2</v>
      </c>
      <c r="BO30">
        <v>139542</v>
      </c>
      <c r="BP30">
        <v>9.2767799999999997E-2</v>
      </c>
      <c r="BQ30">
        <v>139542</v>
      </c>
      <c r="BR30">
        <v>4.8265000000000002E-2</v>
      </c>
      <c r="BS30">
        <v>139542</v>
      </c>
      <c r="BT30">
        <v>1.7657800000000001E-2</v>
      </c>
      <c r="BU30">
        <v>139542</v>
      </c>
      <c r="BV30">
        <v>3.2864699999999997E-2</v>
      </c>
      <c r="BW30">
        <v>139542</v>
      </c>
      <c r="BX30">
        <v>8.0835900000000002E-2</v>
      </c>
      <c r="BY30">
        <v>139542</v>
      </c>
      <c r="BZ30">
        <v>0.11447450000000001</v>
      </c>
      <c r="CA30">
        <v>139542</v>
      </c>
      <c r="CB30">
        <v>0.1436772</v>
      </c>
      <c r="CC30">
        <v>139542</v>
      </c>
      <c r="CD30">
        <v>0.1746858</v>
      </c>
      <c r="CE30">
        <v>139542</v>
      </c>
      <c r="CF30">
        <v>0.1242637</v>
      </c>
      <c r="CG30">
        <v>139542</v>
      </c>
      <c r="CH30">
        <v>7.1949700000000005E-2</v>
      </c>
      <c r="CI30">
        <v>139542</v>
      </c>
      <c r="CJ30">
        <v>3.5494699999999997E-2</v>
      </c>
      <c r="CK30">
        <v>281958</v>
      </c>
      <c r="CL30">
        <v>0.50509649999999995</v>
      </c>
      <c r="CM30">
        <v>142416</v>
      </c>
      <c r="CN30">
        <v>5.2599399999999998E-2</v>
      </c>
      <c r="CO30">
        <v>142416</v>
      </c>
      <c r="CP30">
        <v>1.27514E-2</v>
      </c>
      <c r="CQ30">
        <v>142416</v>
      </c>
      <c r="CR30">
        <v>9.0481400000000003E-2</v>
      </c>
      <c r="CS30">
        <v>142416</v>
      </c>
      <c r="CT30">
        <v>4.0999599999999997E-2</v>
      </c>
      <c r="CU30">
        <v>142416</v>
      </c>
      <c r="CV30">
        <v>1.7231199999999999E-2</v>
      </c>
      <c r="CW30">
        <v>142416</v>
      </c>
      <c r="CX30">
        <v>3.3128299999999999E-2</v>
      </c>
      <c r="CY30">
        <v>142416</v>
      </c>
      <c r="CZ30">
        <v>7.4907299999999996E-2</v>
      </c>
      <c r="DA30">
        <v>142416</v>
      </c>
      <c r="DB30">
        <v>0.1045529</v>
      </c>
      <c r="DC30">
        <v>142416</v>
      </c>
      <c r="DD30">
        <v>0.1485156</v>
      </c>
      <c r="DE30">
        <v>142416</v>
      </c>
      <c r="DF30">
        <v>0.18201609999999999</v>
      </c>
      <c r="DG30">
        <v>142416</v>
      </c>
      <c r="DH30">
        <v>0.12385549999999999</v>
      </c>
      <c r="DI30">
        <v>142416</v>
      </c>
      <c r="DJ30">
        <v>7.1796700000000005E-2</v>
      </c>
      <c r="DK30">
        <v>142416</v>
      </c>
      <c r="DL30">
        <v>4.7164600000000001E-2</v>
      </c>
      <c r="DM30">
        <v>201109</v>
      </c>
      <c r="DN30">
        <v>5.8838700000000001E-2</v>
      </c>
      <c r="DO30">
        <v>11833</v>
      </c>
      <c r="DP30">
        <v>0.4757035</v>
      </c>
      <c r="DQ30">
        <v>5629</v>
      </c>
      <c r="DR30">
        <v>0.1888435</v>
      </c>
      <c r="DS30">
        <v>5629</v>
      </c>
      <c r="DT30">
        <v>0.46455849999999999</v>
      </c>
      <c r="DU30">
        <v>5629</v>
      </c>
      <c r="DV30">
        <v>0.2130041</v>
      </c>
      <c r="DW30">
        <v>5629</v>
      </c>
      <c r="DX30">
        <v>0.13359389999999999</v>
      </c>
      <c r="DY30">
        <v>11833</v>
      </c>
      <c r="DZ30">
        <v>0.52429650000000005</v>
      </c>
      <c r="EA30">
        <v>6204</v>
      </c>
      <c r="EB30">
        <v>0.2453256</v>
      </c>
      <c r="EC30">
        <v>6204</v>
      </c>
      <c r="ED30">
        <v>0.33671820000000002</v>
      </c>
      <c r="EE30">
        <v>6204</v>
      </c>
      <c r="EF30">
        <v>0.24210190000000001</v>
      </c>
      <c r="EG30">
        <v>6204</v>
      </c>
      <c r="EH30">
        <v>0.17585429999999999</v>
      </c>
      <c r="EI30">
        <v>201109</v>
      </c>
      <c r="EJ30">
        <v>0.94116129999999998</v>
      </c>
      <c r="EK30">
        <v>189276</v>
      </c>
      <c r="EL30">
        <v>0.48993009999999998</v>
      </c>
      <c r="EM30">
        <v>92732</v>
      </c>
      <c r="EN30">
        <v>7.0288600000000007E-2</v>
      </c>
      <c r="EO30">
        <v>92732</v>
      </c>
      <c r="EP30">
        <v>0.26036320000000002</v>
      </c>
      <c r="EQ30">
        <v>92732</v>
      </c>
      <c r="ER30">
        <v>0.33030670000000001</v>
      </c>
      <c r="ES30">
        <v>92732</v>
      </c>
      <c r="ET30">
        <v>0.3390415</v>
      </c>
      <c r="EU30">
        <v>189276</v>
      </c>
      <c r="EV30">
        <v>0.51007000000000002</v>
      </c>
      <c r="EW30">
        <v>96544</v>
      </c>
      <c r="EX30">
        <v>7.1614999999999998E-2</v>
      </c>
      <c r="EY30">
        <v>96544</v>
      </c>
      <c r="EZ30">
        <v>0.25885609999999998</v>
      </c>
      <c r="FA30">
        <v>96544</v>
      </c>
      <c r="FB30">
        <v>0.32260939999999999</v>
      </c>
      <c r="FC30">
        <v>96544</v>
      </c>
      <c r="FD30">
        <v>0.34691949999999999</v>
      </c>
      <c r="FE30">
        <v>236886</v>
      </c>
      <c r="FF30">
        <v>6.9054299999999999E-2</v>
      </c>
      <c r="FG30">
        <v>16358</v>
      </c>
      <c r="FH30">
        <v>0.49584299999999998</v>
      </c>
      <c r="FI30">
        <v>8111</v>
      </c>
      <c r="FJ30">
        <v>0.11798790000000001</v>
      </c>
      <c r="FK30">
        <v>8111</v>
      </c>
      <c r="FL30">
        <v>0.3961287</v>
      </c>
      <c r="FM30">
        <v>8111</v>
      </c>
      <c r="FN30">
        <v>0.48588340000000002</v>
      </c>
      <c r="FO30">
        <v>8111</v>
      </c>
      <c r="FP30">
        <v>0.65651579999999998</v>
      </c>
      <c r="FQ30">
        <v>8111</v>
      </c>
      <c r="FR30">
        <v>0.34348420000000002</v>
      </c>
      <c r="FS30">
        <v>5325</v>
      </c>
      <c r="FT30">
        <v>0.5701408</v>
      </c>
      <c r="FU30">
        <v>5325</v>
      </c>
      <c r="FV30">
        <v>0.4298592</v>
      </c>
      <c r="FW30">
        <v>16358</v>
      </c>
      <c r="FX30">
        <v>0.50415699999999997</v>
      </c>
      <c r="FY30">
        <v>8247</v>
      </c>
      <c r="FZ30">
        <v>7.5300099999999995E-2</v>
      </c>
      <c r="GA30">
        <v>8247</v>
      </c>
      <c r="GB30">
        <v>0.40281309999999998</v>
      </c>
      <c r="GC30">
        <v>8247</v>
      </c>
      <c r="GD30">
        <v>0.52188679999999998</v>
      </c>
      <c r="GE30">
        <v>8247</v>
      </c>
      <c r="GF30">
        <v>0.50491090000000005</v>
      </c>
      <c r="GG30">
        <v>8247</v>
      </c>
      <c r="GH30">
        <v>0.4950891</v>
      </c>
      <c r="GI30">
        <v>4164</v>
      </c>
      <c r="GJ30">
        <v>0.74495679999999997</v>
      </c>
      <c r="GK30">
        <v>4164</v>
      </c>
      <c r="GL30">
        <v>0.25504320000000003</v>
      </c>
      <c r="GM30">
        <v>236886</v>
      </c>
      <c r="GN30">
        <v>0.93094569999999999</v>
      </c>
      <c r="GO30">
        <v>220528</v>
      </c>
      <c r="GP30">
        <v>0.49244539999999998</v>
      </c>
      <c r="GQ30">
        <v>108598</v>
      </c>
      <c r="GR30">
        <v>0.55429200000000001</v>
      </c>
      <c r="GS30">
        <v>108598</v>
      </c>
      <c r="GT30">
        <v>0.2394519</v>
      </c>
      <c r="GU30">
        <v>108598</v>
      </c>
      <c r="GV30">
        <v>0.2062561</v>
      </c>
      <c r="GW30">
        <v>108489</v>
      </c>
      <c r="GX30">
        <v>0.79181299999999999</v>
      </c>
      <c r="GY30">
        <v>108489</v>
      </c>
      <c r="GZ30">
        <v>0.20818700000000001</v>
      </c>
      <c r="HA30">
        <v>85903</v>
      </c>
      <c r="HB30">
        <v>0.91429870000000002</v>
      </c>
      <c r="HC30">
        <v>85903</v>
      </c>
      <c r="HD30">
        <v>8.5701299999999994E-2</v>
      </c>
      <c r="HE30">
        <v>220528</v>
      </c>
      <c r="HF30">
        <v>0.50755459999999997</v>
      </c>
      <c r="HG30">
        <v>111930</v>
      </c>
      <c r="HH30">
        <v>0.39998210000000001</v>
      </c>
      <c r="HI30">
        <v>111930</v>
      </c>
      <c r="HJ30">
        <v>0.27694990000000003</v>
      </c>
      <c r="HK30">
        <v>111930</v>
      </c>
      <c r="HL30">
        <v>0.32306800000000002</v>
      </c>
      <c r="HM30">
        <v>111882</v>
      </c>
      <c r="HN30">
        <v>0.67498789999999997</v>
      </c>
      <c r="HO30">
        <v>111882</v>
      </c>
      <c r="HP30">
        <v>0.32501210000000003</v>
      </c>
      <c r="HQ30">
        <v>75519</v>
      </c>
      <c r="HR30">
        <v>0.91922559999999998</v>
      </c>
      <c r="HS30">
        <v>75519</v>
      </c>
      <c r="HT30">
        <v>8.0774399999999996E-2</v>
      </c>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c r="MG30"/>
      <c r="MH30"/>
      <c r="MI30"/>
      <c r="MJ30"/>
      <c r="MK30"/>
      <c r="ML30"/>
      <c r="MM30"/>
      <c r="MN30"/>
      <c r="MO30"/>
      <c r="MP30"/>
      <c r="MQ30"/>
      <c r="MR30"/>
      <c r="MS30"/>
      <c r="MT30"/>
      <c r="MU30"/>
      <c r="MV30"/>
      <c r="MW30"/>
      <c r="MX30"/>
      <c r="MY30"/>
      <c r="MZ30"/>
      <c r="NA30"/>
      <c r="NB30"/>
      <c r="NC30"/>
      <c r="ND30"/>
      <c r="NE30"/>
      <c r="NF30"/>
      <c r="NG30"/>
      <c r="NH30"/>
      <c r="NI30"/>
      <c r="NJ30"/>
      <c r="NK30"/>
      <c r="NL30"/>
      <c r="NM30"/>
      <c r="NN30"/>
      <c r="NO30"/>
      <c r="NP30"/>
      <c r="NQ30"/>
      <c r="NR30"/>
      <c r="NS30"/>
      <c r="NT30"/>
      <c r="NU30"/>
      <c r="NV30"/>
      <c r="NW30"/>
      <c r="NX30"/>
    </row>
    <row r="31" spans="1:388" x14ac:dyDescent="0.25">
      <c r="A31" t="s">
        <v>131</v>
      </c>
      <c r="B31">
        <v>2012</v>
      </c>
      <c r="C31">
        <v>1</v>
      </c>
      <c r="D31" t="s">
        <v>564</v>
      </c>
      <c r="E31">
        <v>56033</v>
      </c>
      <c r="F31">
        <v>0.43549339999999997</v>
      </c>
      <c r="G31">
        <v>24402</v>
      </c>
      <c r="H31">
        <v>0.1415458</v>
      </c>
      <c r="I31">
        <v>24402</v>
      </c>
      <c r="J31">
        <v>2.91779E-2</v>
      </c>
      <c r="K31">
        <v>24402</v>
      </c>
      <c r="L31">
        <v>0.12179329999999999</v>
      </c>
      <c r="M31">
        <v>24402</v>
      </c>
      <c r="N31">
        <v>9.1262999999999997E-2</v>
      </c>
      <c r="O31">
        <v>24402</v>
      </c>
      <c r="P31">
        <v>2.7374800000000001E-2</v>
      </c>
      <c r="Q31">
        <v>24402</v>
      </c>
      <c r="R31">
        <v>4.8356700000000002E-2</v>
      </c>
      <c r="S31">
        <v>24402</v>
      </c>
      <c r="T31">
        <v>9.8721400000000001E-2</v>
      </c>
      <c r="U31">
        <v>24402</v>
      </c>
      <c r="V31">
        <v>0.1169166</v>
      </c>
      <c r="W31">
        <v>24402</v>
      </c>
      <c r="X31">
        <v>9.2492400000000002E-2</v>
      </c>
      <c r="Y31">
        <v>24402</v>
      </c>
      <c r="Z31">
        <v>0.10527830000000001</v>
      </c>
      <c r="AA31">
        <v>24402</v>
      </c>
      <c r="AB31">
        <v>7.3149699999999998E-2</v>
      </c>
      <c r="AC31">
        <v>24402</v>
      </c>
      <c r="AD31">
        <v>4.2824399999999999E-2</v>
      </c>
      <c r="AE31">
        <v>24402</v>
      </c>
      <c r="AF31">
        <v>1.11056E-2</v>
      </c>
      <c r="AG31">
        <v>56033</v>
      </c>
      <c r="AH31">
        <v>0.56450659999999997</v>
      </c>
      <c r="AI31">
        <v>31631</v>
      </c>
      <c r="AJ31">
        <v>0.1018305</v>
      </c>
      <c r="AK31">
        <v>31631</v>
      </c>
      <c r="AL31">
        <v>2.34264E-2</v>
      </c>
      <c r="AM31">
        <v>31631</v>
      </c>
      <c r="AN31">
        <v>0.10657270000000001</v>
      </c>
      <c r="AO31">
        <v>31631</v>
      </c>
      <c r="AP31">
        <v>6.7275799999999997E-2</v>
      </c>
      <c r="AQ31">
        <v>31631</v>
      </c>
      <c r="AR31">
        <v>2.3458E-2</v>
      </c>
      <c r="AS31">
        <v>31631</v>
      </c>
      <c r="AT31">
        <v>3.6040599999999999E-2</v>
      </c>
      <c r="AU31">
        <v>31631</v>
      </c>
      <c r="AV31">
        <v>9.3294600000000005E-2</v>
      </c>
      <c r="AW31">
        <v>31631</v>
      </c>
      <c r="AX31">
        <v>0.14179130000000001</v>
      </c>
      <c r="AY31">
        <v>31631</v>
      </c>
      <c r="AZ31">
        <v>0.1200721</v>
      </c>
      <c r="BA31">
        <v>31631</v>
      </c>
      <c r="BB31">
        <v>0.13461480000000001</v>
      </c>
      <c r="BC31">
        <v>31631</v>
      </c>
      <c r="BD31">
        <v>5.6242300000000002E-2</v>
      </c>
      <c r="BE31">
        <v>31631</v>
      </c>
      <c r="BF31">
        <v>4.5461700000000001E-2</v>
      </c>
      <c r="BG31">
        <v>31631</v>
      </c>
      <c r="BH31">
        <v>4.9919400000000003E-2</v>
      </c>
      <c r="BI31">
        <v>618070</v>
      </c>
      <c r="BJ31">
        <v>0.49917650000000002</v>
      </c>
      <c r="BK31">
        <v>308526</v>
      </c>
      <c r="BL31">
        <v>6.2367499999999999E-2</v>
      </c>
      <c r="BM31">
        <v>308526</v>
      </c>
      <c r="BN31">
        <v>1.5139700000000001E-2</v>
      </c>
      <c r="BO31">
        <v>308526</v>
      </c>
      <c r="BP31">
        <v>0.1001277</v>
      </c>
      <c r="BQ31">
        <v>308526</v>
      </c>
      <c r="BR31">
        <v>4.8135299999999999E-2</v>
      </c>
      <c r="BS31">
        <v>308526</v>
      </c>
      <c r="BT31">
        <v>1.62904E-2</v>
      </c>
      <c r="BU31">
        <v>308526</v>
      </c>
      <c r="BV31">
        <v>3.4227300000000002E-2</v>
      </c>
      <c r="BW31">
        <v>308526</v>
      </c>
      <c r="BX31">
        <v>8.5859900000000003E-2</v>
      </c>
      <c r="BY31">
        <v>308526</v>
      </c>
      <c r="BZ31">
        <v>0.1176789</v>
      </c>
      <c r="CA31">
        <v>308526</v>
      </c>
      <c r="CB31">
        <v>0.1552965</v>
      </c>
      <c r="CC31">
        <v>308526</v>
      </c>
      <c r="CD31">
        <v>0.1596041</v>
      </c>
      <c r="CE31">
        <v>308526</v>
      </c>
      <c r="CF31">
        <v>0.1115433</v>
      </c>
      <c r="CG31">
        <v>308526</v>
      </c>
      <c r="CH31">
        <v>5.9482800000000002E-2</v>
      </c>
      <c r="CI31">
        <v>308526</v>
      </c>
      <c r="CJ31">
        <v>3.4246699999999998E-2</v>
      </c>
      <c r="CK31">
        <v>618070</v>
      </c>
      <c r="CL31">
        <v>0.50082360000000004</v>
      </c>
      <c r="CM31">
        <v>309544</v>
      </c>
      <c r="CN31">
        <v>6.0737699999999999E-2</v>
      </c>
      <c r="CO31">
        <v>309544</v>
      </c>
      <c r="CP31">
        <v>1.3717E-2</v>
      </c>
      <c r="CQ31">
        <v>309544</v>
      </c>
      <c r="CR31">
        <v>8.8278200000000001E-2</v>
      </c>
      <c r="CS31">
        <v>309544</v>
      </c>
      <c r="CT31">
        <v>5.0755300000000003E-2</v>
      </c>
      <c r="CU31">
        <v>309544</v>
      </c>
      <c r="CV31">
        <v>1.76001E-2</v>
      </c>
      <c r="CW31">
        <v>309544</v>
      </c>
      <c r="CX31">
        <v>3.0344599999999999E-2</v>
      </c>
      <c r="CY31">
        <v>309544</v>
      </c>
      <c r="CZ31">
        <v>8.0415100000000003E-2</v>
      </c>
      <c r="DA31">
        <v>309544</v>
      </c>
      <c r="DB31">
        <v>0.1155506</v>
      </c>
      <c r="DC31">
        <v>309544</v>
      </c>
      <c r="DD31">
        <v>0.1588627</v>
      </c>
      <c r="DE31">
        <v>309544</v>
      </c>
      <c r="DF31">
        <v>0.15619749999999999</v>
      </c>
      <c r="DG31">
        <v>309544</v>
      </c>
      <c r="DH31">
        <v>0.1155603</v>
      </c>
      <c r="DI31">
        <v>309544</v>
      </c>
      <c r="DJ31">
        <v>6.5347699999999995E-2</v>
      </c>
      <c r="DK31">
        <v>309544</v>
      </c>
      <c r="DL31">
        <v>4.6633099999999997E-2</v>
      </c>
      <c r="DM31">
        <v>428638</v>
      </c>
      <c r="DN31">
        <v>6.5596100000000004E-2</v>
      </c>
      <c r="DO31">
        <v>28117</v>
      </c>
      <c r="DP31">
        <v>0.38339790000000001</v>
      </c>
      <c r="DQ31">
        <v>10780</v>
      </c>
      <c r="DR31">
        <v>0.28673470000000001</v>
      </c>
      <c r="DS31">
        <v>10780</v>
      </c>
      <c r="DT31">
        <v>0.38627089999999997</v>
      </c>
      <c r="DU31">
        <v>10780</v>
      </c>
      <c r="DV31">
        <v>0.20779220000000001</v>
      </c>
      <c r="DW31">
        <v>10780</v>
      </c>
      <c r="DX31">
        <v>0.11920219999999999</v>
      </c>
      <c r="DY31">
        <v>28117</v>
      </c>
      <c r="DZ31">
        <v>0.61660210000000004</v>
      </c>
      <c r="EA31">
        <v>17337</v>
      </c>
      <c r="EB31">
        <v>0.18826789999999999</v>
      </c>
      <c r="EC31">
        <v>17337</v>
      </c>
      <c r="ED31">
        <v>0.30605060000000001</v>
      </c>
      <c r="EE31">
        <v>17337</v>
      </c>
      <c r="EF31">
        <v>0.30241679999999999</v>
      </c>
      <c r="EG31">
        <v>17337</v>
      </c>
      <c r="EH31">
        <v>0.20326469999999999</v>
      </c>
      <c r="EI31">
        <v>428638</v>
      </c>
      <c r="EJ31">
        <v>0.93440380000000001</v>
      </c>
      <c r="EK31">
        <v>400521</v>
      </c>
      <c r="EL31">
        <v>0.49134499999999998</v>
      </c>
      <c r="EM31">
        <v>196794</v>
      </c>
      <c r="EN31">
        <v>8.4794300000000003E-2</v>
      </c>
      <c r="EO31">
        <v>196794</v>
      </c>
      <c r="EP31">
        <v>0.26831100000000002</v>
      </c>
      <c r="EQ31">
        <v>196794</v>
      </c>
      <c r="ER31">
        <v>0.31408989999999998</v>
      </c>
      <c r="ES31">
        <v>196794</v>
      </c>
      <c r="ET31">
        <v>0.33280490000000001</v>
      </c>
      <c r="EU31">
        <v>400521</v>
      </c>
      <c r="EV31">
        <v>0.50865499999999997</v>
      </c>
      <c r="EW31">
        <v>203727</v>
      </c>
      <c r="EX31">
        <v>7.4266100000000002E-2</v>
      </c>
      <c r="EY31">
        <v>203727</v>
      </c>
      <c r="EZ31">
        <v>0.26015700000000003</v>
      </c>
      <c r="FA31">
        <v>203727</v>
      </c>
      <c r="FB31">
        <v>0.31567729999999999</v>
      </c>
      <c r="FC31">
        <v>203727</v>
      </c>
      <c r="FD31">
        <v>0.34989959999999998</v>
      </c>
      <c r="FE31">
        <v>507653</v>
      </c>
      <c r="FF31">
        <v>7.05147E-2</v>
      </c>
      <c r="FG31">
        <v>35797</v>
      </c>
      <c r="FH31">
        <v>0.40140239999999999</v>
      </c>
      <c r="FI31">
        <v>14369</v>
      </c>
      <c r="FJ31">
        <v>0.1366831</v>
      </c>
      <c r="FK31">
        <v>14369</v>
      </c>
      <c r="FL31">
        <v>0.3047533</v>
      </c>
      <c r="FM31">
        <v>14369</v>
      </c>
      <c r="FN31">
        <v>0.55856360000000005</v>
      </c>
      <c r="FO31">
        <v>14369</v>
      </c>
      <c r="FP31">
        <v>0.54318330000000004</v>
      </c>
      <c r="FQ31">
        <v>14369</v>
      </c>
      <c r="FR31">
        <v>0.45681680000000002</v>
      </c>
      <c r="FS31">
        <v>7805</v>
      </c>
      <c r="FT31">
        <v>0.64676489999999998</v>
      </c>
      <c r="FU31">
        <v>7805</v>
      </c>
      <c r="FV31">
        <v>0.35323510000000002</v>
      </c>
      <c r="FW31">
        <v>35797</v>
      </c>
      <c r="FX31">
        <v>0.59859759999999995</v>
      </c>
      <c r="FY31">
        <v>21428</v>
      </c>
      <c r="FZ31">
        <v>7.0888599999999996E-2</v>
      </c>
      <c r="GA31">
        <v>21428</v>
      </c>
      <c r="GB31">
        <v>0.28374090000000002</v>
      </c>
      <c r="GC31">
        <v>21428</v>
      </c>
      <c r="GD31">
        <v>0.64537049999999996</v>
      </c>
      <c r="GE31">
        <v>21428</v>
      </c>
      <c r="GF31">
        <v>0.41688449999999999</v>
      </c>
      <c r="GG31">
        <v>21428</v>
      </c>
      <c r="GH31">
        <v>0.58311559999999996</v>
      </c>
      <c r="GI31">
        <v>8933</v>
      </c>
      <c r="GJ31">
        <v>0.69327209999999995</v>
      </c>
      <c r="GK31">
        <v>8933</v>
      </c>
      <c r="GL31">
        <v>0.3067279</v>
      </c>
      <c r="GM31">
        <v>507653</v>
      </c>
      <c r="GN31">
        <v>0.92948529999999996</v>
      </c>
      <c r="GO31">
        <v>471856</v>
      </c>
      <c r="GP31">
        <v>0.49558340000000001</v>
      </c>
      <c r="GQ31">
        <v>233844</v>
      </c>
      <c r="GR31">
        <v>0.56212689999999998</v>
      </c>
      <c r="GS31">
        <v>233844</v>
      </c>
      <c r="GT31">
        <v>0.21655460000000001</v>
      </c>
      <c r="GU31">
        <v>233844</v>
      </c>
      <c r="GV31">
        <v>0.2213185</v>
      </c>
      <c r="GW31">
        <v>233844</v>
      </c>
      <c r="GX31">
        <v>0.78813230000000001</v>
      </c>
      <c r="GY31">
        <v>233844</v>
      </c>
      <c r="GZ31">
        <v>0.21186769999999999</v>
      </c>
      <c r="HA31">
        <v>184300</v>
      </c>
      <c r="HB31">
        <v>0.91170379999999995</v>
      </c>
      <c r="HC31">
        <v>184300</v>
      </c>
      <c r="HD31">
        <v>8.8296299999999994E-2</v>
      </c>
      <c r="HE31">
        <v>471856</v>
      </c>
      <c r="HF31">
        <v>0.50441659999999999</v>
      </c>
      <c r="HG31">
        <v>238012</v>
      </c>
      <c r="HH31">
        <v>0.4043872</v>
      </c>
      <c r="HI31">
        <v>238012</v>
      </c>
      <c r="HJ31">
        <v>0.2721249</v>
      </c>
      <c r="HK31">
        <v>238012</v>
      </c>
      <c r="HL31">
        <v>0.32348789999999999</v>
      </c>
      <c r="HM31">
        <v>238012</v>
      </c>
      <c r="HN31">
        <v>0.65985329999999998</v>
      </c>
      <c r="HO31">
        <v>238012</v>
      </c>
      <c r="HP31">
        <v>0.34014670000000002</v>
      </c>
      <c r="HQ31">
        <v>157053</v>
      </c>
      <c r="HR31">
        <v>0.93647369999999996</v>
      </c>
      <c r="HS31">
        <v>157053</v>
      </c>
      <c r="HT31">
        <v>6.3526299999999994E-2</v>
      </c>
      <c r="HU31">
        <v>167455</v>
      </c>
      <c r="HV31">
        <v>9.0615399999999999E-2</v>
      </c>
      <c r="HW31">
        <v>15174</v>
      </c>
      <c r="HX31">
        <v>0.4137999</v>
      </c>
      <c r="HY31">
        <v>6279</v>
      </c>
      <c r="HZ31">
        <v>0.76939000000000002</v>
      </c>
      <c r="IA31">
        <v>6279</v>
      </c>
      <c r="IB31">
        <v>0.76939000000000002</v>
      </c>
      <c r="IC31">
        <v>6279</v>
      </c>
      <c r="ID31">
        <v>0.76939000000000002</v>
      </c>
      <c r="IE31">
        <v>6279</v>
      </c>
      <c r="IF31">
        <v>0.76939000000000002</v>
      </c>
      <c r="IG31">
        <v>6279</v>
      </c>
      <c r="IH31">
        <v>0.23061000000000001</v>
      </c>
      <c r="II31">
        <v>15174</v>
      </c>
      <c r="IJ31">
        <v>0.5862001</v>
      </c>
      <c r="IK31">
        <v>8895</v>
      </c>
      <c r="IL31">
        <v>0.22922989999999999</v>
      </c>
      <c r="IM31">
        <v>2039</v>
      </c>
      <c r="IN31">
        <v>0.73222169999999998</v>
      </c>
      <c r="IO31">
        <v>1493</v>
      </c>
      <c r="IP31">
        <v>0.32150030000000002</v>
      </c>
      <c r="IQ31">
        <v>1493</v>
      </c>
      <c r="IR31">
        <v>0.29336909999999999</v>
      </c>
      <c r="IS31">
        <v>1493</v>
      </c>
      <c r="IT31">
        <v>0.38513059999999999</v>
      </c>
      <c r="IU31">
        <v>2039</v>
      </c>
      <c r="IV31">
        <v>0.26777830000000002</v>
      </c>
      <c r="IW31">
        <v>8895</v>
      </c>
      <c r="IX31">
        <v>0.77077010000000001</v>
      </c>
      <c r="IY31">
        <v>6856</v>
      </c>
      <c r="IZ31">
        <v>0.84291130000000003</v>
      </c>
      <c r="JA31">
        <v>5779</v>
      </c>
      <c r="JB31">
        <v>0.2180308</v>
      </c>
      <c r="JC31">
        <v>5779</v>
      </c>
      <c r="JD31">
        <v>0.20522580000000001</v>
      </c>
      <c r="JE31">
        <v>5779</v>
      </c>
      <c r="JF31">
        <v>0.57674340000000002</v>
      </c>
      <c r="JG31">
        <v>6856</v>
      </c>
      <c r="JH31">
        <v>0.1570887</v>
      </c>
      <c r="JI31">
        <v>167455</v>
      </c>
      <c r="JJ31">
        <v>1.63984E-2</v>
      </c>
      <c r="JK31">
        <v>2746</v>
      </c>
      <c r="JL31">
        <v>0.56372900000000004</v>
      </c>
      <c r="JM31">
        <v>1548</v>
      </c>
      <c r="JN31">
        <v>0.44056849999999997</v>
      </c>
      <c r="JO31">
        <v>1548</v>
      </c>
      <c r="JP31">
        <v>0.44056849999999997</v>
      </c>
      <c r="JQ31">
        <v>1548</v>
      </c>
      <c r="JR31">
        <v>0.44056849999999997</v>
      </c>
      <c r="JS31">
        <v>1548</v>
      </c>
      <c r="JT31">
        <v>0.44056849999999997</v>
      </c>
      <c r="JU31">
        <v>1548</v>
      </c>
      <c r="JV31">
        <v>0.55943160000000003</v>
      </c>
      <c r="JW31">
        <v>2746</v>
      </c>
      <c r="JX31">
        <v>0.43627100000000002</v>
      </c>
      <c r="JY31">
        <v>1198</v>
      </c>
      <c r="JZ31">
        <v>0.360601</v>
      </c>
      <c r="KA31">
        <v>432</v>
      </c>
      <c r="KB31">
        <v>0.6875</v>
      </c>
      <c r="KC31">
        <v>297</v>
      </c>
      <c r="KD31">
        <v>0.69360270000000002</v>
      </c>
      <c r="KE31">
        <v>297</v>
      </c>
      <c r="KF31">
        <v>0.1077441</v>
      </c>
      <c r="KG31">
        <v>297</v>
      </c>
      <c r="KH31">
        <v>0.1986532</v>
      </c>
      <c r="KI31">
        <v>432</v>
      </c>
      <c r="KJ31">
        <v>0.3125</v>
      </c>
      <c r="KK31">
        <v>1198</v>
      </c>
      <c r="KL31">
        <v>0.63939900000000005</v>
      </c>
      <c r="KM31">
        <v>766</v>
      </c>
      <c r="KN31">
        <v>0.88381200000000004</v>
      </c>
      <c r="KO31">
        <v>677</v>
      </c>
      <c r="KP31">
        <v>0.13737079999999999</v>
      </c>
      <c r="KQ31">
        <v>677</v>
      </c>
      <c r="KR31">
        <v>0.1063516</v>
      </c>
      <c r="KS31">
        <v>677</v>
      </c>
      <c r="KT31">
        <v>0.75627770000000005</v>
      </c>
      <c r="KU31">
        <v>766</v>
      </c>
      <c r="KV31">
        <v>0.116188</v>
      </c>
      <c r="KW31">
        <v>167455</v>
      </c>
      <c r="KX31">
        <v>4.8872800000000001E-2</v>
      </c>
      <c r="KY31">
        <v>8184</v>
      </c>
      <c r="KZ31">
        <v>0.68633920000000004</v>
      </c>
      <c r="LA31">
        <v>5617</v>
      </c>
      <c r="LB31">
        <v>0.72868080000000002</v>
      </c>
      <c r="LC31">
        <v>5617</v>
      </c>
      <c r="LD31">
        <v>0.72868080000000002</v>
      </c>
      <c r="LE31">
        <v>5617</v>
      </c>
      <c r="LF31">
        <v>0.72868080000000002</v>
      </c>
      <c r="LG31">
        <v>5617</v>
      </c>
      <c r="LH31">
        <v>0.72868080000000002</v>
      </c>
      <c r="LI31">
        <v>5617</v>
      </c>
      <c r="LJ31">
        <v>0.27131919999999998</v>
      </c>
      <c r="LK31">
        <v>8184</v>
      </c>
      <c r="LL31">
        <v>0.31366080000000002</v>
      </c>
      <c r="LM31">
        <v>2567</v>
      </c>
      <c r="LN31">
        <v>0.201792</v>
      </c>
      <c r="LO31">
        <v>518</v>
      </c>
      <c r="LP31">
        <v>0.74324319999999999</v>
      </c>
      <c r="LQ31">
        <v>385</v>
      </c>
      <c r="LR31">
        <v>0.1220779</v>
      </c>
      <c r="LS31">
        <v>385</v>
      </c>
      <c r="LT31">
        <v>0.3350649</v>
      </c>
      <c r="LU31">
        <v>385</v>
      </c>
      <c r="LV31">
        <v>0.54285720000000004</v>
      </c>
      <c r="LW31">
        <v>518</v>
      </c>
      <c r="LX31">
        <v>0.25675680000000001</v>
      </c>
      <c r="LY31">
        <v>2567</v>
      </c>
      <c r="LZ31">
        <v>0.79820800000000003</v>
      </c>
      <c r="MA31">
        <v>2049</v>
      </c>
      <c r="MB31">
        <v>0.75549049999999995</v>
      </c>
      <c r="MC31">
        <v>1548</v>
      </c>
      <c r="MD31">
        <v>0.1104651</v>
      </c>
      <c r="ME31">
        <v>1548</v>
      </c>
      <c r="MF31">
        <v>0.26356590000000002</v>
      </c>
      <c r="MG31">
        <v>1548</v>
      </c>
      <c r="MH31">
        <v>0.625969</v>
      </c>
      <c r="MI31">
        <v>2049</v>
      </c>
      <c r="MJ31">
        <v>0.24450949999999999</v>
      </c>
      <c r="MK31">
        <v>167455</v>
      </c>
      <c r="ML31">
        <v>0.84411329999999996</v>
      </c>
      <c r="MM31">
        <v>141351</v>
      </c>
      <c r="MN31">
        <v>0.83438389999999996</v>
      </c>
      <c r="MO31">
        <v>117941</v>
      </c>
      <c r="MP31">
        <v>0.52938339999999995</v>
      </c>
      <c r="MQ31">
        <v>117941</v>
      </c>
      <c r="MR31">
        <v>0.52938339999999995</v>
      </c>
      <c r="MS31">
        <v>117941</v>
      </c>
      <c r="MT31">
        <v>0.52938339999999995</v>
      </c>
      <c r="MU31">
        <v>117941</v>
      </c>
      <c r="MV31">
        <v>0.52938339999999995</v>
      </c>
      <c r="MW31">
        <v>117941</v>
      </c>
      <c r="MX31">
        <v>0.4706167</v>
      </c>
      <c r="MY31">
        <v>141351</v>
      </c>
      <c r="MZ31">
        <v>0.16561609999999999</v>
      </c>
      <c r="NA31">
        <v>23410</v>
      </c>
      <c r="NB31">
        <v>0.3945323</v>
      </c>
      <c r="NC31">
        <v>9236</v>
      </c>
      <c r="ND31">
        <v>0.46026420000000001</v>
      </c>
      <c r="NE31">
        <v>4251</v>
      </c>
      <c r="NF31">
        <v>0.173371</v>
      </c>
      <c r="NG31">
        <v>4251</v>
      </c>
      <c r="NH31">
        <v>7.5746900000000006E-2</v>
      </c>
      <c r="NI31">
        <v>4251</v>
      </c>
      <c r="NJ31">
        <v>0.7508821</v>
      </c>
      <c r="NK31">
        <v>9236</v>
      </c>
      <c r="NL31">
        <v>0.53973579999999999</v>
      </c>
      <c r="NM31">
        <v>23410</v>
      </c>
      <c r="NN31">
        <v>0.60546770000000005</v>
      </c>
      <c r="NO31">
        <v>14174</v>
      </c>
      <c r="NP31">
        <v>0.53562860000000001</v>
      </c>
      <c r="NQ31">
        <v>7592</v>
      </c>
      <c r="NR31">
        <v>7.7976799999999999E-2</v>
      </c>
      <c r="NS31">
        <v>7592</v>
      </c>
      <c r="NT31">
        <v>0.12631719999999999</v>
      </c>
      <c r="NU31">
        <v>7592</v>
      </c>
      <c r="NV31">
        <v>0.79570600000000002</v>
      </c>
      <c r="NW31">
        <v>14174</v>
      </c>
      <c r="NX31">
        <v>0.46437139999999999</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3</vt:i4>
      </vt:variant>
      <vt:variant>
        <vt:lpstr>Named Ranges</vt:lpstr>
      </vt:variant>
      <vt:variant>
        <vt:i4>32</vt:i4>
      </vt:variant>
    </vt:vector>
  </HeadingPairs>
  <TitlesOfParts>
    <vt:vector size="43" baseType="lpstr">
      <vt:lpstr>Lookup Functions Tutorial</vt:lpstr>
      <vt:lpstr>Control Room</vt:lpstr>
      <vt:lpstr>Framework from WE</vt:lpstr>
      <vt:lpstr>Sample Tables - Across Counties</vt:lpstr>
      <vt:lpstr>Sample Tables - Across Years</vt:lpstr>
      <vt:lpstr>Graph Data Sheet</vt:lpstr>
      <vt:lpstr>ACS_1YR_MasterData</vt:lpstr>
      <vt:lpstr>ACS_1YR_Part1_PovertyData</vt:lpstr>
      <vt:lpstr>Poverty by Ed</vt:lpstr>
      <vt:lpstr>Poverty by County</vt:lpstr>
      <vt:lpstr>Female Head by County</vt:lpstr>
      <vt:lpstr>ACS_1YR_MasterData</vt:lpstr>
      <vt:lpstr>ACS_1YR_MasterData_County_Year</vt:lpstr>
      <vt:lpstr>ACS_1YR_MasterData_H</vt:lpstr>
      <vt:lpstr>ACS_1YR_Part1_PovertyData</vt:lpstr>
      <vt:lpstr>ACS_1YR_Part1_PovertyData_County</vt:lpstr>
      <vt:lpstr>ACS_1YR_Part1_PovertyData_County_Year</vt:lpstr>
      <vt:lpstr>ACS_1YR_Part1_PovertyData_H</vt:lpstr>
      <vt:lpstr>data</vt:lpstr>
      <vt:lpstr>data_header</vt:lpstr>
      <vt:lpstr>ExtList</vt:lpstr>
      <vt:lpstr>FileList</vt:lpstr>
      <vt:lpstr>FtoC_conv</vt:lpstr>
      <vt:lpstr>HideList</vt:lpstr>
      <vt:lpstr>ImportList</vt:lpstr>
      <vt:lpstr>myCounty</vt:lpstr>
      <vt:lpstr>MyData</vt:lpstr>
      <vt:lpstr>myYear</vt:lpstr>
      <vt:lpstr>PathList</vt:lpstr>
      <vt:lpstr>RangeNameList</vt:lpstr>
      <vt:lpstr>RenameList</vt:lpstr>
      <vt:lpstr>ReplaceList</vt:lpstr>
      <vt:lpstr>SecCode1</vt:lpstr>
      <vt:lpstr>SecCode1_Color</vt:lpstr>
      <vt:lpstr>SecCode1_h</vt:lpstr>
      <vt:lpstr>SecCode2</vt:lpstr>
      <vt:lpstr>SecCode2_Color</vt:lpstr>
      <vt:lpstr>SecCode2_h</vt:lpstr>
      <vt:lpstr>SheetList</vt:lpstr>
      <vt:lpstr>Technical_To_Do</vt:lpstr>
      <vt:lpstr>TestData</vt:lpstr>
      <vt:lpstr>TestData_header</vt:lpstr>
      <vt:lpstr>TestData_ID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Nicky</dc:creator>
  <cp:lastModifiedBy>Nick Mader</cp:lastModifiedBy>
  <cp:lastPrinted>2011-03-29T05:16:45Z</cp:lastPrinted>
  <dcterms:created xsi:type="dcterms:W3CDTF">2008-02-28T17:06:57Z</dcterms:created>
  <dcterms:modified xsi:type="dcterms:W3CDTF">2014-02-17T19:21:42Z</dcterms:modified>
</cp:coreProperties>
</file>